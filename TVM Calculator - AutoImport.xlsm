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Yard Coordinators\Forms\"/>
    </mc:Choice>
  </mc:AlternateContent>
  <xr:revisionPtr revIDLastSave="0" documentId="8_{3B364D35-6FEA-4BA1-8FF4-1E2C75559852}" xr6:coauthVersionLast="47" xr6:coauthVersionMax="47" xr10:uidLastSave="{00000000-0000-0000-0000-000000000000}"/>
  <bookViews>
    <workbookView xWindow="-120" yWindow="-120" windowWidth="29040" windowHeight="15720" xr2:uid="{98EA6944-9B5C-4F5D-AA6B-C0FCEAC7CDEB}"/>
  </bookViews>
  <sheets>
    <sheet name="Apollo Dock Status" sheetId="1" r:id="rId1"/>
    <sheet name="Remaps" sheetId="4" r:id="rId2"/>
    <sheet name="Exception Stores" sheetId="2" r:id="rId3"/>
    <sheet name="Version History" sheetId="5" r:id="rId4"/>
    <sheet name="Calculations" sheetId="3" state="hidden" r:id="rId5"/>
  </sheets>
  <definedNames>
    <definedName name="_xlnm._FilterDatabase" localSheetId="0" hidden="1">'Apollo Dock Status'!$A$1:$W$1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200" i="1" l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16" i="1"/>
  <c r="Q16" i="1"/>
  <c r="R24" i="1"/>
  <c r="Q24" i="1"/>
  <c r="R70" i="1"/>
  <c r="Q70" i="1"/>
  <c r="R9" i="1"/>
  <c r="Q9" i="1"/>
  <c r="R59" i="1"/>
  <c r="Q59" i="1"/>
  <c r="R33" i="1"/>
  <c r="Q33" i="1"/>
  <c r="R49" i="1"/>
  <c r="Q49" i="1"/>
  <c r="R57" i="1"/>
  <c r="Q57" i="1"/>
  <c r="R25" i="1"/>
  <c r="Q25" i="1"/>
  <c r="R11" i="1"/>
  <c r="Q11" i="1"/>
  <c r="R38" i="1"/>
  <c r="Q38" i="1"/>
  <c r="R23" i="1"/>
  <c r="Q23" i="1"/>
  <c r="R77" i="1"/>
  <c r="Q77" i="1"/>
  <c r="R76" i="1"/>
  <c r="Q76" i="1"/>
  <c r="R67" i="1"/>
  <c r="Q67" i="1"/>
  <c r="R80" i="1"/>
  <c r="Q80" i="1"/>
  <c r="R73" i="1"/>
  <c r="Q73" i="1"/>
  <c r="R37" i="1"/>
  <c r="Q37" i="1"/>
  <c r="R60" i="1"/>
  <c r="Q60" i="1"/>
  <c r="R13" i="1"/>
  <c r="Q13" i="1"/>
  <c r="R6" i="1"/>
  <c r="Q6" i="1"/>
  <c r="R39" i="1"/>
  <c r="Q39" i="1"/>
  <c r="R40" i="1"/>
  <c r="Q40" i="1"/>
  <c r="R41" i="1"/>
  <c r="Q41" i="1"/>
  <c r="R29" i="1"/>
  <c r="Q29" i="1"/>
  <c r="R61" i="1"/>
  <c r="Q61" i="1"/>
  <c r="R45" i="1"/>
  <c r="Q45" i="1"/>
  <c r="R36" i="1"/>
  <c r="Q36" i="1"/>
  <c r="R75" i="1"/>
  <c r="Q75" i="1"/>
  <c r="R18" i="1"/>
  <c r="Q18" i="1"/>
  <c r="R8" i="1"/>
  <c r="Q8" i="1"/>
  <c r="R35" i="1"/>
  <c r="Q35" i="1"/>
  <c r="R30" i="1"/>
  <c r="Q30" i="1"/>
  <c r="R27" i="1"/>
  <c r="Q27" i="1"/>
  <c r="R56" i="1"/>
  <c r="Q56" i="1"/>
  <c r="R68" i="1"/>
  <c r="Q68" i="1"/>
  <c r="R7" i="1"/>
  <c r="Q7" i="1"/>
  <c r="R78" i="1"/>
  <c r="Q78" i="1"/>
  <c r="R66" i="1"/>
  <c r="Q66" i="1"/>
  <c r="R20" i="1"/>
  <c r="Q20" i="1"/>
  <c r="R44" i="1"/>
  <c r="Q44" i="1"/>
  <c r="R10" i="1"/>
  <c r="Q10" i="1"/>
  <c r="R34" i="1"/>
  <c r="Q34" i="1"/>
  <c r="R50" i="1"/>
  <c r="Q50" i="1"/>
  <c r="R17" i="1"/>
  <c r="Q17" i="1"/>
  <c r="R58" i="1"/>
  <c r="Q58" i="1"/>
  <c r="R63" i="1"/>
  <c r="Q63" i="1"/>
  <c r="R51" i="1"/>
  <c r="Q51" i="1"/>
  <c r="R22" i="1"/>
  <c r="Q22" i="1"/>
  <c r="R53" i="1"/>
  <c r="Q53" i="1"/>
  <c r="R43" i="1"/>
  <c r="Q43" i="1"/>
  <c r="R5" i="1"/>
  <c r="Q5" i="1"/>
  <c r="R14" i="1"/>
  <c r="Q14" i="1"/>
  <c r="R3" i="1"/>
  <c r="Q3" i="1"/>
  <c r="R15" i="1"/>
  <c r="Q15" i="1"/>
  <c r="R47" i="1"/>
  <c r="Q47" i="1"/>
  <c r="R12" i="1"/>
  <c r="Q12" i="1"/>
  <c r="R26" i="1"/>
  <c r="Q26" i="1"/>
  <c r="R54" i="1"/>
  <c r="Q54" i="1"/>
  <c r="R79" i="1"/>
  <c r="Q79" i="1"/>
  <c r="R64" i="1"/>
  <c r="Q64" i="1"/>
  <c r="R21" i="1"/>
  <c r="Q21" i="1"/>
  <c r="R31" i="1"/>
  <c r="Q31" i="1"/>
  <c r="R55" i="1"/>
  <c r="Q55" i="1"/>
  <c r="R72" i="1"/>
  <c r="Q72" i="1"/>
  <c r="R19" i="1"/>
  <c r="Q19" i="1"/>
  <c r="R32" i="1"/>
  <c r="Q32" i="1"/>
  <c r="R65" i="1"/>
  <c r="Q65" i="1"/>
  <c r="R48" i="1"/>
  <c r="Q48" i="1"/>
  <c r="R2" i="1"/>
  <c r="Q2" i="1"/>
  <c r="R42" i="1"/>
  <c r="Q42" i="1"/>
  <c r="R46" i="1"/>
  <c r="Q46" i="1"/>
  <c r="R4" i="1"/>
  <c r="Q4" i="1"/>
  <c r="R71" i="1"/>
  <c r="Q71" i="1"/>
  <c r="R69" i="1"/>
  <c r="Q69" i="1"/>
  <c r="R74" i="1"/>
  <c r="Q74" i="1"/>
  <c r="R52" i="1"/>
  <c r="Q52" i="1"/>
  <c r="R62" i="1"/>
  <c r="Q62" i="1"/>
  <c r="T202" i="1"/>
  <c r="T201" i="1"/>
  <c r="BF200" i="3"/>
  <c r="BE200" i="3"/>
  <c r="BF199" i="3"/>
  <c r="BE199" i="3"/>
  <c r="BF198" i="3"/>
  <c r="BE198" i="3"/>
  <c r="BF197" i="3"/>
  <c r="BE197" i="3"/>
  <c r="BF196" i="3"/>
  <c r="BE196" i="3"/>
  <c r="BF195" i="3"/>
  <c r="BE195" i="3"/>
  <c r="BF194" i="3"/>
  <c r="BE194" i="3"/>
  <c r="BF193" i="3"/>
  <c r="BE193" i="3"/>
  <c r="BF192" i="3"/>
  <c r="BE192" i="3"/>
  <c r="BF191" i="3"/>
  <c r="BE191" i="3"/>
  <c r="BF190" i="3"/>
  <c r="BE190" i="3"/>
  <c r="BF189" i="3"/>
  <c r="BE189" i="3"/>
  <c r="BF188" i="3"/>
  <c r="BE188" i="3"/>
  <c r="BF187" i="3"/>
  <c r="BE187" i="3"/>
  <c r="BF186" i="3"/>
  <c r="BE186" i="3"/>
  <c r="BF185" i="3"/>
  <c r="BE185" i="3"/>
  <c r="BF184" i="3"/>
  <c r="BE184" i="3"/>
  <c r="BF183" i="3"/>
  <c r="BE183" i="3"/>
  <c r="BF182" i="3"/>
  <c r="BE182" i="3"/>
  <c r="BF181" i="3"/>
  <c r="BE181" i="3"/>
  <c r="BF180" i="3"/>
  <c r="BE180" i="3"/>
  <c r="BF179" i="3"/>
  <c r="BE179" i="3"/>
  <c r="BF178" i="3"/>
  <c r="BE178" i="3"/>
  <c r="BF177" i="3"/>
  <c r="BE177" i="3"/>
  <c r="BF176" i="3"/>
  <c r="BE176" i="3"/>
  <c r="BF175" i="3"/>
  <c r="BE175" i="3"/>
  <c r="BF174" i="3"/>
  <c r="BE174" i="3"/>
  <c r="BF173" i="3"/>
  <c r="BE173" i="3"/>
  <c r="BF172" i="3"/>
  <c r="BE172" i="3"/>
  <c r="BF171" i="3"/>
  <c r="BE171" i="3"/>
  <c r="BF170" i="3"/>
  <c r="BE170" i="3"/>
  <c r="BF169" i="3"/>
  <c r="BE169" i="3"/>
  <c r="BF168" i="3"/>
  <c r="BE168" i="3"/>
  <c r="BF167" i="3"/>
  <c r="BE167" i="3"/>
  <c r="BF166" i="3"/>
  <c r="BE166" i="3"/>
  <c r="BF165" i="3"/>
  <c r="BE165" i="3"/>
  <c r="BF164" i="3"/>
  <c r="BE164" i="3"/>
  <c r="BF163" i="3"/>
  <c r="BE163" i="3"/>
  <c r="BF162" i="3"/>
  <c r="BE162" i="3"/>
  <c r="BF161" i="3"/>
  <c r="BE161" i="3"/>
  <c r="BF160" i="3"/>
  <c r="BE160" i="3"/>
  <c r="BF159" i="3"/>
  <c r="BE159" i="3"/>
  <c r="BF158" i="3"/>
  <c r="BE158" i="3"/>
  <c r="BF157" i="3"/>
  <c r="BE157" i="3"/>
  <c r="BF156" i="3"/>
  <c r="BE156" i="3"/>
  <c r="BF155" i="3"/>
  <c r="BE155" i="3"/>
  <c r="BF154" i="3"/>
  <c r="BE154" i="3"/>
  <c r="BF153" i="3"/>
  <c r="BE153" i="3"/>
  <c r="BF152" i="3"/>
  <c r="BE152" i="3"/>
  <c r="BF151" i="3"/>
  <c r="BE151" i="3"/>
  <c r="BF150" i="3"/>
  <c r="BE150" i="3"/>
  <c r="BF149" i="3"/>
  <c r="BE149" i="3"/>
  <c r="BF148" i="3"/>
  <c r="BE148" i="3"/>
  <c r="BF147" i="3"/>
  <c r="BE147" i="3"/>
  <c r="BF146" i="3"/>
  <c r="BE146" i="3"/>
  <c r="BF145" i="3"/>
  <c r="BE145" i="3"/>
  <c r="BF144" i="3"/>
  <c r="BE144" i="3"/>
  <c r="BF143" i="3"/>
  <c r="BE143" i="3"/>
  <c r="BF142" i="3"/>
  <c r="BE142" i="3"/>
  <c r="BF141" i="3"/>
  <c r="BE141" i="3"/>
  <c r="BF140" i="3"/>
  <c r="BE140" i="3"/>
  <c r="BF139" i="3"/>
  <c r="BE139" i="3"/>
  <c r="BF138" i="3"/>
  <c r="BE138" i="3"/>
  <c r="BF137" i="3"/>
  <c r="BE137" i="3"/>
  <c r="BF136" i="3"/>
  <c r="BE136" i="3"/>
  <c r="BF135" i="3"/>
  <c r="BE135" i="3"/>
  <c r="BF134" i="3"/>
  <c r="BE134" i="3"/>
  <c r="BF133" i="3"/>
  <c r="BE133" i="3"/>
  <c r="BF132" i="3"/>
  <c r="BE132" i="3"/>
  <c r="BF131" i="3"/>
  <c r="BE131" i="3"/>
  <c r="BF130" i="3"/>
  <c r="BE130" i="3"/>
  <c r="BF129" i="3"/>
  <c r="BE129" i="3"/>
  <c r="BF128" i="3"/>
  <c r="BE128" i="3"/>
  <c r="BF127" i="3"/>
  <c r="BE127" i="3"/>
  <c r="BF126" i="3"/>
  <c r="BE126" i="3"/>
  <c r="BF125" i="3"/>
  <c r="BE125" i="3"/>
  <c r="BF124" i="3"/>
  <c r="BE124" i="3"/>
  <c r="BF123" i="3"/>
  <c r="BE123" i="3"/>
  <c r="BF122" i="3"/>
  <c r="BE122" i="3"/>
  <c r="BF121" i="3"/>
  <c r="BE121" i="3"/>
  <c r="BF120" i="3"/>
  <c r="BE120" i="3"/>
  <c r="BF119" i="3"/>
  <c r="BE119" i="3"/>
  <c r="BF118" i="3"/>
  <c r="BE118" i="3"/>
  <c r="BF117" i="3"/>
  <c r="BE117" i="3"/>
  <c r="BF116" i="3"/>
  <c r="BE116" i="3"/>
  <c r="BF115" i="3"/>
  <c r="BE115" i="3"/>
  <c r="BF114" i="3"/>
  <c r="BE114" i="3"/>
  <c r="BF113" i="3"/>
  <c r="BE113" i="3"/>
  <c r="BF112" i="3"/>
  <c r="BE112" i="3"/>
  <c r="BF111" i="3"/>
  <c r="BE111" i="3"/>
  <c r="BF110" i="3"/>
  <c r="BE110" i="3"/>
  <c r="BF109" i="3"/>
  <c r="BE109" i="3"/>
  <c r="BF108" i="3"/>
  <c r="BE108" i="3"/>
  <c r="BF107" i="3"/>
  <c r="BE107" i="3"/>
  <c r="BF106" i="3"/>
  <c r="BE106" i="3"/>
  <c r="BF105" i="3"/>
  <c r="BE105" i="3"/>
  <c r="BF104" i="3"/>
  <c r="BE104" i="3"/>
  <c r="BF103" i="3"/>
  <c r="BE103" i="3"/>
  <c r="BF102" i="3"/>
  <c r="BE102" i="3"/>
  <c r="BF101" i="3"/>
  <c r="BE101" i="3"/>
  <c r="BF100" i="3"/>
  <c r="BE100" i="3"/>
  <c r="BF99" i="3"/>
  <c r="BE99" i="3"/>
  <c r="BF98" i="3"/>
  <c r="BE98" i="3"/>
  <c r="BF97" i="3"/>
  <c r="BE97" i="3"/>
  <c r="BF96" i="3"/>
  <c r="BE96" i="3"/>
  <c r="BF95" i="3"/>
  <c r="BE95" i="3"/>
  <c r="BF94" i="3"/>
  <c r="BE94" i="3"/>
  <c r="BF93" i="3"/>
  <c r="BE93" i="3"/>
  <c r="BF92" i="3"/>
  <c r="BE92" i="3"/>
  <c r="BF91" i="3"/>
  <c r="BE91" i="3"/>
  <c r="BF90" i="3"/>
  <c r="BE90" i="3"/>
  <c r="BF89" i="3"/>
  <c r="BE89" i="3"/>
  <c r="BF88" i="3"/>
  <c r="BE88" i="3"/>
  <c r="BF87" i="3"/>
  <c r="BE87" i="3"/>
  <c r="BF86" i="3"/>
  <c r="BE86" i="3"/>
  <c r="BF85" i="3"/>
  <c r="BE85" i="3"/>
  <c r="BF84" i="3"/>
  <c r="BE84" i="3"/>
  <c r="BF83" i="3"/>
  <c r="BE83" i="3"/>
  <c r="BF82" i="3"/>
  <c r="BE82" i="3"/>
  <c r="BF81" i="3"/>
  <c r="BE81" i="3"/>
  <c r="BF80" i="3"/>
  <c r="BE80" i="3"/>
  <c r="BF79" i="3"/>
  <c r="BE79" i="3"/>
  <c r="BF78" i="3"/>
  <c r="BE78" i="3"/>
  <c r="BF77" i="3"/>
  <c r="BE77" i="3"/>
  <c r="BF76" i="3"/>
  <c r="BE76" i="3"/>
  <c r="BF75" i="3"/>
  <c r="BE75" i="3"/>
  <c r="BF74" i="3"/>
  <c r="BE74" i="3"/>
  <c r="BF73" i="3"/>
  <c r="BE73" i="3"/>
  <c r="BF72" i="3"/>
  <c r="BE72" i="3"/>
  <c r="BF71" i="3"/>
  <c r="BE71" i="3"/>
  <c r="BF70" i="3"/>
  <c r="BE70" i="3"/>
  <c r="BF69" i="3"/>
  <c r="BE69" i="3"/>
  <c r="BF68" i="3"/>
  <c r="BE68" i="3"/>
  <c r="BF67" i="3"/>
  <c r="BE67" i="3"/>
  <c r="BF66" i="3"/>
  <c r="BE66" i="3"/>
  <c r="BF65" i="3"/>
  <c r="BE65" i="3"/>
  <c r="BF64" i="3"/>
  <c r="BE64" i="3"/>
  <c r="BF63" i="3"/>
  <c r="BE63" i="3"/>
  <c r="BF62" i="3"/>
  <c r="BE62" i="3"/>
  <c r="BF61" i="3"/>
  <c r="BE61" i="3"/>
  <c r="BF60" i="3"/>
  <c r="BE60" i="3"/>
  <c r="BF59" i="3"/>
  <c r="BE59" i="3"/>
  <c r="BF58" i="3"/>
  <c r="BE58" i="3"/>
  <c r="BF57" i="3"/>
  <c r="BE57" i="3"/>
  <c r="BF56" i="3"/>
  <c r="BE56" i="3"/>
  <c r="BF55" i="3"/>
  <c r="BE55" i="3"/>
  <c r="BF54" i="3"/>
  <c r="BE54" i="3"/>
  <c r="BF53" i="3"/>
  <c r="BE53" i="3"/>
  <c r="BF52" i="3"/>
  <c r="BE52" i="3"/>
  <c r="BF51" i="3"/>
  <c r="BE51" i="3"/>
  <c r="BF50" i="3"/>
  <c r="BE50" i="3"/>
  <c r="BF49" i="3"/>
  <c r="BE49" i="3"/>
  <c r="BF48" i="3"/>
  <c r="BE48" i="3"/>
  <c r="BF47" i="3"/>
  <c r="BE47" i="3"/>
  <c r="BF46" i="3"/>
  <c r="BE46" i="3"/>
  <c r="BF45" i="3"/>
  <c r="BE45" i="3"/>
  <c r="BF44" i="3"/>
  <c r="BE44" i="3"/>
  <c r="BF43" i="3"/>
  <c r="BE43" i="3"/>
  <c r="BF42" i="3"/>
  <c r="BE42" i="3"/>
  <c r="BF41" i="3"/>
  <c r="BE41" i="3"/>
  <c r="BF40" i="3"/>
  <c r="BE40" i="3"/>
  <c r="BF39" i="3"/>
  <c r="BE39" i="3"/>
  <c r="BF38" i="3"/>
  <c r="BE38" i="3"/>
  <c r="BF37" i="3"/>
  <c r="BE37" i="3"/>
  <c r="BF36" i="3"/>
  <c r="BE36" i="3"/>
  <c r="BF35" i="3"/>
  <c r="BE35" i="3"/>
  <c r="BF34" i="3"/>
  <c r="BE34" i="3"/>
  <c r="BF33" i="3"/>
  <c r="BE33" i="3"/>
  <c r="BF32" i="3"/>
  <c r="BE32" i="3"/>
  <c r="BF31" i="3"/>
  <c r="BE31" i="3"/>
  <c r="BF30" i="3"/>
  <c r="BE30" i="3"/>
  <c r="BF29" i="3"/>
  <c r="BE29" i="3"/>
  <c r="BF28" i="3"/>
  <c r="BE28" i="3"/>
  <c r="BF27" i="3"/>
  <c r="BE27" i="3"/>
  <c r="BF26" i="3"/>
  <c r="BE26" i="3"/>
  <c r="BF25" i="3"/>
  <c r="BE25" i="3"/>
  <c r="BF24" i="3"/>
  <c r="BE24" i="3"/>
  <c r="BF23" i="3"/>
  <c r="BE23" i="3"/>
  <c r="BF22" i="3"/>
  <c r="BE22" i="3"/>
  <c r="BF21" i="3"/>
  <c r="BE21" i="3"/>
  <c r="BF20" i="3"/>
  <c r="BE20" i="3"/>
  <c r="BF19" i="3"/>
  <c r="BE19" i="3"/>
  <c r="BF18" i="3"/>
  <c r="BE18" i="3"/>
  <c r="BF17" i="3"/>
  <c r="BE17" i="3"/>
  <c r="BF16" i="3"/>
  <c r="BE16" i="3"/>
  <c r="BF15" i="3"/>
  <c r="BE15" i="3"/>
  <c r="BF14" i="3"/>
  <c r="BE14" i="3"/>
  <c r="BF13" i="3"/>
  <c r="BE13" i="3"/>
  <c r="BF12" i="3"/>
  <c r="BE12" i="3"/>
  <c r="BF11" i="3"/>
  <c r="BE11" i="3"/>
  <c r="BF10" i="3"/>
  <c r="BE10" i="3"/>
  <c r="BF9" i="3"/>
  <c r="BE9" i="3"/>
  <c r="BF8" i="3"/>
  <c r="BE8" i="3"/>
  <c r="BF7" i="3"/>
  <c r="BE7" i="3"/>
  <c r="BF6" i="3"/>
  <c r="BE6" i="3"/>
  <c r="BF5" i="3"/>
  <c r="BE5" i="3"/>
  <c r="BF4" i="3"/>
  <c r="BE4" i="3"/>
  <c r="BF3" i="3"/>
  <c r="BE3" i="3"/>
  <c r="BF2" i="3"/>
  <c r="CB196" i="3" s="1"/>
  <c r="BE2" i="3"/>
  <c r="AT200" i="3"/>
  <c r="AT199" i="3"/>
  <c r="AT198" i="3"/>
  <c r="AT197" i="3"/>
  <c r="AT196" i="3"/>
  <c r="AT195" i="3"/>
  <c r="AT194" i="3"/>
  <c r="AT193" i="3"/>
  <c r="AT192" i="3"/>
  <c r="AT191" i="3"/>
  <c r="AT190" i="3"/>
  <c r="AT189" i="3"/>
  <c r="AT188" i="3"/>
  <c r="AT187" i="3"/>
  <c r="AT186" i="3"/>
  <c r="AT185" i="3"/>
  <c r="AT184" i="3"/>
  <c r="AT183" i="3"/>
  <c r="AT182" i="3"/>
  <c r="AT181" i="3"/>
  <c r="AT180" i="3"/>
  <c r="AT179" i="3"/>
  <c r="AT178" i="3"/>
  <c r="AT177" i="3"/>
  <c r="AT176" i="3"/>
  <c r="AT175" i="3"/>
  <c r="AT174" i="3"/>
  <c r="AT173" i="3"/>
  <c r="AT172" i="3"/>
  <c r="AT171" i="3"/>
  <c r="AT170" i="3"/>
  <c r="AT169" i="3"/>
  <c r="AT168" i="3"/>
  <c r="AT167" i="3"/>
  <c r="AT166" i="3"/>
  <c r="AT165" i="3"/>
  <c r="AT164" i="3"/>
  <c r="AT163" i="3"/>
  <c r="AT162" i="3"/>
  <c r="AT161" i="3"/>
  <c r="AT160" i="3"/>
  <c r="AT159" i="3"/>
  <c r="AT158" i="3"/>
  <c r="AT157" i="3"/>
  <c r="AT156" i="3"/>
  <c r="AT155" i="3"/>
  <c r="AT154" i="3"/>
  <c r="AT153" i="3"/>
  <c r="AT152" i="3"/>
  <c r="AT151" i="3"/>
  <c r="AT150" i="3"/>
  <c r="AT149" i="3"/>
  <c r="AT148" i="3"/>
  <c r="AT147" i="3"/>
  <c r="AT146" i="3"/>
  <c r="AT145" i="3"/>
  <c r="AT144" i="3"/>
  <c r="AT143" i="3"/>
  <c r="AT142" i="3"/>
  <c r="AT141" i="3"/>
  <c r="AT140" i="3"/>
  <c r="AT139" i="3"/>
  <c r="AT138" i="3"/>
  <c r="AT137" i="3"/>
  <c r="AT136" i="3"/>
  <c r="AT135" i="3"/>
  <c r="AT134" i="3"/>
  <c r="AT133" i="3"/>
  <c r="AT132" i="3"/>
  <c r="AT131" i="3"/>
  <c r="AT130" i="3"/>
  <c r="AT129" i="3"/>
  <c r="AT128" i="3"/>
  <c r="AT127" i="3"/>
  <c r="AT126" i="3"/>
  <c r="AT125" i="3"/>
  <c r="AT124" i="3"/>
  <c r="AT123" i="3"/>
  <c r="AT122" i="3"/>
  <c r="AT121" i="3"/>
  <c r="AT120" i="3"/>
  <c r="AT119" i="3"/>
  <c r="AT118" i="3"/>
  <c r="AT117" i="3"/>
  <c r="AT116" i="3"/>
  <c r="AT115" i="3"/>
  <c r="AT114" i="3"/>
  <c r="AT113" i="3"/>
  <c r="AT112" i="3"/>
  <c r="AT111" i="3"/>
  <c r="AT110" i="3"/>
  <c r="AT109" i="3"/>
  <c r="AT108" i="3"/>
  <c r="AT107" i="3"/>
  <c r="AT106" i="3"/>
  <c r="AT105" i="3"/>
  <c r="AT104" i="3"/>
  <c r="AT103" i="3"/>
  <c r="AT102" i="3"/>
  <c r="AT101" i="3"/>
  <c r="AT100" i="3"/>
  <c r="AT99" i="3"/>
  <c r="AT98" i="3"/>
  <c r="AT97" i="3"/>
  <c r="AT96" i="3"/>
  <c r="AT95" i="3"/>
  <c r="AT94" i="3"/>
  <c r="AT93" i="3"/>
  <c r="AT92" i="3"/>
  <c r="AT91" i="3"/>
  <c r="AT90" i="3"/>
  <c r="AT89" i="3"/>
  <c r="AT88" i="3"/>
  <c r="AT87" i="3"/>
  <c r="AT86" i="3"/>
  <c r="AT85" i="3"/>
  <c r="AT84" i="3"/>
  <c r="AT83" i="3"/>
  <c r="AT82" i="3"/>
  <c r="AT81" i="3"/>
  <c r="AT80" i="3"/>
  <c r="AT79" i="3"/>
  <c r="AT78" i="3"/>
  <c r="AT77" i="3"/>
  <c r="AT76" i="3"/>
  <c r="AT75" i="3"/>
  <c r="AT74" i="3"/>
  <c r="AT73" i="3"/>
  <c r="AT72" i="3"/>
  <c r="AT71" i="3"/>
  <c r="AT70" i="3"/>
  <c r="AT69" i="3"/>
  <c r="AT68" i="3"/>
  <c r="AT67" i="3"/>
  <c r="AT66" i="3"/>
  <c r="AT65" i="3"/>
  <c r="AT64" i="3"/>
  <c r="AT63" i="3"/>
  <c r="AT62" i="3"/>
  <c r="AT61" i="3"/>
  <c r="AT60" i="3"/>
  <c r="AT59" i="3"/>
  <c r="AT58" i="3"/>
  <c r="AT57" i="3"/>
  <c r="AT56" i="3"/>
  <c r="AT55" i="3"/>
  <c r="AT54" i="3"/>
  <c r="AT53" i="3"/>
  <c r="AT52" i="3"/>
  <c r="AT51" i="3"/>
  <c r="AT50" i="3"/>
  <c r="AT49" i="3"/>
  <c r="AT48" i="3"/>
  <c r="AT47" i="3"/>
  <c r="AT46" i="3"/>
  <c r="AT45" i="3"/>
  <c r="AT44" i="3"/>
  <c r="AT43" i="3"/>
  <c r="AT42" i="3"/>
  <c r="AT41" i="3"/>
  <c r="AT40" i="3"/>
  <c r="AT39" i="3"/>
  <c r="AT38" i="3"/>
  <c r="AT37" i="3"/>
  <c r="AT36" i="3"/>
  <c r="AT35" i="3"/>
  <c r="AT34" i="3"/>
  <c r="AT33" i="3"/>
  <c r="AT32" i="3"/>
  <c r="AT31" i="3"/>
  <c r="AT30" i="3"/>
  <c r="AT29" i="3"/>
  <c r="AT28" i="3"/>
  <c r="AT27" i="3"/>
  <c r="AT26" i="3"/>
  <c r="AT25" i="3"/>
  <c r="AT24" i="3"/>
  <c r="AT23" i="3"/>
  <c r="AT22" i="3"/>
  <c r="AT21" i="3"/>
  <c r="AT20" i="3"/>
  <c r="AT19" i="3"/>
  <c r="AT18" i="3"/>
  <c r="AT17" i="3"/>
  <c r="AT16" i="3"/>
  <c r="AT15" i="3"/>
  <c r="AT14" i="3"/>
  <c r="AT13" i="3"/>
  <c r="AT12" i="3"/>
  <c r="AT11" i="3"/>
  <c r="AT10" i="3"/>
  <c r="AT9" i="3"/>
  <c r="AT8" i="3"/>
  <c r="AT7" i="3"/>
  <c r="AT6" i="3"/>
  <c r="AT5" i="3"/>
  <c r="AT4" i="3"/>
  <c r="AT3" i="3"/>
  <c r="AT2" i="3"/>
  <c r="N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DN200" i="3" s="1"/>
  <c r="A200" i="3"/>
  <c r="N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A199" i="3"/>
  <c r="N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DN198" i="3" s="1"/>
  <c r="A198" i="3"/>
  <c r="N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A197" i="3"/>
  <c r="N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DN196" i="3" s="1"/>
  <c r="A196" i="3"/>
  <c r="N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DN195" i="3" s="1"/>
  <c r="A195" i="3"/>
  <c r="N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DN194" i="3" s="1"/>
  <c r="A194" i="3"/>
  <c r="N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DN193" i="3" s="1"/>
  <c r="A193" i="3"/>
  <c r="N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DN192" i="3" s="1"/>
  <c r="A192" i="3"/>
  <c r="N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DN191" i="3" s="1"/>
  <c r="A191" i="3"/>
  <c r="N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DN190" i="3" s="1"/>
  <c r="A190" i="3"/>
  <c r="N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DN189" i="3" s="1"/>
  <c r="A189" i="3"/>
  <c r="N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DN188" i="3" s="1"/>
  <c r="A188" i="3"/>
  <c r="N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DN187" i="3" s="1"/>
  <c r="A187" i="3"/>
  <c r="N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DN186" i="3" s="1"/>
  <c r="A186" i="3"/>
  <c r="N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A185" i="3"/>
  <c r="N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DN184" i="3" s="1"/>
  <c r="A184" i="3"/>
  <c r="N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DN183" i="3" s="1"/>
  <c r="A183" i="3"/>
  <c r="N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DN182" i="3" s="1"/>
  <c r="A182" i="3"/>
  <c r="N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DN181" i="3" s="1"/>
  <c r="A181" i="3"/>
  <c r="N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DN180" i="3" s="1"/>
  <c r="A180" i="3"/>
  <c r="N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DN179" i="3" s="1"/>
  <c r="A179" i="3"/>
  <c r="AB179" i="3" s="1"/>
  <c r="AD179" i="3" s="1"/>
  <c r="AI179" i="3" s="1"/>
  <c r="N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DN178" i="3" s="1"/>
  <c r="A178" i="3"/>
  <c r="N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DN177" i="3" s="1"/>
  <c r="A177" i="3"/>
  <c r="N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DN176" i="3" s="1"/>
  <c r="A176" i="3"/>
  <c r="N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DN175" i="3" s="1"/>
  <c r="A175" i="3"/>
  <c r="N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DN174" i="3" s="1"/>
  <c r="A174" i="3"/>
  <c r="Z174" i="3" s="1"/>
  <c r="N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DN173" i="3" s="1"/>
  <c r="A173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DN172" i="3" s="1"/>
  <c r="A172" i="3"/>
  <c r="N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A171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A170" i="3"/>
  <c r="N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DN169" i="3" s="1"/>
  <c r="A169" i="3"/>
  <c r="Z169" i="3" s="1"/>
  <c r="N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DN168" i="3" s="1"/>
  <c r="A168" i="3"/>
  <c r="N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DN167" i="3" s="1"/>
  <c r="A167" i="3"/>
  <c r="Z167" i="3" s="1"/>
  <c r="N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DN166" i="3" s="1"/>
  <c r="A166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DN165" i="3" s="1"/>
  <c r="A165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DN164" i="3" s="1"/>
  <c r="A164" i="3"/>
  <c r="AB164" i="3" s="1"/>
  <c r="AD164" i="3" s="1"/>
  <c r="AI164" i="3" s="1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DN163" i="3" s="1"/>
  <c r="A163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DN162" i="3" s="1"/>
  <c r="A162" i="3"/>
  <c r="AB162" i="3" s="1"/>
  <c r="AD162" i="3" s="1"/>
  <c r="AI162" i="3" s="1"/>
  <c r="N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DN161" i="3" s="1"/>
  <c r="A161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A160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DN159" i="3" s="1"/>
  <c r="A159" i="3"/>
  <c r="Z159" i="3" s="1"/>
  <c r="N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DN158" i="3" s="1"/>
  <c r="A158" i="3"/>
  <c r="N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A157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DN156" i="3" s="1"/>
  <c r="A156" i="3"/>
  <c r="N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DN155" i="3" s="1"/>
  <c r="A155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DN154" i="3" s="1"/>
  <c r="A154" i="3"/>
  <c r="Z154" i="3" s="1"/>
  <c r="N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A153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A152" i="3"/>
  <c r="AB152" i="3" s="1"/>
  <c r="AD152" i="3" s="1"/>
  <c r="AI152" i="3" s="1"/>
  <c r="N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DN151" i="3" s="1"/>
  <c r="A151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DN150" i="3" s="1"/>
  <c r="A150" i="3"/>
  <c r="N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DN149" i="3" s="1"/>
  <c r="A149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DN148" i="3" s="1"/>
  <c r="A148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DN147" i="3" s="1"/>
  <c r="A147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DN146" i="3" s="1"/>
  <c r="A146" i="3"/>
  <c r="N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DN145" i="3" s="1"/>
  <c r="A145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DN144" i="3" s="1"/>
  <c r="A144" i="3"/>
  <c r="AB144" i="3" s="1"/>
  <c r="AD144" i="3" s="1"/>
  <c r="AI144" i="3" s="1"/>
  <c r="N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DN143" i="3" s="1"/>
  <c r="A143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DN142" i="3" s="1"/>
  <c r="A142" i="3"/>
  <c r="Z142" i="3" s="1"/>
  <c r="N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DN141" i="3" s="1"/>
  <c r="A141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DN140" i="3" s="1"/>
  <c r="A140" i="3"/>
  <c r="N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A139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DN138" i="3" s="1"/>
  <c r="A138" i="3"/>
  <c r="N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DN137" i="3" s="1"/>
  <c r="A137" i="3"/>
  <c r="AB137" i="3" s="1"/>
  <c r="AD137" i="3" s="1"/>
  <c r="AI137" i="3" s="1"/>
  <c r="N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DN136" i="3" s="1"/>
  <c r="A136" i="3"/>
  <c r="AB136" i="3" s="1"/>
  <c r="AD136" i="3" s="1"/>
  <c r="AI136" i="3" s="1"/>
  <c r="N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A135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B134" i="3"/>
  <c r="DN134" i="3" s="1"/>
  <c r="A134" i="3"/>
  <c r="Z134" i="3" s="1"/>
  <c r="N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DN133" i="3" s="1"/>
  <c r="A133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DN132" i="3" s="1"/>
  <c r="A132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DN131" i="3" s="1"/>
  <c r="A131" i="3"/>
  <c r="Z131" i="3" s="1"/>
  <c r="N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DN130" i="3" s="1"/>
  <c r="A130" i="3"/>
  <c r="N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DN129" i="3" s="1"/>
  <c r="A129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DN128" i="3" s="1"/>
  <c r="A128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DN127" i="3" s="1"/>
  <c r="A127" i="3"/>
  <c r="Z127" i="3" s="1"/>
  <c r="N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DN126" i="3" s="1"/>
  <c r="A126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DN125" i="3" s="1"/>
  <c r="A125" i="3"/>
  <c r="Z125" i="3" s="1"/>
  <c r="N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DN124" i="3" s="1"/>
  <c r="A124" i="3"/>
  <c r="N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DN123" i="3" s="1"/>
  <c r="A123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DN122" i="3" s="1"/>
  <c r="A122" i="3"/>
  <c r="Z122" i="3" s="1"/>
  <c r="N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DN121" i="3" s="1"/>
  <c r="A121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DN120" i="3" s="1"/>
  <c r="A120" i="3"/>
  <c r="N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DN119" i="3" s="1"/>
  <c r="A119" i="3"/>
  <c r="AB119" i="3" s="1"/>
  <c r="AD119" i="3" s="1"/>
  <c r="AI119" i="3" s="1"/>
  <c r="N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A118" i="3"/>
  <c r="N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A117" i="3"/>
  <c r="AB117" i="3" s="1"/>
  <c r="AD117" i="3" s="1"/>
  <c r="AI117" i="3" s="1"/>
  <c r="N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DN116" i="3" s="1"/>
  <c r="A116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DN115" i="3" s="1"/>
  <c r="A115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DN114" i="3" s="1"/>
  <c r="A114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DN113" i="3" s="1"/>
  <c r="A113" i="3"/>
  <c r="AB113" i="3" s="1"/>
  <c r="AD113" i="3" s="1"/>
  <c r="AI113" i="3" s="1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A112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AB111" i="3" s="1"/>
  <c r="AD111" i="3" s="1"/>
  <c r="AI111" i="3" s="1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DN110" i="3" s="1"/>
  <c r="A110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DN109" i="3" s="1"/>
  <c r="A109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DN108" i="3" s="1"/>
  <c r="A108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DN107" i="3" s="1"/>
  <c r="A107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DN106" i="3" s="1"/>
  <c r="A106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DN105" i="3" s="1"/>
  <c r="A105" i="3"/>
  <c r="AB105" i="3" s="1"/>
  <c r="AD105" i="3" s="1"/>
  <c r="AI105" i="3" s="1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A104" i="3"/>
  <c r="AB104" i="3" s="1"/>
  <c r="AD104" i="3" s="1"/>
  <c r="AI104" i="3" s="1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DN103" i="3" s="1"/>
  <c r="A103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DN102" i="3" s="1"/>
  <c r="A102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DN101" i="3" s="1"/>
  <c r="A101" i="3"/>
  <c r="AB101" i="3" s="1"/>
  <c r="AD101" i="3" s="1"/>
  <c r="AI101" i="3" s="1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DN100" i="3" s="1"/>
  <c r="A100" i="3"/>
  <c r="AB100" i="3" s="1"/>
  <c r="AD100" i="3" s="1"/>
  <c r="AI100" i="3" s="1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DN99" i="3" s="1"/>
  <c r="A99" i="3"/>
  <c r="AB99" i="3" s="1"/>
  <c r="AD99" i="3" s="1"/>
  <c r="AI99" i="3" s="1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DN98" i="3" s="1"/>
  <c r="A98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A97" i="3"/>
  <c r="Z97" i="3" s="1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DN96" i="3" s="1"/>
  <c r="A96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DN95" i="3" s="1"/>
  <c r="A95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DN94" i="3" s="1"/>
  <c r="A94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A93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DN92" i="3" s="1"/>
  <c r="A92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DN91" i="3" s="1"/>
  <c r="A91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DN90" i="3" s="1"/>
  <c r="A90" i="3"/>
  <c r="Z90" i="3" s="1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DN89" i="3" s="1"/>
  <c r="A89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DN88" i="3" s="1"/>
  <c r="A88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DN87" i="3" s="1"/>
  <c r="A87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DN86" i="3" s="1"/>
  <c r="A86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DN85" i="3" s="1"/>
  <c r="A85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DN84" i="3" s="1"/>
  <c r="A84" i="3"/>
  <c r="AB84" i="3" s="1"/>
  <c r="AD84" i="3" s="1"/>
  <c r="AI84" i="3" s="1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A83" i="3"/>
  <c r="AB83" i="3" s="1"/>
  <c r="AD83" i="3" s="1"/>
  <c r="AI83" i="3" s="1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DN82" i="3" s="1"/>
  <c r="A82" i="3"/>
  <c r="AB82" i="3" s="1"/>
  <c r="AD82" i="3" s="1"/>
  <c r="AI82" i="3" s="1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DN81" i="3" s="1"/>
  <c r="A81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DN80" i="3" s="1"/>
  <c r="A80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DN79" i="3" s="1"/>
  <c r="A79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DN78" i="3" s="1"/>
  <c r="A78" i="3"/>
  <c r="AB78" i="3" s="1"/>
  <c r="AD78" i="3" s="1"/>
  <c r="AI78" i="3" s="1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A77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DN76" i="3" s="1"/>
  <c r="A76" i="3"/>
  <c r="AB76" i="3" s="1"/>
  <c r="AD76" i="3" s="1"/>
  <c r="AI76" i="3" s="1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DN75" i="3" s="1"/>
  <c r="A75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DN74" i="3" s="1"/>
  <c r="A74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DN73" i="3" s="1"/>
  <c r="A73" i="3"/>
  <c r="Z73" i="3" s="1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DN72" i="3" s="1"/>
  <c r="A72" i="3"/>
  <c r="AB72" i="3" s="1"/>
  <c r="AD72" i="3" s="1"/>
  <c r="AI72" i="3" s="1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A71" i="3"/>
  <c r="AB71" i="3" s="1"/>
  <c r="AD71" i="3" s="1"/>
  <c r="AI71" i="3" s="1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DN70" i="3" s="1"/>
  <c r="A70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DN69" i="3" s="1"/>
  <c r="A69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DN68" i="3" s="1"/>
  <c r="A68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DN67" i="3" s="1"/>
  <c r="A67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DN66" i="3" s="1"/>
  <c r="A66" i="3"/>
  <c r="AB66" i="3" s="1"/>
  <c r="AD66" i="3" s="1"/>
  <c r="AI66" i="3" s="1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DN65" i="3" s="1"/>
  <c r="A65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DN64" i="3" s="1"/>
  <c r="A64" i="3"/>
  <c r="AB64" i="3" s="1"/>
  <c r="AD64" i="3" s="1"/>
  <c r="AI64" i="3" s="1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DN63" i="3" s="1"/>
  <c r="A63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DN62" i="3" s="1"/>
  <c r="A62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DN61" i="3" s="1"/>
  <c r="A61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DN60" i="3" s="1"/>
  <c r="A60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DN59" i="3" s="1"/>
  <c r="A59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DN58" i="3" s="1"/>
  <c r="A58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57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DN56" i="3" s="1"/>
  <c r="A56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DN55" i="3" s="1"/>
  <c r="A55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DN54" i="3" s="1"/>
  <c r="A54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DN53" i="3" s="1"/>
  <c r="A53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DN52" i="3" s="1"/>
  <c r="A52" i="3"/>
  <c r="AB52" i="3" s="1"/>
  <c r="AD52" i="3" s="1"/>
  <c r="AI52" i="3" s="1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51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DN50" i="3" s="1"/>
  <c r="A50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DN49" i="3" s="1"/>
  <c r="A49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DN48" i="3" s="1"/>
  <c r="A48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A47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DN46" i="3" s="1"/>
  <c r="A46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A45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DN44" i="3" s="1"/>
  <c r="A44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DN43" i="3" s="1"/>
  <c r="A43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DN42" i="3" s="1"/>
  <c r="A42" i="3"/>
  <c r="AB42" i="3" s="1"/>
  <c r="AD42" i="3" s="1"/>
  <c r="AI42" i="3" s="1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DN41" i="3" s="1"/>
  <c r="A41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DN40" i="3" s="1"/>
  <c r="A40" i="3"/>
  <c r="AB40" i="3" s="1"/>
  <c r="AD40" i="3" s="1"/>
  <c r="AI40" i="3" s="1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A39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DN38" i="3" s="1"/>
  <c r="A38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DN37" i="3" s="1"/>
  <c r="A37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DN36" i="3" s="1"/>
  <c r="A36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DN35" i="3" s="1"/>
  <c r="A35" i="3"/>
  <c r="AB35" i="3" s="1"/>
  <c r="AD35" i="3" s="1"/>
  <c r="AI35" i="3" s="1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DN34" i="3" s="1"/>
  <c r="A34" i="3"/>
  <c r="Z34" i="3" s="1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DN33" i="3" s="1"/>
  <c r="A33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DN32" i="3" s="1"/>
  <c r="A32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DN31" i="3" s="1"/>
  <c r="A31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DN30" i="3" s="1"/>
  <c r="A30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A29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DN28" i="3" s="1"/>
  <c r="A28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DN27" i="3" s="1"/>
  <c r="A27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DN26" i="3" s="1"/>
  <c r="A26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DN25" i="3" s="1"/>
  <c r="A25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DN24" i="3" s="1"/>
  <c r="A24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DN23" i="3" s="1"/>
  <c r="A23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DN22" i="3" s="1"/>
  <c r="A22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DN21" i="3" s="1"/>
  <c r="A21" i="3"/>
  <c r="Z21" i="3" s="1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DN20" i="3" s="1"/>
  <c r="A20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DN19" i="3" s="1"/>
  <c r="A19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A18" i="3"/>
  <c r="AB18" i="3" s="1"/>
  <c r="AD18" i="3" s="1"/>
  <c r="AI18" i="3" s="1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DN17" i="3" s="1"/>
  <c r="A17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A16" i="3"/>
  <c r="Z16" i="3" s="1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DN15" i="3" s="1"/>
  <c r="A15" i="3"/>
  <c r="AB15" i="3" s="1"/>
  <c r="AD15" i="3" s="1"/>
  <c r="AI15" i="3" s="1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DN14" i="3" s="1"/>
  <c r="A14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AB13" i="3" s="1"/>
  <c r="AD13" i="3" s="1"/>
  <c r="AI13" i="3" s="1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DN12" i="3" s="1"/>
  <c r="A12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DN11" i="3" s="1"/>
  <c r="A11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A10" i="3"/>
  <c r="AB10" i="3" s="1"/>
  <c r="AD10" i="3" s="1"/>
  <c r="AI10" i="3" s="1"/>
  <c r="N9" i="3"/>
  <c r="M9" i="3"/>
  <c r="L9" i="3"/>
  <c r="K9" i="3"/>
  <c r="J9" i="3"/>
  <c r="I9" i="3"/>
  <c r="H9" i="3"/>
  <c r="G9" i="3"/>
  <c r="F9" i="3"/>
  <c r="E9" i="3"/>
  <c r="D9" i="3"/>
  <c r="C9" i="3"/>
  <c r="B9" i="3"/>
  <c r="A9" i="3"/>
  <c r="AB9" i="3" s="1"/>
  <c r="AD9" i="3" s="1"/>
  <c r="AI9" i="3" s="1"/>
  <c r="N8" i="3"/>
  <c r="M8" i="3"/>
  <c r="L8" i="3"/>
  <c r="K8" i="3"/>
  <c r="J8" i="3"/>
  <c r="I8" i="3"/>
  <c r="H8" i="3"/>
  <c r="G8" i="3"/>
  <c r="F8" i="3"/>
  <c r="E8" i="3"/>
  <c r="D8" i="3"/>
  <c r="C8" i="3"/>
  <c r="B8" i="3"/>
  <c r="DN8" i="3" s="1"/>
  <c r="A8" i="3"/>
  <c r="N7" i="3"/>
  <c r="M7" i="3"/>
  <c r="L7" i="3"/>
  <c r="K7" i="3"/>
  <c r="J7" i="3"/>
  <c r="I7" i="3"/>
  <c r="H7" i="3"/>
  <c r="G7" i="3"/>
  <c r="F7" i="3"/>
  <c r="E7" i="3"/>
  <c r="D7" i="3"/>
  <c r="C7" i="3"/>
  <c r="B7" i="3"/>
  <c r="A7" i="3"/>
  <c r="AB7" i="3" s="1"/>
  <c r="AD7" i="3" s="1"/>
  <c r="AI7" i="3" s="1"/>
  <c r="N6" i="3"/>
  <c r="M6" i="3"/>
  <c r="L6" i="3"/>
  <c r="K6" i="3"/>
  <c r="J6" i="3"/>
  <c r="I6" i="3"/>
  <c r="H6" i="3"/>
  <c r="G6" i="3"/>
  <c r="F6" i="3"/>
  <c r="E6" i="3"/>
  <c r="D6" i="3"/>
  <c r="C6" i="3"/>
  <c r="B6" i="3"/>
  <c r="DN6" i="3" s="1"/>
  <c r="A6" i="3"/>
  <c r="N5" i="3"/>
  <c r="M5" i="3"/>
  <c r="L5" i="3"/>
  <c r="K5" i="3"/>
  <c r="J5" i="3"/>
  <c r="I5" i="3"/>
  <c r="H5" i="3"/>
  <c r="G5" i="3"/>
  <c r="F5" i="3"/>
  <c r="E5" i="3"/>
  <c r="D5" i="3"/>
  <c r="C5" i="3"/>
  <c r="B5" i="3"/>
  <c r="DN5" i="3" s="1"/>
  <c r="A5" i="3"/>
  <c r="N4" i="3"/>
  <c r="M4" i="3"/>
  <c r="L4" i="3"/>
  <c r="K4" i="3"/>
  <c r="J4" i="3"/>
  <c r="I4" i="3"/>
  <c r="H4" i="3"/>
  <c r="G4" i="3"/>
  <c r="F4" i="3"/>
  <c r="E4" i="3"/>
  <c r="D4" i="3"/>
  <c r="C4" i="3"/>
  <c r="B4" i="3"/>
  <c r="DN4" i="3" s="1"/>
  <c r="A4" i="3"/>
  <c r="N3" i="3"/>
  <c r="M3" i="3"/>
  <c r="L3" i="3"/>
  <c r="K3" i="3"/>
  <c r="J3" i="3"/>
  <c r="I3" i="3"/>
  <c r="H3" i="3"/>
  <c r="G3" i="3"/>
  <c r="F3" i="3"/>
  <c r="E3" i="3"/>
  <c r="D3" i="3"/>
  <c r="C3" i="3"/>
  <c r="B3" i="3"/>
  <c r="A3" i="3"/>
  <c r="AB3" i="3" s="1"/>
  <c r="AD3" i="3" s="1"/>
  <c r="AI3" i="3" s="1"/>
  <c r="R28" i="1"/>
  <c r="Q28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16" i="1"/>
  <c r="P24" i="1"/>
  <c r="P70" i="1"/>
  <c r="P9" i="1"/>
  <c r="P59" i="1"/>
  <c r="P33" i="1"/>
  <c r="P49" i="1"/>
  <c r="P57" i="1"/>
  <c r="P25" i="1"/>
  <c r="P11" i="1"/>
  <c r="P38" i="1"/>
  <c r="P23" i="1"/>
  <c r="P77" i="1"/>
  <c r="P76" i="1"/>
  <c r="P67" i="1"/>
  <c r="P80" i="1"/>
  <c r="P73" i="1"/>
  <c r="P37" i="1"/>
  <c r="P60" i="1"/>
  <c r="P13" i="1"/>
  <c r="P6" i="1"/>
  <c r="P39" i="1"/>
  <c r="P40" i="1"/>
  <c r="P41" i="1"/>
  <c r="P29" i="1"/>
  <c r="P61" i="1"/>
  <c r="P45" i="1"/>
  <c r="P36" i="1"/>
  <c r="P75" i="1"/>
  <c r="P18" i="1"/>
  <c r="P8" i="1"/>
  <c r="P35" i="1"/>
  <c r="P30" i="1"/>
  <c r="P27" i="1"/>
  <c r="P56" i="1"/>
  <c r="P68" i="1"/>
  <c r="P7" i="1"/>
  <c r="P78" i="1"/>
  <c r="P66" i="1"/>
  <c r="P20" i="1"/>
  <c r="P44" i="1"/>
  <c r="P10" i="1"/>
  <c r="P34" i="1"/>
  <c r="P50" i="1"/>
  <c r="P17" i="1"/>
  <c r="P58" i="1"/>
  <c r="P63" i="1"/>
  <c r="P51" i="1"/>
  <c r="P22" i="1"/>
  <c r="P53" i="1"/>
  <c r="P43" i="1"/>
  <c r="P5" i="1"/>
  <c r="P14" i="1"/>
  <c r="P3" i="1"/>
  <c r="P15" i="1"/>
  <c r="P47" i="1"/>
  <c r="P12" i="1"/>
  <c r="P26" i="1"/>
  <c r="P54" i="1"/>
  <c r="P79" i="1"/>
  <c r="P64" i="1"/>
  <c r="P21" i="1"/>
  <c r="P31" i="1"/>
  <c r="P55" i="1"/>
  <c r="P72" i="1"/>
  <c r="P19" i="1"/>
  <c r="P32" i="1"/>
  <c r="P65" i="1"/>
  <c r="P48" i="1"/>
  <c r="P2" i="1"/>
  <c r="P42" i="1"/>
  <c r="P46" i="1"/>
  <c r="P4" i="1"/>
  <c r="P71" i="1"/>
  <c r="P69" i="1"/>
  <c r="P74" i="1"/>
  <c r="P52" i="1"/>
  <c r="P62" i="1"/>
  <c r="P28" i="1"/>
  <c r="CB150" i="3" l="1"/>
  <c r="AK182" i="3"/>
  <c r="DP180" i="3"/>
  <c r="BH57" i="3"/>
  <c r="BH144" i="3"/>
  <c r="BH23" i="3"/>
  <c r="BH49" i="3"/>
  <c r="BH129" i="3"/>
  <c r="AE188" i="3"/>
  <c r="AH188" i="3" s="1"/>
  <c r="BH42" i="3"/>
  <c r="BH77" i="3"/>
  <c r="BH85" i="3"/>
  <c r="BH96" i="3"/>
  <c r="BH121" i="3"/>
  <c r="BH12" i="3"/>
  <c r="CB33" i="3"/>
  <c r="BH16" i="3"/>
  <c r="CB66" i="3"/>
  <c r="BH27" i="3"/>
  <c r="BH59" i="3"/>
  <c r="BH100" i="3"/>
  <c r="BH160" i="3"/>
  <c r="BH29" i="3"/>
  <c r="BH64" i="3"/>
  <c r="BH101" i="3"/>
  <c r="BH179" i="3"/>
  <c r="BH31" i="3"/>
  <c r="BH66" i="3"/>
  <c r="BH103" i="3"/>
  <c r="BH180" i="3"/>
  <c r="BH3" i="3"/>
  <c r="BH34" i="3"/>
  <c r="BH71" i="3"/>
  <c r="BH108" i="3"/>
  <c r="BH183" i="3"/>
  <c r="BH6" i="3"/>
  <c r="BH36" i="3"/>
  <c r="BH73" i="3"/>
  <c r="BH113" i="3"/>
  <c r="CB6" i="3"/>
  <c r="BH9" i="3"/>
  <c r="BH39" i="3"/>
  <c r="BH75" i="3"/>
  <c r="BH118" i="3"/>
  <c r="CB9" i="3"/>
  <c r="BH15" i="3"/>
  <c r="BH46" i="3"/>
  <c r="BH82" i="3"/>
  <c r="BH125" i="3"/>
  <c r="CB51" i="3"/>
  <c r="BH109" i="3"/>
  <c r="BH17" i="3"/>
  <c r="BH53" i="3"/>
  <c r="BH89" i="3"/>
  <c r="BH131" i="3"/>
  <c r="CB80" i="3"/>
  <c r="BH21" i="3"/>
  <c r="BH55" i="3"/>
  <c r="BH93" i="3"/>
  <c r="BH139" i="3"/>
  <c r="CB93" i="3"/>
  <c r="BH5" i="3"/>
  <c r="BH22" i="3"/>
  <c r="BH41" i="3"/>
  <c r="BH63" i="3"/>
  <c r="BH84" i="3"/>
  <c r="BH106" i="3"/>
  <c r="BH137" i="3"/>
  <c r="CB7" i="3"/>
  <c r="CB187" i="3"/>
  <c r="BH7" i="3"/>
  <c r="BH24" i="3"/>
  <c r="BH45" i="3"/>
  <c r="BH65" i="3"/>
  <c r="BH87" i="3"/>
  <c r="BH111" i="3"/>
  <c r="BH142" i="3"/>
  <c r="CB27" i="3"/>
  <c r="BH10" i="3"/>
  <c r="BH28" i="3"/>
  <c r="BH48" i="3"/>
  <c r="BH67" i="3"/>
  <c r="BH91" i="3"/>
  <c r="BH115" i="3"/>
  <c r="BH150" i="3"/>
  <c r="CB36" i="3"/>
  <c r="BH13" i="3"/>
  <c r="BH30" i="3"/>
  <c r="BH51" i="3"/>
  <c r="BH72" i="3"/>
  <c r="BH94" i="3"/>
  <c r="BH120" i="3"/>
  <c r="BH161" i="3"/>
  <c r="CB58" i="3"/>
  <c r="BH19" i="3"/>
  <c r="BH37" i="3"/>
  <c r="BH58" i="3"/>
  <c r="BH79" i="3"/>
  <c r="BH102" i="3"/>
  <c r="BH130" i="3"/>
  <c r="BH190" i="3"/>
  <c r="CB126" i="3"/>
  <c r="BH35" i="3"/>
  <c r="BH52" i="3"/>
  <c r="BH70" i="3"/>
  <c r="BH88" i="3"/>
  <c r="BH107" i="3"/>
  <c r="BH127" i="3"/>
  <c r="BH147" i="3"/>
  <c r="CB4" i="3"/>
  <c r="CB55" i="3"/>
  <c r="BH114" i="3"/>
  <c r="BH132" i="3"/>
  <c r="BH163" i="3"/>
  <c r="CB13" i="3"/>
  <c r="CB84" i="3"/>
  <c r="BH135" i="3"/>
  <c r="BH166" i="3"/>
  <c r="CB24" i="3"/>
  <c r="CB85" i="3"/>
  <c r="BH43" i="3"/>
  <c r="BH60" i="3"/>
  <c r="BH78" i="3"/>
  <c r="BH99" i="3"/>
  <c r="BH117" i="3"/>
  <c r="BH136" i="3"/>
  <c r="BH171" i="3"/>
  <c r="CB26" i="3"/>
  <c r="CB90" i="3"/>
  <c r="BH123" i="3"/>
  <c r="BH143" i="3"/>
  <c r="BH186" i="3"/>
  <c r="CB50" i="3"/>
  <c r="CB156" i="3"/>
  <c r="BH149" i="3"/>
  <c r="BH168" i="3"/>
  <c r="BH187" i="3"/>
  <c r="CB12" i="3"/>
  <c r="CB34" i="3"/>
  <c r="CB63" i="3"/>
  <c r="CB92" i="3"/>
  <c r="BH151" i="3"/>
  <c r="BH172" i="3"/>
  <c r="BH191" i="3"/>
  <c r="CB14" i="3"/>
  <c r="CB38" i="3"/>
  <c r="CB68" i="3"/>
  <c r="CB101" i="3"/>
  <c r="BH154" i="3"/>
  <c r="BH173" i="3"/>
  <c r="BH193" i="3"/>
  <c r="CB16" i="3"/>
  <c r="CB40" i="3"/>
  <c r="CB69" i="3"/>
  <c r="CB103" i="3"/>
  <c r="BH156" i="3"/>
  <c r="BH174" i="3"/>
  <c r="BH194" i="3"/>
  <c r="CB19" i="3"/>
  <c r="CB42" i="3"/>
  <c r="CB72" i="3"/>
  <c r="CB105" i="3"/>
  <c r="BH157" i="3"/>
  <c r="BH175" i="3"/>
  <c r="BH196" i="3"/>
  <c r="CB20" i="3"/>
  <c r="CB46" i="3"/>
  <c r="CB75" i="3"/>
  <c r="CB108" i="3"/>
  <c r="BH159" i="3"/>
  <c r="BH178" i="3"/>
  <c r="BH198" i="3"/>
  <c r="CB21" i="3"/>
  <c r="CB49" i="3"/>
  <c r="CB76" i="3"/>
  <c r="CB115" i="3"/>
  <c r="BH145" i="3"/>
  <c r="BH165" i="3"/>
  <c r="BH185" i="3"/>
  <c r="CB8" i="3"/>
  <c r="CB31" i="3"/>
  <c r="CB57" i="3"/>
  <c r="CB86" i="3"/>
  <c r="CB174" i="3"/>
  <c r="DP189" i="3"/>
  <c r="BH4" i="3"/>
  <c r="BH18" i="3"/>
  <c r="BH33" i="3"/>
  <c r="BH47" i="3"/>
  <c r="BH61" i="3"/>
  <c r="BH76" i="3"/>
  <c r="BH90" i="3"/>
  <c r="BH105" i="3"/>
  <c r="BH119" i="3"/>
  <c r="BH133" i="3"/>
  <c r="BH148" i="3"/>
  <c r="BH162" i="3"/>
  <c r="BH177" i="3"/>
  <c r="BH192" i="3"/>
  <c r="CB10" i="3"/>
  <c r="CB25" i="3"/>
  <c r="CB39" i="3"/>
  <c r="CB56" i="3"/>
  <c r="CB73" i="3"/>
  <c r="CB91" i="3"/>
  <c r="CB119" i="3"/>
  <c r="CB130" i="3"/>
  <c r="O197" i="3"/>
  <c r="Q197" i="3" s="1"/>
  <c r="R197" i="3" s="1"/>
  <c r="CB28" i="3"/>
  <c r="CB43" i="3"/>
  <c r="CB61" i="3"/>
  <c r="CB78" i="3"/>
  <c r="CB94" i="3"/>
  <c r="CB137" i="3"/>
  <c r="BH81" i="3"/>
  <c r="BH95" i="3"/>
  <c r="BH124" i="3"/>
  <c r="BH138" i="3"/>
  <c r="BH153" i="3"/>
  <c r="BH167" i="3"/>
  <c r="BH181" i="3"/>
  <c r="BH197" i="3"/>
  <c r="CB15" i="3"/>
  <c r="CB30" i="3"/>
  <c r="CB44" i="3"/>
  <c r="CB62" i="3"/>
  <c r="CB79" i="3"/>
  <c r="CB97" i="3"/>
  <c r="CB141" i="3"/>
  <c r="DP198" i="3"/>
  <c r="BH11" i="3"/>
  <c r="BH25" i="3"/>
  <c r="BH40" i="3"/>
  <c r="BH54" i="3"/>
  <c r="BH69" i="3"/>
  <c r="BH83" i="3"/>
  <c r="BH97" i="3"/>
  <c r="BH112" i="3"/>
  <c r="BH126" i="3"/>
  <c r="BH141" i="3"/>
  <c r="BH155" i="3"/>
  <c r="BH169" i="3"/>
  <c r="BH184" i="3"/>
  <c r="CB3" i="3"/>
  <c r="CB18" i="3"/>
  <c r="CB32" i="3"/>
  <c r="CB48" i="3"/>
  <c r="CB64" i="3"/>
  <c r="CB82" i="3"/>
  <c r="CB102" i="3"/>
  <c r="CB154" i="3"/>
  <c r="CB178" i="3"/>
  <c r="DP200" i="3"/>
  <c r="CB22" i="3"/>
  <c r="CB37" i="3"/>
  <c r="CB54" i="3"/>
  <c r="CB70" i="3"/>
  <c r="CB87" i="3"/>
  <c r="CB113" i="3"/>
  <c r="CB180" i="3"/>
  <c r="O147" i="3"/>
  <c r="AF176" i="3"/>
  <c r="CB45" i="3"/>
  <c r="CB60" i="3"/>
  <c r="CB74" i="3"/>
  <c r="CB88" i="3"/>
  <c r="CB106" i="3"/>
  <c r="CB145" i="3"/>
  <c r="CB117" i="3"/>
  <c r="CB163" i="3"/>
  <c r="CB165" i="3"/>
  <c r="CB52" i="3"/>
  <c r="CB67" i="3"/>
  <c r="CB81" i="3"/>
  <c r="CB96" i="3"/>
  <c r="CB121" i="3"/>
  <c r="CB167" i="3"/>
  <c r="DM150" i="3"/>
  <c r="CB139" i="3"/>
  <c r="CB185" i="3"/>
  <c r="DM124" i="3"/>
  <c r="BH2" i="3"/>
  <c r="BH14" i="3"/>
  <c r="BH26" i="3"/>
  <c r="BH38" i="3"/>
  <c r="BH50" i="3"/>
  <c r="BH62" i="3"/>
  <c r="BH74" i="3"/>
  <c r="BH86" i="3"/>
  <c r="BH98" i="3"/>
  <c r="BH110" i="3"/>
  <c r="BH122" i="3"/>
  <c r="BH134" i="3"/>
  <c r="BH146" i="3"/>
  <c r="BH158" i="3"/>
  <c r="BH170" i="3"/>
  <c r="BH182" i="3"/>
  <c r="BH195" i="3"/>
  <c r="CB11" i="3"/>
  <c r="CB23" i="3"/>
  <c r="CB35" i="3"/>
  <c r="CB47" i="3"/>
  <c r="CB59" i="3"/>
  <c r="CB71" i="3"/>
  <c r="CB83" i="3"/>
  <c r="CB95" i="3"/>
  <c r="CB116" i="3"/>
  <c r="CB152" i="3"/>
  <c r="CB197" i="3"/>
  <c r="T104" i="3"/>
  <c r="BH8" i="3"/>
  <c r="BH20" i="3"/>
  <c r="BH32" i="3"/>
  <c r="BH44" i="3"/>
  <c r="BH56" i="3"/>
  <c r="BH68" i="3"/>
  <c r="BH80" i="3"/>
  <c r="BH92" i="3"/>
  <c r="BH104" i="3"/>
  <c r="BH116" i="3"/>
  <c r="BH128" i="3"/>
  <c r="BH140" i="3"/>
  <c r="BH152" i="3"/>
  <c r="BH164" i="3"/>
  <c r="BH176" i="3"/>
  <c r="BH188" i="3"/>
  <c r="CB5" i="3"/>
  <c r="CB17" i="3"/>
  <c r="CB29" i="3"/>
  <c r="CB41" i="3"/>
  <c r="CB53" i="3"/>
  <c r="CB65" i="3"/>
  <c r="CB77" i="3"/>
  <c r="CB89" i="3"/>
  <c r="CB104" i="3"/>
  <c r="CB132" i="3"/>
  <c r="CB169" i="3"/>
  <c r="T86" i="3"/>
  <c r="DP190" i="3"/>
  <c r="T121" i="3"/>
  <c r="DP192" i="3"/>
  <c r="AK179" i="3"/>
  <c r="AL179" i="3" s="1"/>
  <c r="CB120" i="3"/>
  <c r="CB138" i="3"/>
  <c r="CB153" i="3"/>
  <c r="CB168" i="3"/>
  <c r="CB186" i="3"/>
  <c r="CB107" i="3"/>
  <c r="CB125" i="3"/>
  <c r="CB140" i="3"/>
  <c r="CB155" i="3"/>
  <c r="CB173" i="3"/>
  <c r="CB188" i="3"/>
  <c r="CB189" i="3"/>
  <c r="CB109" i="3"/>
  <c r="CB127" i="3"/>
  <c r="CB142" i="3"/>
  <c r="CB157" i="3"/>
  <c r="CB175" i="3"/>
  <c r="CB190" i="3"/>
  <c r="CB128" i="3"/>
  <c r="CB143" i="3"/>
  <c r="CB161" i="3"/>
  <c r="CB176" i="3"/>
  <c r="CB191" i="3"/>
  <c r="CB114" i="3"/>
  <c r="CB129" i="3"/>
  <c r="CB144" i="3"/>
  <c r="CB162" i="3"/>
  <c r="CB177" i="3"/>
  <c r="CB193" i="3"/>
  <c r="CB131" i="3"/>
  <c r="CB149" i="3"/>
  <c r="CB164" i="3"/>
  <c r="CB179" i="3"/>
  <c r="CB198" i="3"/>
  <c r="CB199" i="3"/>
  <c r="CB118" i="3"/>
  <c r="CB133" i="3"/>
  <c r="CB151" i="3"/>
  <c r="CB166" i="3"/>
  <c r="CB181" i="3"/>
  <c r="CB200" i="3"/>
  <c r="CB2" i="3"/>
  <c r="DM88" i="3"/>
  <c r="DM94" i="3"/>
  <c r="AE104" i="3"/>
  <c r="AH104" i="3" s="1"/>
  <c r="AK97" i="3"/>
  <c r="AL97" i="3" s="1"/>
  <c r="DP115" i="3"/>
  <c r="X146" i="3"/>
  <c r="DP146" i="3"/>
  <c r="DP187" i="3"/>
  <c r="O139" i="3"/>
  <c r="Q139" i="3" s="1"/>
  <c r="R139" i="3" s="1"/>
  <c r="T97" i="3"/>
  <c r="AB127" i="3"/>
  <c r="AD127" i="3" s="1"/>
  <c r="AI127" i="3" s="1"/>
  <c r="O106" i="3"/>
  <c r="Q106" i="3" s="1"/>
  <c r="R106" i="3" s="1"/>
  <c r="AK127" i="3"/>
  <c r="AL127" i="3" s="1"/>
  <c r="Z164" i="3"/>
  <c r="T166" i="3"/>
  <c r="AF99" i="3"/>
  <c r="DP101" i="3"/>
  <c r="DP142" i="3"/>
  <c r="AB125" i="3"/>
  <c r="AD125" i="3" s="1"/>
  <c r="AI125" i="3" s="1"/>
  <c r="AK89" i="3"/>
  <c r="AL89" i="3" s="1"/>
  <c r="AF126" i="3"/>
  <c r="Y173" i="3"/>
  <c r="O95" i="3"/>
  <c r="P95" i="3" s="1"/>
  <c r="X130" i="3"/>
  <c r="AK135" i="3"/>
  <c r="AL135" i="3" s="1"/>
  <c r="O141" i="3"/>
  <c r="Q141" i="3" s="1"/>
  <c r="R141" i="3" s="1"/>
  <c r="AB146" i="3"/>
  <c r="AD146" i="3" s="1"/>
  <c r="AI146" i="3" s="1"/>
  <c r="AF162" i="3"/>
  <c r="AF167" i="3"/>
  <c r="AF90" i="3"/>
  <c r="AF108" i="3"/>
  <c r="O153" i="3"/>
  <c r="Q153" i="3" s="1"/>
  <c r="R153" i="3" s="1"/>
  <c r="DP147" i="3"/>
  <c r="AK157" i="3"/>
  <c r="AL157" i="3" s="1"/>
  <c r="O96" i="3"/>
  <c r="O124" i="3"/>
  <c r="P124" i="3" s="1"/>
  <c r="Y147" i="3"/>
  <c r="AK197" i="3"/>
  <c r="AL197" i="3" s="1"/>
  <c r="X88" i="3"/>
  <c r="AE107" i="3"/>
  <c r="AH107" i="3" s="1"/>
  <c r="DP154" i="3"/>
  <c r="Z88" i="3"/>
  <c r="O107" i="3"/>
  <c r="P107" i="3" s="1"/>
  <c r="O161" i="3"/>
  <c r="Q161" i="3" s="1"/>
  <c r="R161" i="3" s="1"/>
  <c r="X95" i="3"/>
  <c r="Y104" i="3"/>
  <c r="DP116" i="3"/>
  <c r="AF147" i="3"/>
  <c r="DM183" i="3"/>
  <c r="X85" i="3"/>
  <c r="DP167" i="3"/>
  <c r="O173" i="3"/>
  <c r="P173" i="3" s="1"/>
  <c r="O181" i="3"/>
  <c r="Q181" i="3" s="1"/>
  <c r="R181" i="3" s="1"/>
  <c r="Y105" i="3"/>
  <c r="T107" i="3"/>
  <c r="DP124" i="3"/>
  <c r="X157" i="3"/>
  <c r="X173" i="3"/>
  <c r="AE185" i="3"/>
  <c r="AH185" i="3" s="1"/>
  <c r="X96" i="3"/>
  <c r="AB134" i="3"/>
  <c r="AD134" i="3" s="1"/>
  <c r="AI134" i="3" s="1"/>
  <c r="DP86" i="3"/>
  <c r="DM96" i="3"/>
  <c r="DM114" i="3"/>
  <c r="DP119" i="3"/>
  <c r="DM127" i="3"/>
  <c r="AE135" i="3"/>
  <c r="AH135" i="3" s="1"/>
  <c r="DP150" i="3"/>
  <c r="AK164" i="3"/>
  <c r="AL164" i="3" s="1"/>
  <c r="DM186" i="3"/>
  <c r="DM82" i="3"/>
  <c r="Y87" i="3"/>
  <c r="Y119" i="3"/>
  <c r="AK128" i="3"/>
  <c r="AL128" i="3" s="1"/>
  <c r="X137" i="3"/>
  <c r="AF131" i="3"/>
  <c r="Z137" i="3"/>
  <c r="O179" i="3"/>
  <c r="Q179" i="3" s="1"/>
  <c r="R179" i="3" s="1"/>
  <c r="T111" i="3"/>
  <c r="T130" i="3"/>
  <c r="O185" i="3"/>
  <c r="P185" i="3" s="1"/>
  <c r="AK86" i="3"/>
  <c r="AL86" i="3" s="1"/>
  <c r="DP88" i="3"/>
  <c r="DP92" i="3"/>
  <c r="DP105" i="3"/>
  <c r="AK137" i="3"/>
  <c r="AL137" i="3" s="1"/>
  <c r="DM138" i="3"/>
  <c r="DN157" i="3"/>
  <c r="DP157" i="3" s="1"/>
  <c r="AF161" i="3"/>
  <c r="X182" i="3"/>
  <c r="O188" i="3"/>
  <c r="DM194" i="3"/>
  <c r="DM200" i="3"/>
  <c r="AE147" i="3"/>
  <c r="AH147" i="3" s="1"/>
  <c r="DP183" i="3"/>
  <c r="Y121" i="3"/>
  <c r="Y153" i="3"/>
  <c r="DP94" i="3"/>
  <c r="T99" i="3"/>
  <c r="AK102" i="3"/>
  <c r="AL102" i="3" s="1"/>
  <c r="AE105" i="3"/>
  <c r="AH105" i="3" s="1"/>
  <c r="Y106" i="3"/>
  <c r="X144" i="3"/>
  <c r="DP148" i="3"/>
  <c r="DP159" i="3"/>
  <c r="AK190" i="3"/>
  <c r="AL190" i="3" s="1"/>
  <c r="DP102" i="3"/>
  <c r="O105" i="3"/>
  <c r="Q105" i="3" s="1"/>
  <c r="R105" i="3" s="1"/>
  <c r="AF103" i="3"/>
  <c r="AK111" i="3"/>
  <c r="AL111" i="3" s="1"/>
  <c r="AK130" i="3"/>
  <c r="AL130" i="3" s="1"/>
  <c r="DP131" i="3"/>
  <c r="O134" i="3"/>
  <c r="P134" i="3" s="1"/>
  <c r="DM145" i="3"/>
  <c r="DP149" i="3"/>
  <c r="DM164" i="3"/>
  <c r="DP174" i="3"/>
  <c r="AF144" i="3"/>
  <c r="DP164" i="3"/>
  <c r="AE137" i="3"/>
  <c r="AH137" i="3" s="1"/>
  <c r="T138" i="3"/>
  <c r="AK141" i="3"/>
  <c r="AL141" i="3" s="1"/>
  <c r="AK161" i="3"/>
  <c r="AL161" i="3" s="1"/>
  <c r="O169" i="3"/>
  <c r="Q169" i="3" s="1"/>
  <c r="R169" i="3" s="1"/>
  <c r="DM198" i="3"/>
  <c r="X82" i="3"/>
  <c r="AK92" i="3"/>
  <c r="DM158" i="3"/>
  <c r="AE164" i="3"/>
  <c r="AH164" i="3" s="1"/>
  <c r="DP165" i="3"/>
  <c r="T83" i="3"/>
  <c r="X86" i="3"/>
  <c r="T102" i="3"/>
  <c r="DP109" i="3"/>
  <c r="DP113" i="3"/>
  <c r="Y128" i="3"/>
  <c r="AB128" i="3"/>
  <c r="AD128" i="3" s="1"/>
  <c r="AI128" i="3" s="1"/>
  <c r="AB131" i="3"/>
  <c r="AD131" i="3" s="1"/>
  <c r="AI131" i="3" s="1"/>
  <c r="Z144" i="3"/>
  <c r="DM146" i="3"/>
  <c r="Z150" i="3"/>
  <c r="AB154" i="3"/>
  <c r="AD154" i="3" s="1"/>
  <c r="AI154" i="3" s="1"/>
  <c r="AE158" i="3"/>
  <c r="AH158" i="3" s="1"/>
  <c r="DM176" i="3"/>
  <c r="AK185" i="3"/>
  <c r="O186" i="3"/>
  <c r="Q186" i="3" s="1"/>
  <c r="R186" i="3" s="1"/>
  <c r="Y190" i="3"/>
  <c r="O190" i="3"/>
  <c r="P190" i="3" s="1"/>
  <c r="Y194" i="3"/>
  <c r="O194" i="3"/>
  <c r="Q194" i="3" s="1"/>
  <c r="R194" i="3" s="1"/>
  <c r="AK82" i="3"/>
  <c r="DM86" i="3"/>
  <c r="DP87" i="3"/>
  <c r="AF95" i="3"/>
  <c r="DP96" i="3"/>
  <c r="AE106" i="3"/>
  <c r="AH106" i="3" s="1"/>
  <c r="Y110" i="3"/>
  <c r="Z113" i="3"/>
  <c r="T117" i="3"/>
  <c r="DP121" i="3"/>
  <c r="Y138" i="3"/>
  <c r="X138" i="3"/>
  <c r="Z141" i="3"/>
  <c r="DM144" i="3"/>
  <c r="T147" i="3"/>
  <c r="O162" i="3"/>
  <c r="Q162" i="3" s="1"/>
  <c r="R162" i="3" s="1"/>
  <c r="DM165" i="3"/>
  <c r="DP173" i="3"/>
  <c r="AB176" i="3"/>
  <c r="AD176" i="3" s="1"/>
  <c r="AI176" i="3" s="1"/>
  <c r="AF179" i="3"/>
  <c r="X183" i="3"/>
  <c r="DM187" i="3"/>
  <c r="X191" i="3"/>
  <c r="AE194" i="3"/>
  <c r="AH194" i="3" s="1"/>
  <c r="DP132" i="3"/>
  <c r="AB138" i="3"/>
  <c r="AD138" i="3" s="1"/>
  <c r="AI138" i="3" s="1"/>
  <c r="DP155" i="3"/>
  <c r="DP168" i="3"/>
  <c r="DP106" i="3"/>
  <c r="Y117" i="3"/>
  <c r="X165" i="3"/>
  <c r="DP176" i="3"/>
  <c r="AK191" i="3"/>
  <c r="AL191" i="3" s="1"/>
  <c r="Y83" i="3"/>
  <c r="O86" i="3"/>
  <c r="Q86" i="3" s="1"/>
  <c r="R86" i="3" s="1"/>
  <c r="AE94" i="3"/>
  <c r="AH94" i="3" s="1"/>
  <c r="Z96" i="3"/>
  <c r="AB106" i="3"/>
  <c r="AD106" i="3" s="1"/>
  <c r="AI106" i="3" s="1"/>
  <c r="Y111" i="3"/>
  <c r="Y114" i="3"/>
  <c r="O114" i="3"/>
  <c r="AK117" i="3"/>
  <c r="AL117" i="3" s="1"/>
  <c r="O131" i="3"/>
  <c r="Q131" i="3" s="1"/>
  <c r="R131" i="3" s="1"/>
  <c r="Y137" i="3"/>
  <c r="AK138" i="3"/>
  <c r="AL138" i="3" s="1"/>
  <c r="AF139" i="3"/>
  <c r="O142" i="3"/>
  <c r="Q142" i="3" s="1"/>
  <c r="R142" i="3" s="1"/>
  <c r="DM147" i="3"/>
  <c r="DP151" i="3"/>
  <c r="O154" i="3"/>
  <c r="Q154" i="3" s="1"/>
  <c r="R154" i="3" s="1"/>
  <c r="Y159" i="3"/>
  <c r="T159" i="3"/>
  <c r="Z173" i="3"/>
  <c r="AK181" i="3"/>
  <c r="AL181" i="3" s="1"/>
  <c r="AE184" i="3"/>
  <c r="AH184" i="3" s="1"/>
  <c r="DM191" i="3"/>
  <c r="AK199" i="3"/>
  <c r="AL199" i="3" s="1"/>
  <c r="X87" i="3"/>
  <c r="AF97" i="3"/>
  <c r="AE99" i="3"/>
  <c r="AH99" i="3" s="1"/>
  <c r="X114" i="3"/>
  <c r="O117" i="3"/>
  <c r="Q117" i="3" s="1"/>
  <c r="R117" i="3" s="1"/>
  <c r="AF123" i="3"/>
  <c r="AE125" i="3"/>
  <c r="AH125" i="3" s="1"/>
  <c r="DP137" i="3"/>
  <c r="X145" i="3"/>
  <c r="T157" i="3"/>
  <c r="X159" i="3"/>
  <c r="Y169" i="3"/>
  <c r="AE173" i="3"/>
  <c r="AH173" i="3" s="1"/>
  <c r="AB173" i="3"/>
  <c r="AD173" i="3" s="1"/>
  <c r="AI173" i="3" s="1"/>
  <c r="DP188" i="3"/>
  <c r="DP196" i="3"/>
  <c r="DP84" i="3"/>
  <c r="X90" i="3"/>
  <c r="DM115" i="3"/>
  <c r="DP123" i="3"/>
  <c r="Y145" i="3"/>
  <c r="DP166" i="3"/>
  <c r="DM182" i="3"/>
  <c r="DM184" i="3"/>
  <c r="Y188" i="3"/>
  <c r="DP110" i="3"/>
  <c r="AF83" i="3"/>
  <c r="T105" i="3"/>
  <c r="AF124" i="3"/>
  <c r="AE143" i="3"/>
  <c r="AH143" i="3" s="1"/>
  <c r="AE153" i="3"/>
  <c r="AH153" i="3" s="1"/>
  <c r="AF160" i="3"/>
  <c r="O191" i="3"/>
  <c r="P191" i="3" s="1"/>
  <c r="O83" i="3"/>
  <c r="Q83" i="3" s="1"/>
  <c r="R83" i="3" s="1"/>
  <c r="AK87" i="3"/>
  <c r="AL87" i="3" s="1"/>
  <c r="AF111" i="3"/>
  <c r="T135" i="3"/>
  <c r="AK145" i="3"/>
  <c r="AL145" i="3" s="1"/>
  <c r="AK146" i="3"/>
  <c r="AL146" i="3" s="1"/>
  <c r="DM157" i="3"/>
  <c r="O159" i="3"/>
  <c r="Q159" i="3" s="1"/>
  <c r="R159" i="3" s="1"/>
  <c r="O164" i="3"/>
  <c r="P164" i="3" s="1"/>
  <c r="AE167" i="3"/>
  <c r="AH167" i="3" s="1"/>
  <c r="AF171" i="3"/>
  <c r="Y174" i="3"/>
  <c r="T182" i="3"/>
  <c r="DM193" i="3"/>
  <c r="DP14" i="3"/>
  <c r="DP20" i="3"/>
  <c r="AF4" i="3"/>
  <c r="AE46" i="3"/>
  <c r="AH46" i="3" s="1"/>
  <c r="DM54" i="3"/>
  <c r="DP75" i="3"/>
  <c r="DM81" i="3"/>
  <c r="O21" i="3"/>
  <c r="Q21" i="3" s="1"/>
  <c r="R21" i="3" s="1"/>
  <c r="O39" i="3"/>
  <c r="Q39" i="3" s="1"/>
  <c r="R39" i="3" s="1"/>
  <c r="T27" i="3"/>
  <c r="T39" i="3"/>
  <c r="T75" i="3"/>
  <c r="DP27" i="3"/>
  <c r="AK38" i="3"/>
  <c r="AL38" i="3" s="1"/>
  <c r="Y41" i="3"/>
  <c r="T60" i="3"/>
  <c r="Y71" i="3"/>
  <c r="DP78" i="3"/>
  <c r="Y37" i="3"/>
  <c r="DP8" i="3"/>
  <c r="DP81" i="3"/>
  <c r="AF21" i="3"/>
  <c r="AF66" i="3"/>
  <c r="T70" i="3"/>
  <c r="DP46" i="3"/>
  <c r="DP70" i="3"/>
  <c r="X61" i="3"/>
  <c r="DP42" i="3"/>
  <c r="DP17" i="3"/>
  <c r="AK12" i="3"/>
  <c r="AL12" i="3" s="1"/>
  <c r="AF31" i="3"/>
  <c r="AF49" i="3"/>
  <c r="AF15" i="3"/>
  <c r="AK47" i="3"/>
  <c r="AL47" i="3" s="1"/>
  <c r="O15" i="3"/>
  <c r="P15" i="3" s="1"/>
  <c r="AB70" i="3"/>
  <c r="AD70" i="3" s="1"/>
  <c r="AI70" i="3" s="1"/>
  <c r="DP76" i="3"/>
  <c r="DP24" i="3"/>
  <c r="AK34" i="3"/>
  <c r="AL34" i="3" s="1"/>
  <c r="DP44" i="3"/>
  <c r="DP56" i="3"/>
  <c r="DM74" i="3"/>
  <c r="Y10" i="3"/>
  <c r="O10" i="3"/>
  <c r="Q10" i="3" s="1"/>
  <c r="R10" i="3" s="1"/>
  <c r="Y43" i="3"/>
  <c r="DP54" i="3"/>
  <c r="DP15" i="3"/>
  <c r="T21" i="3"/>
  <c r="DP25" i="3"/>
  <c r="DP37" i="3"/>
  <c r="AF64" i="3"/>
  <c r="AE77" i="3"/>
  <c r="AH77" i="3" s="1"/>
  <c r="DM32" i="3"/>
  <c r="X44" i="3"/>
  <c r="O19" i="3"/>
  <c r="Q19" i="3" s="1"/>
  <c r="R19" i="3" s="1"/>
  <c r="T13" i="3"/>
  <c r="DM17" i="3"/>
  <c r="Y21" i="3"/>
  <c r="AB21" i="3"/>
  <c r="AD21" i="3" s="1"/>
  <c r="AI21" i="3" s="1"/>
  <c r="O51" i="3"/>
  <c r="Q51" i="3" s="1"/>
  <c r="R51" i="3" s="1"/>
  <c r="DP62" i="3"/>
  <c r="X68" i="3"/>
  <c r="DM69" i="3"/>
  <c r="T4" i="3"/>
  <c r="DM36" i="3"/>
  <c r="DM47" i="3"/>
  <c r="DP82" i="3"/>
  <c r="DM97" i="3"/>
  <c r="X97" i="3"/>
  <c r="AB118" i="3"/>
  <c r="AD118" i="3" s="1"/>
  <c r="AI118" i="3" s="1"/>
  <c r="Y118" i="3"/>
  <c r="T118" i="3"/>
  <c r="O118" i="3"/>
  <c r="DM133" i="3"/>
  <c r="AK133" i="3"/>
  <c r="AL133" i="3" s="1"/>
  <c r="AF133" i="3"/>
  <c r="Y133" i="3"/>
  <c r="X133" i="3"/>
  <c r="O133" i="3"/>
  <c r="Q133" i="3" s="1"/>
  <c r="R133" i="3" s="1"/>
  <c r="AE26" i="3"/>
  <c r="AH26" i="3" s="1"/>
  <c r="AB91" i="3"/>
  <c r="AD91" i="3" s="1"/>
  <c r="AI91" i="3" s="1"/>
  <c r="Z91" i="3"/>
  <c r="T145" i="3"/>
  <c r="DM151" i="3"/>
  <c r="Z151" i="3"/>
  <c r="T151" i="3"/>
  <c r="DM156" i="3"/>
  <c r="AK156" i="3"/>
  <c r="AL156" i="3" s="1"/>
  <c r="X156" i="3"/>
  <c r="Y3" i="3"/>
  <c r="DM13" i="3"/>
  <c r="DP52" i="3"/>
  <c r="DP58" i="3"/>
  <c r="DP63" i="3"/>
  <c r="O66" i="3"/>
  <c r="Q66" i="3" s="1"/>
  <c r="R66" i="3" s="1"/>
  <c r="AB68" i="3"/>
  <c r="AD68" i="3" s="1"/>
  <c r="AI68" i="3" s="1"/>
  <c r="O71" i="3"/>
  <c r="Q71" i="3" s="1"/>
  <c r="R71" i="3" s="1"/>
  <c r="O130" i="3"/>
  <c r="DP145" i="3"/>
  <c r="DN199" i="3"/>
  <c r="DP199" i="3" s="1"/>
  <c r="DM199" i="3"/>
  <c r="Y14" i="3"/>
  <c r="DP23" i="3"/>
  <c r="AK29" i="3"/>
  <c r="AL29" i="3" s="1"/>
  <c r="T35" i="3"/>
  <c r="O43" i="3"/>
  <c r="Q43" i="3" s="1"/>
  <c r="R43" i="3" s="1"/>
  <c r="DN47" i="3"/>
  <c r="DP47" i="3" s="1"/>
  <c r="AF51" i="3"/>
  <c r="DM53" i="3"/>
  <c r="AF86" i="3"/>
  <c r="DN139" i="3"/>
  <c r="DP139" i="3" s="1"/>
  <c r="DM139" i="3"/>
  <c r="X199" i="3"/>
  <c r="DM3" i="3"/>
  <c r="AK3" i="3"/>
  <c r="AL3" i="3" s="1"/>
  <c r="Y4" i="3"/>
  <c r="O4" i="3"/>
  <c r="Q4" i="3" s="1"/>
  <c r="R4" i="3" s="1"/>
  <c r="AF8" i="3"/>
  <c r="DP11" i="3"/>
  <c r="Y19" i="3"/>
  <c r="Z43" i="3"/>
  <c r="DP53" i="3"/>
  <c r="DP59" i="3"/>
  <c r="AF62" i="3"/>
  <c r="DP64" i="3"/>
  <c r="DN97" i="3"/>
  <c r="DP97" i="3" s="1"/>
  <c r="DM166" i="3"/>
  <c r="O57" i="3"/>
  <c r="Q57" i="3" s="1"/>
  <c r="R57" i="3" s="1"/>
  <c r="AK93" i="3"/>
  <c r="AL93" i="3" s="1"/>
  <c r="AE93" i="3"/>
  <c r="AH93" i="3" s="1"/>
  <c r="AB93" i="3"/>
  <c r="AD93" i="3" s="1"/>
  <c r="AI93" i="3" s="1"/>
  <c r="AK98" i="3"/>
  <c r="AL98" i="3" s="1"/>
  <c r="AE98" i="3"/>
  <c r="AH98" i="3" s="1"/>
  <c r="AB98" i="3"/>
  <c r="AD98" i="3" s="1"/>
  <c r="AI98" i="3" s="1"/>
  <c r="AE112" i="3"/>
  <c r="AH112" i="3" s="1"/>
  <c r="AB112" i="3"/>
  <c r="AD112" i="3" s="1"/>
  <c r="AI112" i="3" s="1"/>
  <c r="T112" i="3"/>
  <c r="AF116" i="3"/>
  <c r="X116" i="3"/>
  <c r="T116" i="3"/>
  <c r="DM120" i="3"/>
  <c r="AK120" i="3"/>
  <c r="AL120" i="3" s="1"/>
  <c r="AB120" i="3"/>
  <c r="AD120" i="3" s="1"/>
  <c r="AI120" i="3" s="1"/>
  <c r="Y120" i="3"/>
  <c r="T120" i="3"/>
  <c r="O120" i="3"/>
  <c r="Q120" i="3" s="1"/>
  <c r="R120" i="3" s="1"/>
  <c r="AF140" i="3"/>
  <c r="AF170" i="3"/>
  <c r="AE170" i="3"/>
  <c r="AH170" i="3" s="1"/>
  <c r="T170" i="3"/>
  <c r="DM177" i="3"/>
  <c r="AK177" i="3"/>
  <c r="X177" i="3"/>
  <c r="AE183" i="3"/>
  <c r="AH183" i="3" s="1"/>
  <c r="AK183" i="3"/>
  <c r="AL183" i="3" s="1"/>
  <c r="DM188" i="3"/>
  <c r="AF172" i="3"/>
  <c r="AE172" i="3"/>
  <c r="AH172" i="3" s="1"/>
  <c r="Z172" i="3"/>
  <c r="O172" i="3"/>
  <c r="Q172" i="3" s="1"/>
  <c r="R172" i="3" s="1"/>
  <c r="DM129" i="3"/>
  <c r="Y129" i="3"/>
  <c r="T129" i="3"/>
  <c r="DP5" i="3"/>
  <c r="T12" i="3"/>
  <c r="AE20" i="3"/>
  <c r="AH20" i="3" s="1"/>
  <c r="T26" i="3"/>
  <c r="AK43" i="3"/>
  <c r="AL43" i="3" s="1"/>
  <c r="X49" i="3"/>
  <c r="DN153" i="3"/>
  <c r="DP153" i="3" s="1"/>
  <c r="DM153" i="3"/>
  <c r="AE4" i="3"/>
  <c r="AH4" i="3" s="1"/>
  <c r="AE6" i="3"/>
  <c r="AH6" i="3" s="1"/>
  <c r="X31" i="3"/>
  <c r="DM40" i="3"/>
  <c r="DM60" i="3"/>
  <c r="T82" i="3"/>
  <c r="O84" i="3"/>
  <c r="Q84" i="3" s="1"/>
  <c r="R84" i="3" s="1"/>
  <c r="O90" i="3"/>
  <c r="DM90" i="3"/>
  <c r="AK90" i="3"/>
  <c r="AL90" i="3" s="1"/>
  <c r="Y93" i="3"/>
  <c r="O93" i="3"/>
  <c r="Q93" i="3" s="1"/>
  <c r="R93" i="3" s="1"/>
  <c r="O135" i="3"/>
  <c r="P135" i="3" s="1"/>
  <c r="Q188" i="3"/>
  <c r="R188" i="3" s="1"/>
  <c r="P188" i="3"/>
  <c r="T32" i="3"/>
  <c r="Y84" i="3"/>
  <c r="Z94" i="3"/>
  <c r="Y94" i="3"/>
  <c r="T94" i="3"/>
  <c r="O99" i="3"/>
  <c r="AK152" i="3"/>
  <c r="AL152" i="3" s="1"/>
  <c r="AF152" i="3"/>
  <c r="T3" i="3"/>
  <c r="Y31" i="3"/>
  <c r="DP50" i="3"/>
  <c r="AE56" i="3"/>
  <c r="AH56" i="3" s="1"/>
  <c r="T90" i="3"/>
  <c r="AF135" i="3"/>
  <c r="DN197" i="3"/>
  <c r="DP197" i="3" s="1"/>
  <c r="DM197" i="3"/>
  <c r="X197" i="3"/>
  <c r="DP79" i="3"/>
  <c r="AB96" i="3"/>
  <c r="AD96" i="3" s="1"/>
  <c r="AI96" i="3" s="1"/>
  <c r="DP98" i="3"/>
  <c r="DM99" i="3"/>
  <c r="O104" i="3"/>
  <c r="AB114" i="3"/>
  <c r="AD114" i="3" s="1"/>
  <c r="AI114" i="3" s="1"/>
  <c r="X120" i="3"/>
  <c r="T124" i="3"/>
  <c r="AB130" i="3"/>
  <c r="AD130" i="3" s="1"/>
  <c r="AI130" i="3" s="1"/>
  <c r="T134" i="3"/>
  <c r="DM137" i="3"/>
  <c r="T139" i="3"/>
  <c r="AE146" i="3"/>
  <c r="AH146" i="3" s="1"/>
  <c r="T153" i="3"/>
  <c r="DM159" i="3"/>
  <c r="Y161" i="3"/>
  <c r="DP169" i="3"/>
  <c r="DP172" i="3"/>
  <c r="AE179" i="3"/>
  <c r="AH179" i="3" s="1"/>
  <c r="Y182" i="3"/>
  <c r="O183" i="3"/>
  <c r="Z186" i="3"/>
  <c r="X190" i="3"/>
  <c r="T193" i="3"/>
  <c r="DP69" i="3"/>
  <c r="DP90" i="3"/>
  <c r="Y112" i="3"/>
  <c r="AK114" i="3"/>
  <c r="AL114" i="3" s="1"/>
  <c r="AF121" i="3"/>
  <c r="DP122" i="3"/>
  <c r="AE124" i="3"/>
  <c r="AH124" i="3" s="1"/>
  <c r="X124" i="3"/>
  <c r="DP127" i="3"/>
  <c r="AE130" i="3"/>
  <c r="AH130" i="3" s="1"/>
  <c r="X134" i="3"/>
  <c r="X141" i="3"/>
  <c r="DP143" i="3"/>
  <c r="AF146" i="3"/>
  <c r="X153" i="3"/>
  <c r="X158" i="3"/>
  <c r="AB161" i="3"/>
  <c r="AD161" i="3" s="1"/>
  <c r="AI161" i="3" s="1"/>
  <c r="Z182" i="3"/>
  <c r="DP184" i="3"/>
  <c r="T188" i="3"/>
  <c r="Z190" i="3"/>
  <c r="AK194" i="3"/>
  <c r="AL194" i="3" s="1"/>
  <c r="T194" i="3"/>
  <c r="DP80" i="3"/>
  <c r="DP100" i="3"/>
  <c r="DP107" i="3"/>
  <c r="DM130" i="3"/>
  <c r="AE139" i="3"/>
  <c r="AH139" i="3" s="1"/>
  <c r="Y141" i="3"/>
  <c r="AK153" i="3"/>
  <c r="AL153" i="3" s="1"/>
  <c r="AB158" i="3"/>
  <c r="AD158" i="3" s="1"/>
  <c r="AI158" i="3" s="1"/>
  <c r="AE161" i="3"/>
  <c r="AH161" i="3" s="1"/>
  <c r="T165" i="3"/>
  <c r="AF166" i="3"/>
  <c r="AE182" i="3"/>
  <c r="AH182" i="3" s="1"/>
  <c r="AK188" i="3"/>
  <c r="AL188" i="3" s="1"/>
  <c r="X188" i="3"/>
  <c r="AB190" i="3"/>
  <c r="AD190" i="3" s="1"/>
  <c r="AI190" i="3" s="1"/>
  <c r="X194" i="3"/>
  <c r="AK116" i="3"/>
  <c r="AL116" i="3" s="1"/>
  <c r="DP130" i="3"/>
  <c r="AK170" i="3"/>
  <c r="AL170" i="3" s="1"/>
  <c r="DM76" i="3"/>
  <c r="AE95" i="3"/>
  <c r="AH95" i="3" s="1"/>
  <c r="AF98" i="3"/>
  <c r="Q107" i="3"/>
  <c r="R107" i="3" s="1"/>
  <c r="S107" i="3" s="1"/>
  <c r="AF112" i="3"/>
  <c r="AE118" i="3"/>
  <c r="AH118" i="3" s="1"/>
  <c r="AF129" i="3"/>
  <c r="DP129" i="3"/>
  <c r="AE141" i="3"/>
  <c r="AH141" i="3" s="1"/>
  <c r="AF158" i="3"/>
  <c r="X164" i="3"/>
  <c r="Y165" i="3"/>
  <c r="T167" i="3"/>
  <c r="T169" i="3"/>
  <c r="O174" i="3"/>
  <c r="T176" i="3"/>
  <c r="T183" i="3"/>
  <c r="AF188" i="3"/>
  <c r="X193" i="3"/>
  <c r="Y200" i="3"/>
  <c r="O200" i="3"/>
  <c r="AK95" i="3"/>
  <c r="AL95" i="3" s="1"/>
  <c r="O112" i="3"/>
  <c r="Q112" i="3" s="1"/>
  <c r="R112" i="3" s="1"/>
  <c r="T115" i="3"/>
  <c r="Z123" i="3"/>
  <c r="AF150" i="3"/>
  <c r="AK158" i="3"/>
  <c r="Z160" i="3"/>
  <c r="Y164" i="3"/>
  <c r="AK165" i="3"/>
  <c r="AL165" i="3" s="1"/>
  <c r="X167" i="3"/>
  <c r="X169" i="3"/>
  <c r="Y171" i="3"/>
  <c r="O171" i="3"/>
  <c r="Q171" i="3" s="1"/>
  <c r="R171" i="3" s="1"/>
  <c r="X174" i="3"/>
  <c r="X176" i="3"/>
  <c r="O177" i="3"/>
  <c r="P177" i="3" s="1"/>
  <c r="DP181" i="3"/>
  <c r="T187" i="3"/>
  <c r="AE193" i="3"/>
  <c r="AH193" i="3" s="1"/>
  <c r="DP95" i="3"/>
  <c r="DP99" i="3"/>
  <c r="AF105" i="3"/>
  <c r="Y115" i="3"/>
  <c r="DP125" i="3"/>
  <c r="DP140" i="3"/>
  <c r="T146" i="3"/>
  <c r="DP158" i="3"/>
  <c r="AB160" i="3"/>
  <c r="AD160" i="3" s="1"/>
  <c r="AI160" i="3" s="1"/>
  <c r="DP162" i="3"/>
  <c r="T171" i="3"/>
  <c r="DP178" i="3"/>
  <c r="DP182" i="3"/>
  <c r="Z187" i="3"/>
  <c r="DP195" i="3"/>
  <c r="T198" i="3"/>
  <c r="X200" i="3"/>
  <c r="AE83" i="3"/>
  <c r="AH83" i="3" s="1"/>
  <c r="Y99" i="3"/>
  <c r="DP120" i="3"/>
  <c r="DP128" i="3"/>
  <c r="Y135" i="3"/>
  <c r="O138" i="3"/>
  <c r="Y144" i="3"/>
  <c r="Y150" i="3"/>
  <c r="AE160" i="3"/>
  <c r="AH160" i="3" s="1"/>
  <c r="AK167" i="3"/>
  <c r="AL167" i="3" s="1"/>
  <c r="AB171" i="3"/>
  <c r="AD171" i="3" s="1"/>
  <c r="AI171" i="3" s="1"/>
  <c r="AK176" i="3"/>
  <c r="AL176" i="3" s="1"/>
  <c r="AE176" i="3"/>
  <c r="AH176" i="3" s="1"/>
  <c r="AB185" i="3"/>
  <c r="AD185" i="3" s="1"/>
  <c r="AI185" i="3" s="1"/>
  <c r="AK193" i="3"/>
  <c r="AL193" i="3" s="1"/>
  <c r="AK200" i="3"/>
  <c r="AL200" i="3" s="1"/>
  <c r="AE200" i="3"/>
  <c r="AH200" i="3" s="1"/>
  <c r="AK160" i="3"/>
  <c r="DM169" i="3"/>
  <c r="AK171" i="3"/>
  <c r="AL171" i="3" s="1"/>
  <c r="AE171" i="3"/>
  <c r="AH171" i="3" s="1"/>
  <c r="DM174" i="3"/>
  <c r="AE111" i="3"/>
  <c r="AH111" i="3" s="1"/>
  <c r="DP194" i="3"/>
  <c r="DM9" i="3"/>
  <c r="DM24" i="3"/>
  <c r="X35" i="3"/>
  <c r="AK51" i="3"/>
  <c r="AL51" i="3" s="1"/>
  <c r="X64" i="3"/>
  <c r="T71" i="3"/>
  <c r="DM80" i="3"/>
  <c r="Y9" i="3"/>
  <c r="X9" i="3"/>
  <c r="DM20" i="3"/>
  <c r="X47" i="3"/>
  <c r="X55" i="3"/>
  <c r="DM75" i="3"/>
  <c r="DP60" i="3"/>
  <c r="DP68" i="3"/>
  <c r="T80" i="3"/>
  <c r="Y5" i="3"/>
  <c r="X3" i="3"/>
  <c r="Y6" i="3"/>
  <c r="AB6" i="3"/>
  <c r="AD6" i="3" s="1"/>
  <c r="AI6" i="3" s="1"/>
  <c r="Y13" i="3"/>
  <c r="DM25" i="3"/>
  <c r="O32" i="3"/>
  <c r="P32" i="3" s="1"/>
  <c r="DP36" i="3"/>
  <c r="X41" i="3"/>
  <c r="Y47" i="3"/>
  <c r="AB47" i="3"/>
  <c r="AD47" i="3" s="1"/>
  <c r="AI47" i="3" s="1"/>
  <c r="AB51" i="3"/>
  <c r="AD51" i="3" s="1"/>
  <c r="AI51" i="3" s="1"/>
  <c r="T55" i="3"/>
  <c r="DP61" i="3"/>
  <c r="DM64" i="3"/>
  <c r="Y68" i="3"/>
  <c r="AE71" i="3"/>
  <c r="AH71" i="3" s="1"/>
  <c r="DM65" i="3"/>
  <c r="DP32" i="3"/>
  <c r="AK6" i="3"/>
  <c r="AL6" i="3" s="1"/>
  <c r="T7" i="3"/>
  <c r="T10" i="3"/>
  <c r="AF13" i="3"/>
  <c r="T15" i="3"/>
  <c r="O26" i="3"/>
  <c r="P26" i="3" s="1"/>
  <c r="AE38" i="3"/>
  <c r="AH38" i="3" s="1"/>
  <c r="AB41" i="3"/>
  <c r="AD41" i="3" s="1"/>
  <c r="AI41" i="3" s="1"/>
  <c r="AE47" i="3"/>
  <c r="AH47" i="3" s="1"/>
  <c r="Y52" i="3"/>
  <c r="AK57" i="3"/>
  <c r="AL57" i="3" s="1"/>
  <c r="AB65" i="3"/>
  <c r="AD65" i="3" s="1"/>
  <c r="AI65" i="3" s="1"/>
  <c r="Y7" i="3"/>
  <c r="O13" i="3"/>
  <c r="Q13" i="3" s="1"/>
  <c r="R13" i="3" s="1"/>
  <c r="AK17" i="3"/>
  <c r="AL17" i="3" s="1"/>
  <c r="DP33" i="3"/>
  <c r="O47" i="3"/>
  <c r="P47" i="3" s="1"/>
  <c r="DP48" i="3"/>
  <c r="Z52" i="3"/>
  <c r="T69" i="3"/>
  <c r="DP73" i="3"/>
  <c r="AF76" i="3"/>
  <c r="Y77" i="3"/>
  <c r="O77" i="3"/>
  <c r="Q77" i="3" s="1"/>
  <c r="R77" i="3" s="1"/>
  <c r="AK15" i="3"/>
  <c r="AL15" i="3" s="1"/>
  <c r="DP30" i="3"/>
  <c r="AF39" i="3"/>
  <c r="AK45" i="3"/>
  <c r="AL45" i="3" s="1"/>
  <c r="DP66" i="3"/>
  <c r="O9" i="3"/>
  <c r="Q9" i="3" s="1"/>
  <c r="R9" i="3" s="1"/>
  <c r="AB4" i="3"/>
  <c r="AD4" i="3" s="1"/>
  <c r="AI4" i="3" s="1"/>
  <c r="T9" i="3"/>
  <c r="AE12" i="3"/>
  <c r="AH12" i="3" s="1"/>
  <c r="AE19" i="3"/>
  <c r="AH19" i="3" s="1"/>
  <c r="AB26" i="3"/>
  <c r="AD26" i="3" s="1"/>
  <c r="AI26" i="3" s="1"/>
  <c r="AE37" i="3"/>
  <c r="AH37" i="3" s="1"/>
  <c r="AK56" i="3"/>
  <c r="AL56" i="3" s="1"/>
  <c r="AE65" i="3"/>
  <c r="AH65" i="3" s="1"/>
  <c r="AF9" i="3"/>
  <c r="Y8" i="3"/>
  <c r="X12" i="3"/>
  <c r="Y15" i="3"/>
  <c r="X15" i="3"/>
  <c r="AF19" i="3"/>
  <c r="DM23" i="3"/>
  <c r="O35" i="3"/>
  <c r="Q35" i="3" s="1"/>
  <c r="R35" i="3" s="1"/>
  <c r="O37" i="3"/>
  <c r="P37" i="3" s="1"/>
  <c r="DM45" i="3"/>
  <c r="DM50" i="3"/>
  <c r="Y53" i="3"/>
  <c r="DM59" i="3"/>
  <c r="DM63" i="3"/>
  <c r="Z66" i="3"/>
  <c r="AF77" i="3"/>
  <c r="DM79" i="3"/>
  <c r="AF37" i="3"/>
  <c r="X16" i="3"/>
  <c r="AF14" i="3"/>
  <c r="O16" i="3"/>
  <c r="AK19" i="3"/>
  <c r="AL19" i="3" s="1"/>
  <c r="O23" i="3"/>
  <c r="O31" i="3"/>
  <c r="AK31" i="3"/>
  <c r="AL31" i="3" s="1"/>
  <c r="AK35" i="3"/>
  <c r="AL35" i="3" s="1"/>
  <c r="AE41" i="3"/>
  <c r="AH41" i="3" s="1"/>
  <c r="O45" i="3"/>
  <c r="P45" i="3" s="1"/>
  <c r="X50" i="3"/>
  <c r="X63" i="3"/>
  <c r="AK68" i="3"/>
  <c r="AL68" i="3" s="1"/>
  <c r="X70" i="3"/>
  <c r="Y79" i="3"/>
  <c r="AE10" i="3"/>
  <c r="AH10" i="3" s="1"/>
  <c r="Y18" i="3"/>
  <c r="DM19" i="3"/>
  <c r="DP21" i="3"/>
  <c r="X25" i="3"/>
  <c r="DM26" i="3"/>
  <c r="O29" i="3"/>
  <c r="Q29" i="3" s="1"/>
  <c r="R29" i="3" s="1"/>
  <c r="DM31" i="3"/>
  <c r="DM35" i="3"/>
  <c r="AK41" i="3"/>
  <c r="AL41" i="3" s="1"/>
  <c r="Y46" i="3"/>
  <c r="T54" i="3"/>
  <c r="AF56" i="3"/>
  <c r="O59" i="3"/>
  <c r="Q59" i="3" s="1"/>
  <c r="R59" i="3" s="1"/>
  <c r="Y63" i="3"/>
  <c r="DM68" i="3"/>
  <c r="DP72" i="3"/>
  <c r="O74" i="3"/>
  <c r="Q74" i="3" s="1"/>
  <c r="R74" i="3" s="1"/>
  <c r="AF75" i="3"/>
  <c r="T81" i="3"/>
  <c r="Z18" i="3"/>
  <c r="X23" i="3"/>
  <c r="Y25" i="3"/>
  <c r="DP26" i="3"/>
  <c r="AB29" i="3"/>
  <c r="AD29" i="3" s="1"/>
  <c r="AI29" i="3" s="1"/>
  <c r="DP40" i="3"/>
  <c r="DP49" i="3"/>
  <c r="DP55" i="3"/>
  <c r="DM56" i="3"/>
  <c r="X59" i="3"/>
  <c r="Z63" i="3"/>
  <c r="DP65" i="3"/>
  <c r="DM70" i="3"/>
  <c r="O72" i="3"/>
  <c r="Q72" i="3" s="1"/>
  <c r="R72" i="3" s="1"/>
  <c r="X74" i="3"/>
  <c r="T77" i="3"/>
  <c r="X56" i="3"/>
  <c r="AF16" i="3"/>
  <c r="Y16" i="3"/>
  <c r="AB23" i="3"/>
  <c r="AD23" i="3" s="1"/>
  <c r="AI23" i="3" s="1"/>
  <c r="AE25" i="3"/>
  <c r="AH25" i="3" s="1"/>
  <c r="X34" i="3"/>
  <c r="T38" i="3"/>
  <c r="Y40" i="3"/>
  <c r="AE42" i="3"/>
  <c r="AH42" i="3" s="1"/>
  <c r="Y59" i="3"/>
  <c r="T61" i="3"/>
  <c r="AK63" i="3"/>
  <c r="AL63" i="3" s="1"/>
  <c r="AF63" i="3"/>
  <c r="Y65" i="3"/>
  <c r="O65" i="3"/>
  <c r="Q65" i="3" s="1"/>
  <c r="R65" i="3" s="1"/>
  <c r="Y72" i="3"/>
  <c r="Y74" i="3"/>
  <c r="T76" i="3"/>
  <c r="AB77" i="3"/>
  <c r="AD77" i="3" s="1"/>
  <c r="AI77" i="3" s="1"/>
  <c r="O7" i="3"/>
  <c r="Q7" i="3" s="1"/>
  <c r="R7" i="3" s="1"/>
  <c r="AK23" i="3"/>
  <c r="AL23" i="3" s="1"/>
  <c r="AF25" i="3"/>
  <c r="AK25" i="3"/>
  <c r="AL25" i="3" s="1"/>
  <c r="DP28" i="3"/>
  <c r="O53" i="3"/>
  <c r="Q53" i="3" s="1"/>
  <c r="R53" i="3" s="1"/>
  <c r="AE59" i="3"/>
  <c r="AH59" i="3" s="1"/>
  <c r="T65" i="3"/>
  <c r="DP67" i="3"/>
  <c r="AB74" i="3"/>
  <c r="AD74" i="3" s="1"/>
  <c r="AI74" i="3" s="1"/>
  <c r="X76" i="3"/>
  <c r="Y80" i="3"/>
  <c r="O80" i="3"/>
  <c r="Q80" i="3" s="1"/>
  <c r="R80" i="3" s="1"/>
  <c r="AF81" i="3"/>
  <c r="AE31" i="3"/>
  <c r="AH31" i="3" s="1"/>
  <c r="AE9" i="3"/>
  <c r="AH9" i="3" s="1"/>
  <c r="O20" i="3"/>
  <c r="DP22" i="3"/>
  <c r="O25" i="3"/>
  <c r="Q25" i="3" s="1"/>
  <c r="R25" i="3" s="1"/>
  <c r="DP43" i="3"/>
  <c r="X53" i="3"/>
  <c r="AK59" i="3"/>
  <c r="AL59" i="3" s="1"/>
  <c r="AK74" i="3"/>
  <c r="AL74" i="3" s="1"/>
  <c r="AE15" i="3"/>
  <c r="AH15" i="3" s="1"/>
  <c r="AK28" i="3"/>
  <c r="AL28" i="3" s="1"/>
  <c r="DM38" i="3"/>
  <c r="T49" i="3"/>
  <c r="X80" i="3"/>
  <c r="DP34" i="3"/>
  <c r="O3" i="3"/>
  <c r="P3" i="3" s="1"/>
  <c r="DN3" i="3"/>
  <c r="DP3" i="3" s="1"/>
  <c r="AF7" i="3"/>
  <c r="DN9" i="3"/>
  <c r="DP9" i="3" s="1"/>
  <c r="Y12" i="3"/>
  <c r="T17" i="3"/>
  <c r="T20" i="3"/>
  <c r="AB32" i="3"/>
  <c r="AD32" i="3" s="1"/>
  <c r="AI32" i="3" s="1"/>
  <c r="DM41" i="3"/>
  <c r="AE53" i="3"/>
  <c r="AH53" i="3" s="1"/>
  <c r="AB57" i="3"/>
  <c r="AD57" i="3" s="1"/>
  <c r="AI57" i="3" s="1"/>
  <c r="AF65" i="3"/>
  <c r="O68" i="3"/>
  <c r="P68" i="3" s="1"/>
  <c r="Y73" i="3"/>
  <c r="O78" i="3"/>
  <c r="Q78" i="3" s="1"/>
  <c r="R78" i="3" s="1"/>
  <c r="AB80" i="3"/>
  <c r="AD80" i="3" s="1"/>
  <c r="AI80" i="3" s="1"/>
  <c r="AK37" i="3"/>
  <c r="AL37" i="3" s="1"/>
  <c r="AB12" i="3"/>
  <c r="AD12" i="3" s="1"/>
  <c r="AI12" i="3" s="1"/>
  <c r="T16" i="3"/>
  <c r="Z17" i="3"/>
  <c r="X19" i="3"/>
  <c r="AB20" i="3"/>
  <c r="AD20" i="3" s="1"/>
  <c r="AI20" i="3" s="1"/>
  <c r="T23" i="3"/>
  <c r="X28" i="3"/>
  <c r="AE32" i="3"/>
  <c r="AH32" i="3" s="1"/>
  <c r="DP35" i="3"/>
  <c r="X37" i="3"/>
  <c r="O41" i="3"/>
  <c r="Q41" i="3" s="1"/>
  <c r="R41" i="3" s="1"/>
  <c r="AB45" i="3"/>
  <c r="AD45" i="3" s="1"/>
  <c r="AI45" i="3" s="1"/>
  <c r="AK49" i="3"/>
  <c r="AL49" i="3" s="1"/>
  <c r="AK53" i="3"/>
  <c r="AL53" i="3" s="1"/>
  <c r="T64" i="3"/>
  <c r="T68" i="3"/>
  <c r="Y78" i="3"/>
  <c r="AK80" i="3"/>
  <c r="AL80" i="3" s="1"/>
  <c r="AK9" i="3"/>
  <c r="AL9" i="3" s="1"/>
  <c r="DP4" i="3"/>
  <c r="DP6" i="3"/>
  <c r="T25" i="3"/>
  <c r="AE28" i="3"/>
  <c r="AH28" i="3" s="1"/>
  <c r="T29" i="3"/>
  <c r="Y35" i="3"/>
  <c r="AK55" i="3"/>
  <c r="AL55" i="3" s="1"/>
  <c r="AF69" i="3"/>
  <c r="AF71" i="3"/>
  <c r="CB192" i="3"/>
  <c r="CB98" i="3"/>
  <c r="CB110" i="3"/>
  <c r="CB122" i="3"/>
  <c r="CB134" i="3"/>
  <c r="CB146" i="3"/>
  <c r="CB158" i="3"/>
  <c r="CB170" i="3"/>
  <c r="CB182" i="3"/>
  <c r="CB194" i="3"/>
  <c r="CB99" i="3"/>
  <c r="CB111" i="3"/>
  <c r="CB123" i="3"/>
  <c r="CB135" i="3"/>
  <c r="CB147" i="3"/>
  <c r="CB159" i="3"/>
  <c r="CB171" i="3"/>
  <c r="CB183" i="3"/>
  <c r="CB195" i="3"/>
  <c r="CB100" i="3"/>
  <c r="CB112" i="3"/>
  <c r="CB124" i="3"/>
  <c r="CB136" i="3"/>
  <c r="CB148" i="3"/>
  <c r="CB160" i="3"/>
  <c r="CB172" i="3"/>
  <c r="CB184" i="3"/>
  <c r="BH189" i="3"/>
  <c r="BH199" i="3"/>
  <c r="BH200" i="3"/>
  <c r="DM22" i="3"/>
  <c r="T22" i="3"/>
  <c r="O22" i="3"/>
  <c r="AB22" i="3"/>
  <c r="AD22" i="3" s="1"/>
  <c r="AI22" i="3" s="1"/>
  <c r="AK22" i="3"/>
  <c r="AL22" i="3" s="1"/>
  <c r="AF22" i="3"/>
  <c r="AE22" i="3"/>
  <c r="AH22" i="3" s="1"/>
  <c r="Z22" i="3"/>
  <c r="X22" i="3"/>
  <c r="X6" i="3"/>
  <c r="AF10" i="3"/>
  <c r="Y22" i="3"/>
  <c r="X7" i="3"/>
  <c r="DN7" i="3"/>
  <c r="DP7" i="3" s="1"/>
  <c r="AK11" i="3"/>
  <c r="AL11" i="3" s="1"/>
  <c r="X11" i="3"/>
  <c r="DM11" i="3"/>
  <c r="T11" i="3"/>
  <c r="AE11" i="3"/>
  <c r="AH11" i="3" s="1"/>
  <c r="O11" i="3"/>
  <c r="AB11" i="3"/>
  <c r="AD11" i="3" s="1"/>
  <c r="AI11" i="3" s="1"/>
  <c r="Z5" i="3"/>
  <c r="AB5" i="3"/>
  <c r="AD5" i="3" s="1"/>
  <c r="AI5" i="3" s="1"/>
  <c r="AE3" i="3"/>
  <c r="AH3" i="3" s="1"/>
  <c r="AF5" i="3"/>
  <c r="Y11" i="3"/>
  <c r="AF30" i="3"/>
  <c r="AE30" i="3"/>
  <c r="AH30" i="3" s="1"/>
  <c r="O30" i="3"/>
  <c r="AB30" i="3"/>
  <c r="AD30" i="3" s="1"/>
  <c r="AI30" i="3" s="1"/>
  <c r="AK30" i="3"/>
  <c r="AL30" i="3" s="1"/>
  <c r="X30" i="3"/>
  <c r="T30" i="3"/>
  <c r="DM30" i="3"/>
  <c r="Z30" i="3"/>
  <c r="Y30" i="3"/>
  <c r="AF3" i="3"/>
  <c r="DM4" i="3"/>
  <c r="DM7" i="3"/>
  <c r="Z11" i="3"/>
  <c r="DP12" i="3"/>
  <c r="DN18" i="3"/>
  <c r="DP18" i="3" s="1"/>
  <c r="DM18" i="3"/>
  <c r="T19" i="3"/>
  <c r="DP19" i="3"/>
  <c r="DN10" i="3"/>
  <c r="DP10" i="3" s="1"/>
  <c r="DM10" i="3"/>
  <c r="AF11" i="3"/>
  <c r="DM12" i="3"/>
  <c r="X18" i="3"/>
  <c r="Y27" i="3"/>
  <c r="AK27" i="3"/>
  <c r="AL27" i="3" s="1"/>
  <c r="X27" i="3"/>
  <c r="DM27" i="3"/>
  <c r="AE27" i="3"/>
  <c r="AH27" i="3" s="1"/>
  <c r="AB27" i="3"/>
  <c r="AD27" i="3" s="1"/>
  <c r="AI27" i="3" s="1"/>
  <c r="AF27" i="3"/>
  <c r="Z27" i="3"/>
  <c r="O27" i="3"/>
  <c r="DN39" i="3"/>
  <c r="DP39" i="3" s="1"/>
  <c r="X39" i="3"/>
  <c r="AF48" i="3"/>
  <c r="AE48" i="3"/>
  <c r="AH48" i="3" s="1"/>
  <c r="O48" i="3"/>
  <c r="AB48" i="3"/>
  <c r="AD48" i="3" s="1"/>
  <c r="AI48" i="3" s="1"/>
  <c r="Y48" i="3"/>
  <c r="AK48" i="3"/>
  <c r="AL48" i="3" s="1"/>
  <c r="X48" i="3"/>
  <c r="DM48" i="3"/>
  <c r="Z48" i="3"/>
  <c r="T48" i="3"/>
  <c r="DN29" i="3"/>
  <c r="DP29" i="3" s="1"/>
  <c r="DM29" i="3"/>
  <c r="X29" i="3"/>
  <c r="AK5" i="3"/>
  <c r="AL5" i="3" s="1"/>
  <c r="X5" i="3"/>
  <c r="DM5" i="3"/>
  <c r="T5" i="3"/>
  <c r="AE5" i="3"/>
  <c r="AH5" i="3" s="1"/>
  <c r="O5" i="3"/>
  <c r="DM6" i="3"/>
  <c r="X13" i="3"/>
  <c r="DN13" i="3"/>
  <c r="DP13" i="3" s="1"/>
  <c r="T8" i="3"/>
  <c r="T14" i="3"/>
  <c r="AK16" i="3"/>
  <c r="AL16" i="3" s="1"/>
  <c r="Y33" i="3"/>
  <c r="AK33" i="3"/>
  <c r="AL33" i="3" s="1"/>
  <c r="X33" i="3"/>
  <c r="DM33" i="3"/>
  <c r="T33" i="3"/>
  <c r="AF33" i="3"/>
  <c r="AE33" i="3"/>
  <c r="AH33" i="3" s="1"/>
  <c r="AB33" i="3"/>
  <c r="AD33" i="3" s="1"/>
  <c r="AI33" i="3" s="1"/>
  <c r="DP41" i="3"/>
  <c r="AK58" i="3"/>
  <c r="AL58" i="3" s="1"/>
  <c r="X58" i="3"/>
  <c r="DM58" i="3"/>
  <c r="T58" i="3"/>
  <c r="AF58" i="3"/>
  <c r="AE58" i="3"/>
  <c r="AH58" i="3" s="1"/>
  <c r="O58" i="3"/>
  <c r="AB58" i="3"/>
  <c r="AD58" i="3" s="1"/>
  <c r="AI58" i="3" s="1"/>
  <c r="Z58" i="3"/>
  <c r="Y58" i="3"/>
  <c r="Z6" i="3"/>
  <c r="AK7" i="3"/>
  <c r="AL7" i="3" s="1"/>
  <c r="DM8" i="3"/>
  <c r="Z12" i="3"/>
  <c r="AK13" i="3"/>
  <c r="AL13" i="3" s="1"/>
  <c r="DM14" i="3"/>
  <c r="DN16" i="3"/>
  <c r="DP16" i="3" s="1"/>
  <c r="X17" i="3"/>
  <c r="AK50" i="3"/>
  <c r="AL50" i="3" s="1"/>
  <c r="AF50" i="3"/>
  <c r="AE50" i="3"/>
  <c r="AH50" i="3" s="1"/>
  <c r="AK61" i="3"/>
  <c r="AL61" i="3" s="1"/>
  <c r="AF61" i="3"/>
  <c r="AK70" i="3"/>
  <c r="AL70" i="3" s="1"/>
  <c r="AE70" i="3"/>
  <c r="AH70" i="3" s="1"/>
  <c r="AF70" i="3"/>
  <c r="AF24" i="3"/>
  <c r="AE24" i="3"/>
  <c r="AH24" i="3" s="1"/>
  <c r="O24" i="3"/>
  <c r="AK24" i="3"/>
  <c r="AL24" i="3" s="1"/>
  <c r="X24" i="3"/>
  <c r="T24" i="3"/>
  <c r="O33" i="3"/>
  <c r="O6" i="3"/>
  <c r="Z7" i="3"/>
  <c r="X8" i="3"/>
  <c r="AK8" i="3"/>
  <c r="AL8" i="3" s="1"/>
  <c r="O12" i="3"/>
  <c r="Z13" i="3"/>
  <c r="X14" i="3"/>
  <c r="AK14" i="3"/>
  <c r="AL14" i="3" s="1"/>
  <c r="AB17" i="3"/>
  <c r="AD17" i="3" s="1"/>
  <c r="AI17" i="3" s="1"/>
  <c r="AE18" i="3"/>
  <c r="AH18" i="3" s="1"/>
  <c r="O18" i="3"/>
  <c r="AF18" i="3"/>
  <c r="Z28" i="3"/>
  <c r="Z33" i="3"/>
  <c r="Z14" i="3"/>
  <c r="AE17" i="3"/>
  <c r="AH17" i="3" s="1"/>
  <c r="Y17" i="3"/>
  <c r="Z8" i="3"/>
  <c r="AF6" i="3"/>
  <c r="AB8" i="3"/>
  <c r="AD8" i="3" s="1"/>
  <c r="AI8" i="3" s="1"/>
  <c r="AF12" i="3"/>
  <c r="AB14" i="3"/>
  <c r="AD14" i="3" s="1"/>
  <c r="AI14" i="3" s="1"/>
  <c r="AF17" i="3"/>
  <c r="AK21" i="3"/>
  <c r="AL21" i="3" s="1"/>
  <c r="X21" i="3"/>
  <c r="DM21" i="3"/>
  <c r="AE21" i="3"/>
  <c r="AH21" i="3" s="1"/>
  <c r="Y24" i="3"/>
  <c r="AF28" i="3"/>
  <c r="T31" i="3"/>
  <c r="Z3" i="3"/>
  <c r="X4" i="3"/>
  <c r="AK4" i="3"/>
  <c r="AL4" i="3" s="1"/>
  <c r="AE7" i="3"/>
  <c r="AH7" i="3" s="1"/>
  <c r="O8" i="3"/>
  <c r="Z9" i="3"/>
  <c r="X10" i="3"/>
  <c r="AK10" i="3"/>
  <c r="AL10" i="3" s="1"/>
  <c r="AE13" i="3"/>
  <c r="AH13" i="3" s="1"/>
  <c r="O14" i="3"/>
  <c r="DM15" i="3"/>
  <c r="Z15" i="3"/>
  <c r="DM16" i="3"/>
  <c r="AB16" i="3"/>
  <c r="AD16" i="3" s="1"/>
  <c r="AI16" i="3" s="1"/>
  <c r="O17" i="3"/>
  <c r="AK18" i="3"/>
  <c r="AL18" i="3" s="1"/>
  <c r="Z24" i="3"/>
  <c r="T6" i="3"/>
  <c r="AE16" i="3"/>
  <c r="AH16" i="3" s="1"/>
  <c r="T18" i="3"/>
  <c r="AB24" i="3"/>
  <c r="AD24" i="3" s="1"/>
  <c r="AI24" i="3" s="1"/>
  <c r="Z4" i="3"/>
  <c r="AE8" i="3"/>
  <c r="AH8" i="3" s="1"/>
  <c r="Z10" i="3"/>
  <c r="AE14" i="3"/>
  <c r="AH14" i="3" s="1"/>
  <c r="DM28" i="3"/>
  <c r="T28" i="3"/>
  <c r="O28" i="3"/>
  <c r="AB28" i="3"/>
  <c r="AD28" i="3" s="1"/>
  <c r="AI28" i="3" s="1"/>
  <c r="Y28" i="3"/>
  <c r="DP31" i="3"/>
  <c r="DM34" i="3"/>
  <c r="T34" i="3"/>
  <c r="AF34" i="3"/>
  <c r="AE34" i="3"/>
  <c r="AH34" i="3" s="1"/>
  <c r="O34" i="3"/>
  <c r="AB34" i="3"/>
  <c r="AD34" i="3" s="1"/>
  <c r="AI34" i="3" s="1"/>
  <c r="Y34" i="3"/>
  <c r="T36" i="3"/>
  <c r="AB38" i="3"/>
  <c r="AD38" i="3" s="1"/>
  <c r="AI38" i="3" s="1"/>
  <c r="Y38" i="3"/>
  <c r="Z40" i="3"/>
  <c r="Z42" i="3"/>
  <c r="DM42" i="3"/>
  <c r="O44" i="3"/>
  <c r="AB44" i="3"/>
  <c r="AD44" i="3" s="1"/>
  <c r="AI44" i="3" s="1"/>
  <c r="Y44" i="3"/>
  <c r="T44" i="3"/>
  <c r="AK44" i="3"/>
  <c r="AL44" i="3" s="1"/>
  <c r="AF20" i="3"/>
  <c r="Y23" i="3"/>
  <c r="AF26" i="3"/>
  <c r="Y29" i="3"/>
  <c r="AF32" i="3"/>
  <c r="T37" i="3"/>
  <c r="O38" i="3"/>
  <c r="AF38" i="3"/>
  <c r="DM39" i="3"/>
  <c r="AE40" i="3"/>
  <c r="AH40" i="3" s="1"/>
  <c r="AF43" i="3"/>
  <c r="Z46" i="3"/>
  <c r="Z23" i="3"/>
  <c r="Z29" i="3"/>
  <c r="Z35" i="3"/>
  <c r="X36" i="3"/>
  <c r="AK36" i="3"/>
  <c r="AL36" i="3" s="1"/>
  <c r="AK39" i="3"/>
  <c r="AL39" i="3" s="1"/>
  <c r="AF40" i="3"/>
  <c r="DM44" i="3"/>
  <c r="AB46" i="3"/>
  <c r="AD46" i="3" s="1"/>
  <c r="AI46" i="3" s="1"/>
  <c r="Y36" i="3"/>
  <c r="AE43" i="3"/>
  <c r="AH43" i="3" s="1"/>
  <c r="AB43" i="3"/>
  <c r="AD43" i="3" s="1"/>
  <c r="AI43" i="3" s="1"/>
  <c r="DM43" i="3"/>
  <c r="Z36" i="3"/>
  <c r="AK40" i="3"/>
  <c r="AL40" i="3" s="1"/>
  <c r="X40" i="3"/>
  <c r="T40" i="3"/>
  <c r="O40" i="3"/>
  <c r="AF42" i="3"/>
  <c r="Y42" i="3"/>
  <c r="AK42" i="3"/>
  <c r="AL42" i="3" s="1"/>
  <c r="X42" i="3"/>
  <c r="T45" i="3"/>
  <c r="X51" i="3"/>
  <c r="DN51" i="3"/>
  <c r="DP51" i="3" s="1"/>
  <c r="DM51" i="3"/>
  <c r="AB36" i="3"/>
  <c r="AD36" i="3" s="1"/>
  <c r="AI36" i="3" s="1"/>
  <c r="AF55" i="3"/>
  <c r="AE62" i="3"/>
  <c r="AH62" i="3" s="1"/>
  <c r="Z19" i="3"/>
  <c r="X20" i="3"/>
  <c r="AK20" i="3"/>
  <c r="AL20" i="3" s="1"/>
  <c r="AE23" i="3"/>
  <c r="AH23" i="3" s="1"/>
  <c r="Z25" i="3"/>
  <c r="X26" i="3"/>
  <c r="AK26" i="3"/>
  <c r="AL26" i="3" s="1"/>
  <c r="AE29" i="3"/>
  <c r="AH29" i="3" s="1"/>
  <c r="Z31" i="3"/>
  <c r="X32" i="3"/>
  <c r="AK32" i="3"/>
  <c r="AL32" i="3" s="1"/>
  <c r="AE35" i="3"/>
  <c r="AH35" i="3" s="1"/>
  <c r="O36" i="3"/>
  <c r="AB37" i="3"/>
  <c r="AD37" i="3" s="1"/>
  <c r="AI37" i="3" s="1"/>
  <c r="DM37" i="3"/>
  <c r="Z37" i="3"/>
  <c r="DP38" i="3"/>
  <c r="Z39" i="3"/>
  <c r="O42" i="3"/>
  <c r="Z44" i="3"/>
  <c r="AK52" i="3"/>
  <c r="AL52" i="3" s="1"/>
  <c r="X52" i="3"/>
  <c r="DM52" i="3"/>
  <c r="T52" i="3"/>
  <c r="AF52" i="3"/>
  <c r="AE52" i="3"/>
  <c r="AH52" i="3" s="1"/>
  <c r="O52" i="3"/>
  <c r="AB19" i="3"/>
  <c r="AD19" i="3" s="1"/>
  <c r="AI19" i="3" s="1"/>
  <c r="Y20" i="3"/>
  <c r="AF23" i="3"/>
  <c r="AB25" i="3"/>
  <c r="AD25" i="3" s="1"/>
  <c r="AI25" i="3" s="1"/>
  <c r="Y26" i="3"/>
  <c r="AF29" i="3"/>
  <c r="AB31" i="3"/>
  <c r="AD31" i="3" s="1"/>
  <c r="AI31" i="3" s="1"/>
  <c r="Y32" i="3"/>
  <c r="AF35" i="3"/>
  <c r="AB39" i="3"/>
  <c r="AD39" i="3" s="1"/>
  <c r="AI39" i="3" s="1"/>
  <c r="X45" i="3"/>
  <c r="DN45" i="3"/>
  <c r="DP45" i="3" s="1"/>
  <c r="T74" i="3"/>
  <c r="DN77" i="3"/>
  <c r="DP77" i="3" s="1"/>
  <c r="DM77" i="3"/>
  <c r="Z20" i="3"/>
  <c r="Z26" i="3"/>
  <c r="Z32" i="3"/>
  <c r="AE36" i="3"/>
  <c r="AH36" i="3" s="1"/>
  <c r="X38" i="3"/>
  <c r="T42" i="3"/>
  <c r="T43" i="3"/>
  <c r="AE44" i="3"/>
  <c r="AH44" i="3" s="1"/>
  <c r="AK46" i="3"/>
  <c r="AL46" i="3" s="1"/>
  <c r="X46" i="3"/>
  <c r="DM46" i="3"/>
  <c r="T46" i="3"/>
  <c r="AF46" i="3"/>
  <c r="O46" i="3"/>
  <c r="AF36" i="3"/>
  <c r="Z38" i="3"/>
  <c r="Y39" i="3"/>
  <c r="AE39" i="3"/>
  <c r="AH39" i="3" s="1"/>
  <c r="X43" i="3"/>
  <c r="AF44" i="3"/>
  <c r="X57" i="3"/>
  <c r="DN57" i="3"/>
  <c r="DP57" i="3" s="1"/>
  <c r="DM57" i="3"/>
  <c r="DM67" i="3"/>
  <c r="T67" i="3"/>
  <c r="AF67" i="3"/>
  <c r="O67" i="3"/>
  <c r="Z41" i="3"/>
  <c r="AE45" i="3"/>
  <c r="AH45" i="3" s="1"/>
  <c r="Z47" i="3"/>
  <c r="DM49" i="3"/>
  <c r="AE51" i="3"/>
  <c r="AH51" i="3" s="1"/>
  <c r="Z53" i="3"/>
  <c r="X54" i="3"/>
  <c r="AK54" i="3"/>
  <c r="AL54" i="3" s="1"/>
  <c r="DM55" i="3"/>
  <c r="AE57" i="3"/>
  <c r="AH57" i="3" s="1"/>
  <c r="Z59" i="3"/>
  <c r="X60" i="3"/>
  <c r="AK60" i="3"/>
  <c r="AL60" i="3" s="1"/>
  <c r="DM61" i="3"/>
  <c r="AF45" i="3"/>
  <c r="T50" i="3"/>
  <c r="AB53" i="3"/>
  <c r="AD53" i="3" s="1"/>
  <c r="AI53" i="3" s="1"/>
  <c r="Y54" i="3"/>
  <c r="T56" i="3"/>
  <c r="AF57" i="3"/>
  <c r="AB59" i="3"/>
  <c r="AD59" i="3" s="1"/>
  <c r="AI59" i="3" s="1"/>
  <c r="Y60" i="3"/>
  <c r="T62" i="3"/>
  <c r="AE63" i="3"/>
  <c r="AH63" i="3" s="1"/>
  <c r="O63" i="3"/>
  <c r="AB63" i="3"/>
  <c r="AD63" i="3" s="1"/>
  <c r="AI63" i="3" s="1"/>
  <c r="AK64" i="3"/>
  <c r="AL64" i="3" s="1"/>
  <c r="AK66" i="3"/>
  <c r="AL66" i="3" s="1"/>
  <c r="X66" i="3"/>
  <c r="DM66" i="3"/>
  <c r="T66" i="3"/>
  <c r="AE66" i="3"/>
  <c r="AH66" i="3" s="1"/>
  <c r="Z54" i="3"/>
  <c r="Z60" i="3"/>
  <c r="X67" i="3"/>
  <c r="DN71" i="3"/>
  <c r="DP71" i="3" s="1"/>
  <c r="DM71" i="3"/>
  <c r="DP85" i="3"/>
  <c r="DN93" i="3"/>
  <c r="DP93" i="3" s="1"/>
  <c r="X93" i="3"/>
  <c r="DM93" i="3"/>
  <c r="Y49" i="3"/>
  <c r="T51" i="3"/>
  <c r="AB54" i="3"/>
  <c r="AD54" i="3" s="1"/>
  <c r="AI54" i="3" s="1"/>
  <c r="Y55" i="3"/>
  <c r="T57" i="3"/>
  <c r="AB60" i="3"/>
  <c r="AD60" i="3" s="1"/>
  <c r="AI60" i="3" s="1"/>
  <c r="Y61" i="3"/>
  <c r="Y67" i="3"/>
  <c r="Z49" i="3"/>
  <c r="O54" i="3"/>
  <c r="Z55" i="3"/>
  <c r="O60" i="3"/>
  <c r="Z61" i="3"/>
  <c r="X62" i="3"/>
  <c r="AK62" i="3"/>
  <c r="AL62" i="3" s="1"/>
  <c r="Z67" i="3"/>
  <c r="AF41" i="3"/>
  <c r="AF47" i="3"/>
  <c r="AB49" i="3"/>
  <c r="AD49" i="3" s="1"/>
  <c r="AI49" i="3" s="1"/>
  <c r="Y50" i="3"/>
  <c r="AF53" i="3"/>
  <c r="AB55" i="3"/>
  <c r="AD55" i="3" s="1"/>
  <c r="AI55" i="3" s="1"/>
  <c r="Y56" i="3"/>
  <c r="AF59" i="3"/>
  <c r="AB61" i="3"/>
  <c r="AD61" i="3" s="1"/>
  <c r="AI61" i="3" s="1"/>
  <c r="Y62" i="3"/>
  <c r="T63" i="3"/>
  <c r="AB67" i="3"/>
  <c r="AD67" i="3" s="1"/>
  <c r="AI67" i="3" s="1"/>
  <c r="O49" i="3"/>
  <c r="Z50" i="3"/>
  <c r="AE54" i="3"/>
  <c r="AH54" i="3" s="1"/>
  <c r="O55" i="3"/>
  <c r="Z56" i="3"/>
  <c r="AE60" i="3"/>
  <c r="AH60" i="3" s="1"/>
  <c r="O61" i="3"/>
  <c r="Z62" i="3"/>
  <c r="AE67" i="3"/>
  <c r="AH67" i="3" s="1"/>
  <c r="AK76" i="3"/>
  <c r="AL76" i="3" s="1"/>
  <c r="AE76" i="3"/>
  <c r="AH76" i="3" s="1"/>
  <c r="T41" i="3"/>
  <c r="Y45" i="3"/>
  <c r="T47" i="3"/>
  <c r="AB50" i="3"/>
  <c r="AD50" i="3" s="1"/>
  <c r="AI50" i="3" s="1"/>
  <c r="Y51" i="3"/>
  <c r="T53" i="3"/>
  <c r="AF54" i="3"/>
  <c r="AB56" i="3"/>
  <c r="AD56" i="3" s="1"/>
  <c r="AI56" i="3" s="1"/>
  <c r="Y57" i="3"/>
  <c r="T59" i="3"/>
  <c r="AF60" i="3"/>
  <c r="AB62" i="3"/>
  <c r="AD62" i="3" s="1"/>
  <c r="AI62" i="3" s="1"/>
  <c r="DM62" i="3"/>
  <c r="AE64" i="3"/>
  <c r="AH64" i="3" s="1"/>
  <c r="Y66" i="3"/>
  <c r="DP74" i="3"/>
  <c r="X83" i="3"/>
  <c r="DN83" i="3"/>
  <c r="DP83" i="3" s="1"/>
  <c r="DM83" i="3"/>
  <c r="Z45" i="3"/>
  <c r="AE49" i="3"/>
  <c r="AH49" i="3" s="1"/>
  <c r="O50" i="3"/>
  <c r="Z51" i="3"/>
  <c r="AE55" i="3"/>
  <c r="AH55" i="3" s="1"/>
  <c r="O56" i="3"/>
  <c r="Z57" i="3"/>
  <c r="AE61" i="3"/>
  <c r="AH61" i="3" s="1"/>
  <c r="O62" i="3"/>
  <c r="AK67" i="3"/>
  <c r="AL67" i="3" s="1"/>
  <c r="DM73" i="3"/>
  <c r="T73" i="3"/>
  <c r="AF73" i="3"/>
  <c r="AE73" i="3"/>
  <c r="AH73" i="3" s="1"/>
  <c r="O73" i="3"/>
  <c r="AB73" i="3"/>
  <c r="AD73" i="3" s="1"/>
  <c r="AI73" i="3" s="1"/>
  <c r="AK73" i="3"/>
  <c r="AL73" i="3" s="1"/>
  <c r="X73" i="3"/>
  <c r="Z72" i="3"/>
  <c r="Z78" i="3"/>
  <c r="X79" i="3"/>
  <c r="AK79" i="3"/>
  <c r="AL79" i="3" s="1"/>
  <c r="AE82" i="3"/>
  <c r="AH82" i="3" s="1"/>
  <c r="Z84" i="3"/>
  <c r="Z85" i="3"/>
  <c r="AE86" i="3"/>
  <c r="AH86" i="3" s="1"/>
  <c r="Y88" i="3"/>
  <c r="T89" i="3"/>
  <c r="AF82" i="3"/>
  <c r="Y85" i="3"/>
  <c r="AB85" i="3"/>
  <c r="AD85" i="3" s="1"/>
  <c r="AI85" i="3" s="1"/>
  <c r="T92" i="3"/>
  <c r="AF92" i="3"/>
  <c r="O92" i="3"/>
  <c r="AB92" i="3"/>
  <c r="AD92" i="3" s="1"/>
  <c r="AI92" i="3" s="1"/>
  <c r="AL92" i="3"/>
  <c r="Z79" i="3"/>
  <c r="AF88" i="3"/>
  <c r="AB88" i="3"/>
  <c r="AD88" i="3" s="1"/>
  <c r="AI88" i="3" s="1"/>
  <c r="DP103" i="3"/>
  <c r="AB79" i="3"/>
  <c r="AD79" i="3" s="1"/>
  <c r="AI79" i="3" s="1"/>
  <c r="O85" i="3"/>
  <c r="X89" i="3"/>
  <c r="Y91" i="3"/>
  <c r="DM91" i="3"/>
  <c r="T91" i="3"/>
  <c r="AE91" i="3"/>
  <c r="AH91" i="3" s="1"/>
  <c r="AF91" i="3"/>
  <c r="AE103" i="3"/>
  <c r="AH103" i="3" s="1"/>
  <c r="O103" i="3"/>
  <c r="AB103" i="3"/>
  <c r="AD103" i="3" s="1"/>
  <c r="AI103" i="3" s="1"/>
  <c r="Y103" i="3"/>
  <c r="DM103" i="3"/>
  <c r="Z103" i="3"/>
  <c r="X103" i="3"/>
  <c r="T103" i="3"/>
  <c r="Z68" i="3"/>
  <c r="X69" i="3"/>
  <c r="AK69" i="3"/>
  <c r="AL69" i="3" s="1"/>
  <c r="AE72" i="3"/>
  <c r="AH72" i="3" s="1"/>
  <c r="Z74" i="3"/>
  <c r="X75" i="3"/>
  <c r="AK75" i="3"/>
  <c r="AL75" i="3" s="1"/>
  <c r="AE78" i="3"/>
  <c r="AH78" i="3" s="1"/>
  <c r="O79" i="3"/>
  <c r="Z80" i="3"/>
  <c r="X81" i="3"/>
  <c r="AK81" i="3"/>
  <c r="AL81" i="3" s="1"/>
  <c r="AE84" i="3"/>
  <c r="AH84" i="3" s="1"/>
  <c r="AE85" i="3"/>
  <c r="AH85" i="3" s="1"/>
  <c r="DM85" i="3"/>
  <c r="Z87" i="3"/>
  <c r="O88" i="3"/>
  <c r="AE88" i="3"/>
  <c r="AH88" i="3" s="1"/>
  <c r="Z89" i="3"/>
  <c r="DP91" i="3"/>
  <c r="DM101" i="3"/>
  <c r="AF101" i="3"/>
  <c r="AK101" i="3"/>
  <c r="AL101" i="3" s="1"/>
  <c r="X101" i="3"/>
  <c r="Z101" i="3"/>
  <c r="Y101" i="3"/>
  <c r="T101" i="3"/>
  <c r="O101" i="3"/>
  <c r="Y69" i="3"/>
  <c r="AF72" i="3"/>
  <c r="Y75" i="3"/>
  <c r="AF78" i="3"/>
  <c r="Y81" i="3"/>
  <c r="AF84" i="3"/>
  <c r="AF85" i="3"/>
  <c r="T87" i="3"/>
  <c r="AB87" i="3"/>
  <c r="AD87" i="3" s="1"/>
  <c r="AI87" i="3" s="1"/>
  <c r="O91" i="3"/>
  <c r="AK91" i="3"/>
  <c r="AL91" i="3" s="1"/>
  <c r="DN104" i="3"/>
  <c r="DP104" i="3" s="1"/>
  <c r="DM104" i="3"/>
  <c r="X104" i="3"/>
  <c r="Z69" i="3"/>
  <c r="Z75" i="3"/>
  <c r="AE79" i="3"/>
  <c r="AH79" i="3" s="1"/>
  <c r="Z81" i="3"/>
  <c r="AB89" i="3"/>
  <c r="AD89" i="3" s="1"/>
  <c r="AI89" i="3" s="1"/>
  <c r="Y89" i="3"/>
  <c r="DM89" i="3"/>
  <c r="AE89" i="3"/>
  <c r="AH89" i="3" s="1"/>
  <c r="X92" i="3"/>
  <c r="DM92" i="3"/>
  <c r="Y64" i="3"/>
  <c r="AB69" i="3"/>
  <c r="AD69" i="3" s="1"/>
  <c r="AI69" i="3" s="1"/>
  <c r="Y70" i="3"/>
  <c r="T72" i="3"/>
  <c r="AB75" i="3"/>
  <c r="AD75" i="3" s="1"/>
  <c r="AI75" i="3" s="1"/>
  <c r="Y76" i="3"/>
  <c r="T78" i="3"/>
  <c r="AF79" i="3"/>
  <c r="AB81" i="3"/>
  <c r="AD81" i="3" s="1"/>
  <c r="AI81" i="3" s="1"/>
  <c r="Y82" i="3"/>
  <c r="AL82" i="3"/>
  <c r="T84" i="3"/>
  <c r="Y86" i="3"/>
  <c r="O87" i="3"/>
  <c r="AF89" i="3"/>
  <c r="DP89" i="3"/>
  <c r="Y92" i="3"/>
  <c r="AF94" i="3"/>
  <c r="O94" i="3"/>
  <c r="AB94" i="3"/>
  <c r="AD94" i="3" s="1"/>
  <c r="AI94" i="3" s="1"/>
  <c r="AK94" i="3"/>
  <c r="AL94" i="3" s="1"/>
  <c r="X94" i="3"/>
  <c r="T98" i="3"/>
  <c r="AE101" i="3"/>
  <c r="AH101" i="3" s="1"/>
  <c r="Z64" i="3"/>
  <c r="X65" i="3"/>
  <c r="AK65" i="3"/>
  <c r="AL65" i="3" s="1"/>
  <c r="AE68" i="3"/>
  <c r="AH68" i="3" s="1"/>
  <c r="O69" i="3"/>
  <c r="Z70" i="3"/>
  <c r="X71" i="3"/>
  <c r="AK71" i="3"/>
  <c r="AL71" i="3" s="1"/>
  <c r="DM72" i="3"/>
  <c r="AE74" i="3"/>
  <c r="AH74" i="3" s="1"/>
  <c r="O75" i="3"/>
  <c r="Z76" i="3"/>
  <c r="X77" i="3"/>
  <c r="AK77" i="3"/>
  <c r="AL77" i="3" s="1"/>
  <c r="DM78" i="3"/>
  <c r="AE80" i="3"/>
  <c r="AH80" i="3" s="1"/>
  <c r="O81" i="3"/>
  <c r="Z82" i="3"/>
  <c r="AK83" i="3"/>
  <c r="AL83" i="3" s="1"/>
  <c r="DM84" i="3"/>
  <c r="T85" i="3"/>
  <c r="Z86" i="3"/>
  <c r="AE87" i="3"/>
  <c r="AH87" i="3" s="1"/>
  <c r="DM87" i="3"/>
  <c r="T88" i="3"/>
  <c r="O89" i="3"/>
  <c r="Z92" i="3"/>
  <c r="X98" i="3"/>
  <c r="AK103" i="3"/>
  <c r="AL103" i="3" s="1"/>
  <c r="AF68" i="3"/>
  <c r="AF74" i="3"/>
  <c r="T79" i="3"/>
  <c r="AF80" i="3"/>
  <c r="AB86" i="3"/>
  <c r="AD86" i="3" s="1"/>
  <c r="AI86" i="3" s="1"/>
  <c r="AF87" i="3"/>
  <c r="AK88" i="3"/>
  <c r="AL88" i="3" s="1"/>
  <c r="DM98" i="3"/>
  <c r="O64" i="3"/>
  <c r="Z65" i="3"/>
  <c r="AE69" i="3"/>
  <c r="AH69" i="3" s="1"/>
  <c r="O70" i="3"/>
  <c r="Z71" i="3"/>
  <c r="X72" i="3"/>
  <c r="AK72" i="3"/>
  <c r="AL72" i="3" s="1"/>
  <c r="AE75" i="3"/>
  <c r="AH75" i="3" s="1"/>
  <c r="O76" i="3"/>
  <c r="Z77" i="3"/>
  <c r="X78" i="3"/>
  <c r="AK78" i="3"/>
  <c r="AL78" i="3" s="1"/>
  <c r="AE81" i="3"/>
  <c r="AH81" i="3" s="1"/>
  <c r="O82" i="3"/>
  <c r="Z83" i="3"/>
  <c r="X84" i="3"/>
  <c r="AK84" i="3"/>
  <c r="AL84" i="3" s="1"/>
  <c r="AK85" i="3"/>
  <c r="AL85" i="3" s="1"/>
  <c r="AB90" i="3"/>
  <c r="AD90" i="3" s="1"/>
  <c r="AI90" i="3" s="1"/>
  <c r="Y90" i="3"/>
  <c r="AE90" i="3"/>
  <c r="AH90" i="3" s="1"/>
  <c r="X91" i="3"/>
  <c r="AE92" i="3"/>
  <c r="AH92" i="3" s="1"/>
  <c r="AK100" i="3"/>
  <c r="AL100" i="3" s="1"/>
  <c r="X100" i="3"/>
  <c r="DM100" i="3"/>
  <c r="T100" i="3"/>
  <c r="AF100" i="3"/>
  <c r="AE100" i="3"/>
  <c r="AH100" i="3" s="1"/>
  <c r="AE102" i="3"/>
  <c r="AH102" i="3" s="1"/>
  <c r="AB102" i="3"/>
  <c r="AD102" i="3" s="1"/>
  <c r="AI102" i="3" s="1"/>
  <c r="DM102" i="3"/>
  <c r="AE108" i="3"/>
  <c r="AH108" i="3" s="1"/>
  <c r="T95" i="3"/>
  <c r="AE96" i="3"/>
  <c r="AH96" i="3" s="1"/>
  <c r="AF96" i="3"/>
  <c r="O100" i="3"/>
  <c r="O102" i="3"/>
  <c r="AK104" i="3"/>
  <c r="AL104" i="3" s="1"/>
  <c r="T114" i="3"/>
  <c r="DN118" i="3"/>
  <c r="DP118" i="3" s="1"/>
  <c r="DM118" i="3"/>
  <c r="Z93" i="3"/>
  <c r="AE109" i="3"/>
  <c r="AH109" i="3" s="1"/>
  <c r="Z109" i="3"/>
  <c r="X109" i="3"/>
  <c r="DM109" i="3"/>
  <c r="AK109" i="3"/>
  <c r="AL109" i="3" s="1"/>
  <c r="T109" i="3"/>
  <c r="O109" i="3"/>
  <c r="DM108" i="3"/>
  <c r="AB108" i="3"/>
  <c r="AD108" i="3" s="1"/>
  <c r="AI108" i="3" s="1"/>
  <c r="Y108" i="3"/>
  <c r="X108" i="3"/>
  <c r="AK108" i="3"/>
  <c r="AL108" i="3" s="1"/>
  <c r="T108" i="3"/>
  <c r="DN111" i="3"/>
  <c r="DP111" i="3" s="1"/>
  <c r="X111" i="3"/>
  <c r="DM111" i="3"/>
  <c r="DP114" i="3"/>
  <c r="Y95" i="3"/>
  <c r="T96" i="3"/>
  <c r="AK96" i="3"/>
  <c r="AL96" i="3" s="1"/>
  <c r="X102" i="3"/>
  <c r="DP108" i="3"/>
  <c r="Y109" i="3"/>
  <c r="DN112" i="3"/>
  <c r="DP112" i="3" s="1"/>
  <c r="DM112" i="3"/>
  <c r="DM132" i="3"/>
  <c r="T132" i="3"/>
  <c r="AF132" i="3"/>
  <c r="AE132" i="3"/>
  <c r="AH132" i="3" s="1"/>
  <c r="O132" i="3"/>
  <c r="AB132" i="3"/>
  <c r="AD132" i="3" s="1"/>
  <c r="AI132" i="3" s="1"/>
  <c r="AK132" i="3"/>
  <c r="AL132" i="3" s="1"/>
  <c r="Z132" i="3"/>
  <c r="Y132" i="3"/>
  <c r="X132" i="3"/>
  <c r="DM95" i="3"/>
  <c r="Z95" i="3"/>
  <c r="Y100" i="3"/>
  <c r="Y102" i="3"/>
  <c r="O108" i="3"/>
  <c r="AB109" i="3"/>
  <c r="AD109" i="3" s="1"/>
  <c r="AI109" i="3" s="1"/>
  <c r="X117" i="3"/>
  <c r="DN117" i="3"/>
  <c r="DP117" i="3" s="1"/>
  <c r="DM117" i="3"/>
  <c r="AF93" i="3"/>
  <c r="AB95" i="3"/>
  <c r="AD95" i="3" s="1"/>
  <c r="AI95" i="3" s="1"/>
  <c r="Z100" i="3"/>
  <c r="Z102" i="3"/>
  <c r="DM105" i="3"/>
  <c r="AF109" i="3"/>
  <c r="T93" i="3"/>
  <c r="Y96" i="3"/>
  <c r="AE97" i="3"/>
  <c r="AH97" i="3" s="1"/>
  <c r="O97" i="3"/>
  <c r="AB97" i="3"/>
  <c r="AD97" i="3" s="1"/>
  <c r="AI97" i="3" s="1"/>
  <c r="Y97" i="3"/>
  <c r="AF102" i="3"/>
  <c r="AF104" i="3"/>
  <c r="AK107" i="3"/>
  <c r="AL107" i="3" s="1"/>
  <c r="X107" i="3"/>
  <c r="DM107" i="3"/>
  <c r="AB107" i="3"/>
  <c r="AD107" i="3" s="1"/>
  <c r="AI107" i="3" s="1"/>
  <c r="Z107" i="3"/>
  <c r="Y107" i="3"/>
  <c r="AF107" i="3"/>
  <c r="Z108" i="3"/>
  <c r="Z106" i="3"/>
  <c r="AE110" i="3"/>
  <c r="AH110" i="3" s="1"/>
  <c r="O110" i="3"/>
  <c r="AB110" i="3"/>
  <c r="AD110" i="3" s="1"/>
  <c r="AI110" i="3" s="1"/>
  <c r="AF110" i="3"/>
  <c r="AE115" i="3"/>
  <c r="AH115" i="3" s="1"/>
  <c r="O115" i="3"/>
  <c r="AB115" i="3"/>
  <c r="AD115" i="3" s="1"/>
  <c r="AI115" i="3" s="1"/>
  <c r="AK115" i="3"/>
  <c r="AL115" i="3" s="1"/>
  <c r="X115" i="3"/>
  <c r="O123" i="3"/>
  <c r="AB123" i="3"/>
  <c r="AD123" i="3" s="1"/>
  <c r="AI123" i="3" s="1"/>
  <c r="AE123" i="3"/>
  <c r="AH123" i="3" s="1"/>
  <c r="Y123" i="3"/>
  <c r="X123" i="3"/>
  <c r="DM123" i="3"/>
  <c r="AK123" i="3"/>
  <c r="AL123" i="3" s="1"/>
  <c r="T123" i="3"/>
  <c r="AK113" i="3"/>
  <c r="AL113" i="3" s="1"/>
  <c r="X113" i="3"/>
  <c r="DM113" i="3"/>
  <c r="T113" i="3"/>
  <c r="AF113" i="3"/>
  <c r="AE113" i="3"/>
  <c r="AH113" i="3" s="1"/>
  <c r="DP133" i="3"/>
  <c r="AF106" i="3"/>
  <c r="DM106" i="3"/>
  <c r="T110" i="3"/>
  <c r="AK110" i="3"/>
  <c r="AL110" i="3" s="1"/>
  <c r="O113" i="3"/>
  <c r="DM126" i="3"/>
  <c r="T126" i="3"/>
  <c r="AE126" i="3"/>
  <c r="AH126" i="3" s="1"/>
  <c r="AB126" i="3"/>
  <c r="AD126" i="3" s="1"/>
  <c r="AI126" i="3" s="1"/>
  <c r="AK126" i="3"/>
  <c r="AL126" i="3" s="1"/>
  <c r="Z126" i="3"/>
  <c r="Y126" i="3"/>
  <c r="X126" i="3"/>
  <c r="Y98" i="3"/>
  <c r="T106" i="3"/>
  <c r="DM110" i="3"/>
  <c r="Z115" i="3"/>
  <c r="AE117" i="3"/>
  <c r="AH117" i="3" s="1"/>
  <c r="AF118" i="3"/>
  <c r="DP126" i="3"/>
  <c r="AE134" i="3"/>
  <c r="AH134" i="3" s="1"/>
  <c r="AK134" i="3"/>
  <c r="AL134" i="3" s="1"/>
  <c r="AF134" i="3"/>
  <c r="Z98" i="3"/>
  <c r="X99" i="3"/>
  <c r="AK99" i="3"/>
  <c r="AL99" i="3" s="1"/>
  <c r="Z104" i="3"/>
  <c r="X105" i="3"/>
  <c r="AK105" i="3"/>
  <c r="AL105" i="3" s="1"/>
  <c r="X110" i="3"/>
  <c r="AF115" i="3"/>
  <c r="AF117" i="3"/>
  <c r="AK121" i="3"/>
  <c r="AL121" i="3" s="1"/>
  <c r="O126" i="3"/>
  <c r="O98" i="3"/>
  <c r="Z99" i="3"/>
  <c r="Z105" i="3"/>
  <c r="X106" i="3"/>
  <c r="AK106" i="3"/>
  <c r="AL106" i="3" s="1"/>
  <c r="Z110" i="3"/>
  <c r="Y113" i="3"/>
  <c r="Z119" i="3"/>
  <c r="AF122" i="3"/>
  <c r="AE122" i="3"/>
  <c r="AH122" i="3" s="1"/>
  <c r="DN135" i="3"/>
  <c r="DP135" i="3" s="1"/>
  <c r="X135" i="3"/>
  <c r="Z114" i="3"/>
  <c r="DM116" i="3"/>
  <c r="O119" i="3"/>
  <c r="Z120" i="3"/>
  <c r="X121" i="3"/>
  <c r="O122" i="3"/>
  <c r="AE119" i="3"/>
  <c r="AH119" i="3" s="1"/>
  <c r="Z121" i="3"/>
  <c r="T122" i="3"/>
  <c r="AK122" i="3"/>
  <c r="AL122" i="3" s="1"/>
  <c r="AK124" i="3"/>
  <c r="AL124" i="3" s="1"/>
  <c r="Y125" i="3"/>
  <c r="AK125" i="3"/>
  <c r="AL125" i="3" s="1"/>
  <c r="X125" i="3"/>
  <c r="DM125" i="3"/>
  <c r="AF125" i="3"/>
  <c r="DM128" i="3"/>
  <c r="AE129" i="3"/>
  <c r="AH129" i="3" s="1"/>
  <c r="Y116" i="3"/>
  <c r="AF119" i="3"/>
  <c r="AB121" i="3"/>
  <c r="AD121" i="3" s="1"/>
  <c r="AI121" i="3" s="1"/>
  <c r="DM122" i="3"/>
  <c r="T127" i="3"/>
  <c r="AF127" i="3"/>
  <c r="AE127" i="3"/>
  <c r="AH127" i="3" s="1"/>
  <c r="O127" i="3"/>
  <c r="Y127" i="3"/>
  <c r="T128" i="3"/>
  <c r="AE114" i="3"/>
  <c r="AH114" i="3" s="1"/>
  <c r="Z116" i="3"/>
  <c r="AE120" i="3"/>
  <c r="AH120" i="3" s="1"/>
  <c r="O121" i="3"/>
  <c r="DM121" i="3"/>
  <c r="O125" i="3"/>
  <c r="T136" i="3"/>
  <c r="AE136" i="3"/>
  <c r="AH136" i="3" s="1"/>
  <c r="Y136" i="3"/>
  <c r="X136" i="3"/>
  <c r="AK136" i="3"/>
  <c r="AL136" i="3" s="1"/>
  <c r="AF136" i="3"/>
  <c r="O136" i="3"/>
  <c r="DM136" i="3"/>
  <c r="AF138" i="3"/>
  <c r="AE138" i="3"/>
  <c r="AH138" i="3" s="1"/>
  <c r="Q147" i="3"/>
  <c r="R147" i="3" s="1"/>
  <c r="P147" i="3"/>
  <c r="AF114" i="3"/>
  <c r="AB116" i="3"/>
  <c r="AD116" i="3" s="1"/>
  <c r="AI116" i="3" s="1"/>
  <c r="T119" i="3"/>
  <c r="AF120" i="3"/>
  <c r="X122" i="3"/>
  <c r="X128" i="3"/>
  <c r="Y131" i="3"/>
  <c r="AK131" i="3"/>
  <c r="AL131" i="3" s="1"/>
  <c r="X131" i="3"/>
  <c r="DM131" i="3"/>
  <c r="T131" i="3"/>
  <c r="AE131" i="3"/>
  <c r="AH131" i="3" s="1"/>
  <c r="DP136" i="3"/>
  <c r="P138" i="3"/>
  <c r="Q138" i="3"/>
  <c r="R138" i="3" s="1"/>
  <c r="Z111" i="3"/>
  <c r="X112" i="3"/>
  <c r="AK112" i="3"/>
  <c r="AL112" i="3" s="1"/>
  <c r="O116" i="3"/>
  <c r="Z117" i="3"/>
  <c r="X118" i="3"/>
  <c r="AK118" i="3"/>
  <c r="AL118" i="3" s="1"/>
  <c r="DM119" i="3"/>
  <c r="AE121" i="3"/>
  <c r="AH121" i="3" s="1"/>
  <c r="Y122" i="3"/>
  <c r="Z136" i="3"/>
  <c r="Y140" i="3"/>
  <c r="AK140" i="3"/>
  <c r="AL140" i="3" s="1"/>
  <c r="X140" i="3"/>
  <c r="DM140" i="3"/>
  <c r="T140" i="3"/>
  <c r="AE140" i="3"/>
  <c r="AH140" i="3" s="1"/>
  <c r="AB140" i="3"/>
  <c r="AD140" i="3" s="1"/>
  <c r="AI140" i="3" s="1"/>
  <c r="Z140" i="3"/>
  <c r="DM155" i="3"/>
  <c r="T155" i="3"/>
  <c r="AF155" i="3"/>
  <c r="AE155" i="3"/>
  <c r="AH155" i="3" s="1"/>
  <c r="O155" i="3"/>
  <c r="AB155" i="3"/>
  <c r="AD155" i="3" s="1"/>
  <c r="AI155" i="3" s="1"/>
  <c r="AK155" i="3"/>
  <c r="AL155" i="3" s="1"/>
  <c r="Z155" i="3"/>
  <c r="Y155" i="3"/>
  <c r="X155" i="3"/>
  <c r="O111" i="3"/>
  <c r="Z112" i="3"/>
  <c r="AE116" i="3"/>
  <c r="AH116" i="3" s="1"/>
  <c r="Z118" i="3"/>
  <c r="X119" i="3"/>
  <c r="AK119" i="3"/>
  <c r="AL119" i="3" s="1"/>
  <c r="AB122" i="3"/>
  <c r="AD122" i="3" s="1"/>
  <c r="AI122" i="3" s="1"/>
  <c r="T125" i="3"/>
  <c r="X127" i="3"/>
  <c r="O140" i="3"/>
  <c r="AF169" i="3"/>
  <c r="AK169" i="3"/>
  <c r="AL169" i="3" s="1"/>
  <c r="AF130" i="3"/>
  <c r="AB133" i="3"/>
  <c r="AD133" i="3" s="1"/>
  <c r="AI133" i="3" s="1"/>
  <c r="Z133" i="3"/>
  <c r="DP144" i="3"/>
  <c r="Y148" i="3"/>
  <c r="AK148" i="3"/>
  <c r="AL148" i="3" s="1"/>
  <c r="X148" i="3"/>
  <c r="DM148" i="3"/>
  <c r="T148" i="3"/>
  <c r="AB148" i="3"/>
  <c r="AD148" i="3" s="1"/>
  <c r="AI148" i="3" s="1"/>
  <c r="Z148" i="3"/>
  <c r="O148" i="3"/>
  <c r="AF148" i="3"/>
  <c r="DM149" i="3"/>
  <c r="AF149" i="3"/>
  <c r="X149" i="3"/>
  <c r="T149" i="3"/>
  <c r="AK149" i="3"/>
  <c r="AL149" i="3" s="1"/>
  <c r="O149" i="3"/>
  <c r="Z128" i="3"/>
  <c r="X129" i="3"/>
  <c r="AK129" i="3"/>
  <c r="AL129" i="3" s="1"/>
  <c r="AE133" i="3"/>
  <c r="AH133" i="3" s="1"/>
  <c r="AF137" i="3"/>
  <c r="O137" i="3"/>
  <c r="AF159" i="3"/>
  <c r="AK159" i="3"/>
  <c r="AL159" i="3" s="1"/>
  <c r="DP134" i="3"/>
  <c r="Y149" i="3"/>
  <c r="AK168" i="3"/>
  <c r="AL168" i="3" s="1"/>
  <c r="T168" i="3"/>
  <c r="AF168" i="3"/>
  <c r="O168" i="3"/>
  <c r="AE168" i="3"/>
  <c r="AH168" i="3" s="1"/>
  <c r="DM168" i="3"/>
  <c r="AB168" i="3"/>
  <c r="AD168" i="3" s="1"/>
  <c r="AI168" i="3" s="1"/>
  <c r="Z168" i="3"/>
  <c r="Y168" i="3"/>
  <c r="X168" i="3"/>
  <c r="O128" i="3"/>
  <c r="Z129" i="3"/>
  <c r="Z149" i="3"/>
  <c r="Y124" i="3"/>
  <c r="AB129" i="3"/>
  <c r="AD129" i="3" s="1"/>
  <c r="AI129" i="3" s="1"/>
  <c r="Y130" i="3"/>
  <c r="Y134" i="3"/>
  <c r="DM134" i="3"/>
  <c r="Z135" i="3"/>
  <c r="DM135" i="3"/>
  <c r="T141" i="3"/>
  <c r="DM141" i="3"/>
  <c r="AF141" i="3"/>
  <c r="AB141" i="3"/>
  <c r="AD141" i="3" s="1"/>
  <c r="AI141" i="3" s="1"/>
  <c r="AB149" i="3"/>
  <c r="AD149" i="3" s="1"/>
  <c r="AI149" i="3" s="1"/>
  <c r="Z124" i="3"/>
  <c r="AE128" i="3"/>
  <c r="AH128" i="3" s="1"/>
  <c r="O129" i="3"/>
  <c r="Z130" i="3"/>
  <c r="T133" i="3"/>
  <c r="AB135" i="3"/>
  <c r="AD135" i="3" s="1"/>
  <c r="AI135" i="3" s="1"/>
  <c r="DP138" i="3"/>
  <c r="DP141" i="3"/>
  <c r="DM143" i="3"/>
  <c r="AF143" i="3"/>
  <c r="AB143" i="3"/>
  <c r="AD143" i="3" s="1"/>
  <c r="AI143" i="3" s="1"/>
  <c r="Z143" i="3"/>
  <c r="Y143" i="3"/>
  <c r="X143" i="3"/>
  <c r="T143" i="3"/>
  <c r="AK143" i="3"/>
  <c r="AL143" i="3" s="1"/>
  <c r="O143" i="3"/>
  <c r="AE148" i="3"/>
  <c r="AH148" i="3" s="1"/>
  <c r="AE149" i="3"/>
  <c r="AH149" i="3" s="1"/>
  <c r="X152" i="3"/>
  <c r="DN152" i="3"/>
  <c r="DP152" i="3" s="1"/>
  <c r="DM152" i="3"/>
  <c r="DN160" i="3"/>
  <c r="DP160" i="3" s="1"/>
  <c r="DM160" i="3"/>
  <c r="X160" i="3"/>
  <c r="AB124" i="3"/>
  <c r="AD124" i="3" s="1"/>
  <c r="AI124" i="3" s="1"/>
  <c r="AF128" i="3"/>
  <c r="T137" i="3"/>
  <c r="DM163" i="3"/>
  <c r="T163" i="3"/>
  <c r="AF163" i="3"/>
  <c r="AB163" i="3"/>
  <c r="AD163" i="3" s="1"/>
  <c r="AI163" i="3" s="1"/>
  <c r="Z163" i="3"/>
  <c r="Y163" i="3"/>
  <c r="X163" i="3"/>
  <c r="AK163" i="3"/>
  <c r="AL163" i="3" s="1"/>
  <c r="O163" i="3"/>
  <c r="AE163" i="3"/>
  <c r="AH163" i="3" s="1"/>
  <c r="X150" i="3"/>
  <c r="X151" i="3"/>
  <c r="T161" i="3"/>
  <c r="DN170" i="3"/>
  <c r="DP170" i="3" s="1"/>
  <c r="X170" i="3"/>
  <c r="T144" i="3"/>
  <c r="AE144" i="3"/>
  <c r="AH144" i="3" s="1"/>
  <c r="AB142" i="3"/>
  <c r="AD142" i="3" s="1"/>
  <c r="AI142" i="3" s="1"/>
  <c r="Z138" i="3"/>
  <c r="X139" i="3"/>
  <c r="AK139" i="3"/>
  <c r="AL139" i="3" s="1"/>
  <c r="O144" i="3"/>
  <c r="AK144" i="3"/>
  <c r="AL144" i="3" s="1"/>
  <c r="Z145" i="3"/>
  <c r="Y139" i="3"/>
  <c r="T150" i="3"/>
  <c r="AE150" i="3"/>
  <c r="AH150" i="3" s="1"/>
  <c r="AB150" i="3"/>
  <c r="AD150" i="3" s="1"/>
  <c r="AI150" i="3" s="1"/>
  <c r="AF151" i="3"/>
  <c r="AE151" i="3"/>
  <c r="AH151" i="3" s="1"/>
  <c r="O151" i="3"/>
  <c r="AB151" i="3"/>
  <c r="AD151" i="3" s="1"/>
  <c r="AI151" i="3" s="1"/>
  <c r="Y151" i="3"/>
  <c r="AK151" i="3"/>
  <c r="AL151" i="3" s="1"/>
  <c r="DP156" i="3"/>
  <c r="Z139" i="3"/>
  <c r="Y142" i="3"/>
  <c r="AK142" i="3"/>
  <c r="AL142" i="3" s="1"/>
  <c r="X142" i="3"/>
  <c r="DM142" i="3"/>
  <c r="T142" i="3"/>
  <c r="AE142" i="3"/>
  <c r="AH142" i="3" s="1"/>
  <c r="AK150" i="3"/>
  <c r="AL150" i="3" s="1"/>
  <c r="Y154" i="3"/>
  <c r="AK154" i="3"/>
  <c r="AL154" i="3" s="1"/>
  <c r="X154" i="3"/>
  <c r="DM154" i="3"/>
  <c r="T154" i="3"/>
  <c r="AF154" i="3"/>
  <c r="AE154" i="3"/>
  <c r="AH154" i="3" s="1"/>
  <c r="AB139" i="3"/>
  <c r="AD139" i="3" s="1"/>
  <c r="AI139" i="3" s="1"/>
  <c r="AF142" i="3"/>
  <c r="AF145" i="3"/>
  <c r="AE145" i="3"/>
  <c r="AH145" i="3" s="1"/>
  <c r="O145" i="3"/>
  <c r="AB145" i="3"/>
  <c r="AD145" i="3" s="1"/>
  <c r="AI145" i="3" s="1"/>
  <c r="O150" i="3"/>
  <c r="AE152" i="3"/>
  <c r="AH152" i="3" s="1"/>
  <c r="DP163" i="3"/>
  <c r="T152" i="3"/>
  <c r="AF153" i="3"/>
  <c r="Y156" i="3"/>
  <c r="T158" i="3"/>
  <c r="DP161" i="3"/>
  <c r="Z156" i="3"/>
  <c r="AB178" i="3"/>
  <c r="AD178" i="3" s="1"/>
  <c r="AI178" i="3" s="1"/>
  <c r="Y178" i="3"/>
  <c r="AK178" i="3"/>
  <c r="AL178" i="3" s="1"/>
  <c r="X178" i="3"/>
  <c r="Z178" i="3"/>
  <c r="T178" i="3"/>
  <c r="DM178" i="3"/>
  <c r="AF178" i="3"/>
  <c r="AE178" i="3"/>
  <c r="AH178" i="3" s="1"/>
  <c r="AB156" i="3"/>
  <c r="AD156" i="3" s="1"/>
  <c r="AI156" i="3" s="1"/>
  <c r="Y157" i="3"/>
  <c r="T160" i="3"/>
  <c r="O156" i="3"/>
  <c r="Z157" i="3"/>
  <c r="AE166" i="3"/>
  <c r="AH166" i="3" s="1"/>
  <c r="O178" i="3"/>
  <c r="Y146" i="3"/>
  <c r="Y152" i="3"/>
  <c r="AB157" i="3"/>
  <c r="AD157" i="3" s="1"/>
  <c r="AI157" i="3" s="1"/>
  <c r="Y158" i="3"/>
  <c r="AL158" i="3"/>
  <c r="AE159" i="3"/>
  <c r="AH159" i="3" s="1"/>
  <c r="AB159" i="3"/>
  <c r="AD159" i="3" s="1"/>
  <c r="AI159" i="3" s="1"/>
  <c r="Z162" i="3"/>
  <c r="T164" i="3"/>
  <c r="AF164" i="3"/>
  <c r="Z146" i="3"/>
  <c r="X147" i="3"/>
  <c r="AK147" i="3"/>
  <c r="AL147" i="3" s="1"/>
  <c r="Z152" i="3"/>
  <c r="AE156" i="3"/>
  <c r="AH156" i="3" s="1"/>
  <c r="O157" i="3"/>
  <c r="Z158" i="3"/>
  <c r="P181" i="3"/>
  <c r="AF156" i="3"/>
  <c r="DM161" i="3"/>
  <c r="O146" i="3"/>
  <c r="Z147" i="3"/>
  <c r="O152" i="3"/>
  <c r="Z153" i="3"/>
  <c r="AE157" i="3"/>
  <c r="AH157" i="3" s="1"/>
  <c r="O158" i="3"/>
  <c r="AB147" i="3"/>
  <c r="AD147" i="3" s="1"/>
  <c r="AI147" i="3" s="1"/>
  <c r="AB153" i="3"/>
  <c r="AD153" i="3" s="1"/>
  <c r="AI153" i="3" s="1"/>
  <c r="T156" i="3"/>
  <c r="AF157" i="3"/>
  <c r="O160" i="3"/>
  <c r="AL160" i="3"/>
  <c r="Y160" i="3"/>
  <c r="X161" i="3"/>
  <c r="Y162" i="3"/>
  <c r="AK162" i="3"/>
  <c r="AL162" i="3" s="1"/>
  <c r="X162" i="3"/>
  <c r="T162" i="3"/>
  <c r="AE162" i="3"/>
  <c r="AH162" i="3" s="1"/>
  <c r="DM162" i="3"/>
  <c r="X171" i="3"/>
  <c r="DN171" i="3"/>
  <c r="DP171" i="3" s="1"/>
  <c r="AE175" i="3"/>
  <c r="AH175" i="3" s="1"/>
  <c r="O175" i="3"/>
  <c r="AB175" i="3"/>
  <c r="AD175" i="3" s="1"/>
  <c r="AI175" i="3" s="1"/>
  <c r="Y175" i="3"/>
  <c r="DM175" i="3"/>
  <c r="AK175" i="3"/>
  <c r="AL175" i="3" s="1"/>
  <c r="DP175" i="3"/>
  <c r="Z165" i="3"/>
  <c r="X166" i="3"/>
  <c r="AK166" i="3"/>
  <c r="AL166" i="3" s="1"/>
  <c r="AB165" i="3"/>
  <c r="AD165" i="3" s="1"/>
  <c r="AI165" i="3" s="1"/>
  <c r="Y166" i="3"/>
  <c r="Y167" i="3"/>
  <c r="AE169" i="3"/>
  <c r="AH169" i="3" s="1"/>
  <c r="AB169" i="3"/>
  <c r="AD169" i="3" s="1"/>
  <c r="AI169" i="3" s="1"/>
  <c r="Y172" i="3"/>
  <c r="DM173" i="3"/>
  <c r="T173" i="3"/>
  <c r="AF173" i="3"/>
  <c r="AK173" i="3"/>
  <c r="AL173" i="3" s="1"/>
  <c r="AF174" i="3"/>
  <c r="AE174" i="3"/>
  <c r="AH174" i="3" s="1"/>
  <c r="AB174" i="3"/>
  <c r="AD174" i="3" s="1"/>
  <c r="AI174" i="3" s="1"/>
  <c r="AK174" i="3"/>
  <c r="AL174" i="3" s="1"/>
  <c r="T175" i="3"/>
  <c r="O165" i="3"/>
  <c r="Z166" i="3"/>
  <c r="DM171" i="3"/>
  <c r="AB166" i="3"/>
  <c r="AD166" i="3" s="1"/>
  <c r="AI166" i="3" s="1"/>
  <c r="DM167" i="3"/>
  <c r="AB167" i="3"/>
  <c r="AD167" i="3" s="1"/>
  <c r="AI167" i="3" s="1"/>
  <c r="Z170" i="3"/>
  <c r="DM170" i="3"/>
  <c r="AB172" i="3"/>
  <c r="AD172" i="3" s="1"/>
  <c r="AI172" i="3" s="1"/>
  <c r="Q174" i="3"/>
  <c r="R174" i="3" s="1"/>
  <c r="P174" i="3"/>
  <c r="X175" i="3"/>
  <c r="T177" i="3"/>
  <c r="AK180" i="3"/>
  <c r="AL180" i="3" s="1"/>
  <c r="X180" i="3"/>
  <c r="T180" i="3"/>
  <c r="AF180" i="3"/>
  <c r="AE180" i="3"/>
  <c r="AH180" i="3" s="1"/>
  <c r="DM180" i="3"/>
  <c r="AB180" i="3"/>
  <c r="AD180" i="3" s="1"/>
  <c r="AI180" i="3" s="1"/>
  <c r="Z180" i="3"/>
  <c r="Y180" i="3"/>
  <c r="DN185" i="3"/>
  <c r="DP185" i="3" s="1"/>
  <c r="DM185" i="3"/>
  <c r="X185" i="3"/>
  <c r="Z161" i="3"/>
  <c r="AE165" i="3"/>
  <c r="AH165" i="3" s="1"/>
  <c r="O166" i="3"/>
  <c r="AB170" i="3"/>
  <c r="AD170" i="3" s="1"/>
  <c r="AI170" i="3" s="1"/>
  <c r="T174" i="3"/>
  <c r="Z175" i="3"/>
  <c r="DM181" i="3"/>
  <c r="T181" i="3"/>
  <c r="AF181" i="3"/>
  <c r="AE181" i="3"/>
  <c r="AH181" i="3" s="1"/>
  <c r="AB181" i="3"/>
  <c r="AD181" i="3" s="1"/>
  <c r="AI181" i="3" s="1"/>
  <c r="Z181" i="3"/>
  <c r="Y181" i="3"/>
  <c r="X181" i="3"/>
  <c r="AF165" i="3"/>
  <c r="O167" i="3"/>
  <c r="O170" i="3"/>
  <c r="Y170" i="3"/>
  <c r="AK172" i="3"/>
  <c r="AL172" i="3" s="1"/>
  <c r="X172" i="3"/>
  <c r="DM172" i="3"/>
  <c r="T172" i="3"/>
  <c r="AF175" i="3"/>
  <c r="AF177" i="3"/>
  <c r="AE177" i="3"/>
  <c r="AH177" i="3" s="1"/>
  <c r="O180" i="3"/>
  <c r="DP179" i="3"/>
  <c r="Y189" i="3"/>
  <c r="AK189" i="3"/>
  <c r="AL189" i="3" s="1"/>
  <c r="X189" i="3"/>
  <c r="DM189" i="3"/>
  <c r="T189" i="3"/>
  <c r="AB189" i="3"/>
  <c r="AD189" i="3" s="1"/>
  <c r="AI189" i="3" s="1"/>
  <c r="Z189" i="3"/>
  <c r="O189" i="3"/>
  <c r="AF187" i="3"/>
  <c r="AK187" i="3"/>
  <c r="AL187" i="3" s="1"/>
  <c r="AE189" i="3"/>
  <c r="AH189" i="3" s="1"/>
  <c r="AF189" i="3"/>
  <c r="Y176" i="3"/>
  <c r="AF192" i="3"/>
  <c r="AE192" i="3"/>
  <c r="AH192" i="3" s="1"/>
  <c r="O192" i="3"/>
  <c r="AB192" i="3"/>
  <c r="AD192" i="3" s="1"/>
  <c r="AI192" i="3" s="1"/>
  <c r="Y192" i="3"/>
  <c r="AK192" i="3"/>
  <c r="AL192" i="3" s="1"/>
  <c r="X192" i="3"/>
  <c r="DM192" i="3"/>
  <c r="Z192" i="3"/>
  <c r="T192" i="3"/>
  <c r="Z176" i="3"/>
  <c r="X179" i="3"/>
  <c r="DP177" i="3"/>
  <c r="AF186" i="3"/>
  <c r="AE186" i="3"/>
  <c r="AH186" i="3" s="1"/>
  <c r="AB186" i="3"/>
  <c r="AD186" i="3" s="1"/>
  <c r="AI186" i="3" s="1"/>
  <c r="Y186" i="3"/>
  <c r="X186" i="3"/>
  <c r="T186" i="3"/>
  <c r="AK186" i="3"/>
  <c r="AL186" i="3" s="1"/>
  <c r="DP186" i="3"/>
  <c r="Z171" i="3"/>
  <c r="O176" i="3"/>
  <c r="AF182" i="3"/>
  <c r="O182" i="3"/>
  <c r="AB182" i="3"/>
  <c r="AD182" i="3" s="1"/>
  <c r="AI182" i="3" s="1"/>
  <c r="AF183" i="3"/>
  <c r="AE187" i="3"/>
  <c r="AH187" i="3" s="1"/>
  <c r="AF184" i="3"/>
  <c r="Y195" i="3"/>
  <c r="AK195" i="3"/>
  <c r="AL195" i="3" s="1"/>
  <c r="X195" i="3"/>
  <c r="DM195" i="3"/>
  <c r="T195" i="3"/>
  <c r="AF195" i="3"/>
  <c r="AE195" i="3"/>
  <c r="AH195" i="3" s="1"/>
  <c r="T184" i="3"/>
  <c r="AF185" i="3"/>
  <c r="O195" i="3"/>
  <c r="DM196" i="3"/>
  <c r="T196" i="3"/>
  <c r="AF196" i="3"/>
  <c r="AE196" i="3"/>
  <c r="AH196" i="3" s="1"/>
  <c r="O196" i="3"/>
  <c r="AB196" i="3"/>
  <c r="AD196" i="3" s="1"/>
  <c r="AI196" i="3" s="1"/>
  <c r="AE199" i="3"/>
  <c r="AH199" i="3" s="1"/>
  <c r="Y177" i="3"/>
  <c r="AL177" i="3"/>
  <c r="T179" i="3"/>
  <c r="Y183" i="3"/>
  <c r="T185" i="3"/>
  <c r="X187" i="3"/>
  <c r="AF193" i="3"/>
  <c r="Z195" i="3"/>
  <c r="AF199" i="3"/>
  <c r="Z177" i="3"/>
  <c r="DM179" i="3"/>
  <c r="Z183" i="3"/>
  <c r="X184" i="3"/>
  <c r="AK184" i="3"/>
  <c r="AL184" i="3" s="1"/>
  <c r="AE190" i="3"/>
  <c r="AH190" i="3" s="1"/>
  <c r="DP193" i="3"/>
  <c r="AB195" i="3"/>
  <c r="AD195" i="3" s="1"/>
  <c r="AI195" i="3" s="1"/>
  <c r="X196" i="3"/>
  <c r="AB177" i="3"/>
  <c r="AD177" i="3" s="1"/>
  <c r="AI177" i="3" s="1"/>
  <c r="AB183" i="3"/>
  <c r="AD183" i="3" s="1"/>
  <c r="AI183" i="3" s="1"/>
  <c r="Y184" i="3"/>
  <c r="Y196" i="3"/>
  <c r="Z184" i="3"/>
  <c r="Z196" i="3"/>
  <c r="Y179" i="3"/>
  <c r="AB184" i="3"/>
  <c r="AD184" i="3" s="1"/>
  <c r="AI184" i="3" s="1"/>
  <c r="Y185" i="3"/>
  <c r="O187" i="3"/>
  <c r="AB187" i="3"/>
  <c r="AD187" i="3" s="1"/>
  <c r="AI187" i="3" s="1"/>
  <c r="Y187" i="3"/>
  <c r="DM190" i="3"/>
  <c r="T190" i="3"/>
  <c r="AF190" i="3"/>
  <c r="AK196" i="3"/>
  <c r="AL196" i="3" s="1"/>
  <c r="Z179" i="3"/>
  <c r="O184" i="3"/>
  <c r="Z185" i="3"/>
  <c r="DP191" i="3"/>
  <c r="Y191" i="3"/>
  <c r="AF194" i="3"/>
  <c r="Y197" i="3"/>
  <c r="T199" i="3"/>
  <c r="AF200" i="3"/>
  <c r="Z191" i="3"/>
  <c r="Z197" i="3"/>
  <c r="X198" i="3"/>
  <c r="AK198" i="3"/>
  <c r="AL198" i="3" s="1"/>
  <c r="AB191" i="3"/>
  <c r="AD191" i="3" s="1"/>
  <c r="AI191" i="3" s="1"/>
  <c r="AB197" i="3"/>
  <c r="AD197" i="3" s="1"/>
  <c r="AI197" i="3" s="1"/>
  <c r="Y198" i="3"/>
  <c r="T200" i="3"/>
  <c r="Z198" i="3"/>
  <c r="Y193" i="3"/>
  <c r="AB198" i="3"/>
  <c r="AD198" i="3" s="1"/>
  <c r="AI198" i="3" s="1"/>
  <c r="Y199" i="3"/>
  <c r="AE191" i="3"/>
  <c r="AH191" i="3" s="1"/>
  <c r="Z193" i="3"/>
  <c r="AE197" i="3"/>
  <c r="AH197" i="3" s="1"/>
  <c r="O198" i="3"/>
  <c r="Z199" i="3"/>
  <c r="AF191" i="3"/>
  <c r="AB193" i="3"/>
  <c r="AD193" i="3" s="1"/>
  <c r="AI193" i="3" s="1"/>
  <c r="AF197" i="3"/>
  <c r="AB199" i="3"/>
  <c r="AD199" i="3" s="1"/>
  <c r="AI199" i="3" s="1"/>
  <c r="Z188" i="3"/>
  <c r="O193" i="3"/>
  <c r="Z194" i="3"/>
  <c r="AE198" i="3"/>
  <c r="AH198" i="3" s="1"/>
  <c r="O199" i="3"/>
  <c r="Z200" i="3"/>
  <c r="AB188" i="3"/>
  <c r="AD188" i="3" s="1"/>
  <c r="AI188" i="3" s="1"/>
  <c r="T191" i="3"/>
  <c r="AB194" i="3"/>
  <c r="AD194" i="3" s="1"/>
  <c r="AI194" i="3" s="1"/>
  <c r="T197" i="3"/>
  <c r="AF198" i="3"/>
  <c r="AB200" i="3"/>
  <c r="AD200" i="3" s="1"/>
  <c r="AI200" i="3" s="1"/>
  <c r="P84" i="3" l="1"/>
  <c r="S84" i="3" s="1"/>
  <c r="DK84" i="3" s="1"/>
  <c r="Q114" i="3"/>
  <c r="R114" i="3" s="1"/>
  <c r="P114" i="3"/>
  <c r="AL185" i="3"/>
  <c r="P142" i="3"/>
  <c r="S142" i="3" s="1"/>
  <c r="U142" i="3" s="1"/>
  <c r="Q95" i="3"/>
  <c r="R95" i="3" s="1"/>
  <c r="S95" i="3" s="1"/>
  <c r="V95" i="3" s="1"/>
  <c r="Q96" i="3"/>
  <c r="R96" i="3" s="1"/>
  <c r="P96" i="3"/>
  <c r="AL182" i="3"/>
  <c r="Q183" i="3"/>
  <c r="R183" i="3" s="1"/>
  <c r="P183" i="3"/>
  <c r="S183" i="3" s="1"/>
  <c r="P21" i="3"/>
  <c r="S21" i="3" s="1"/>
  <c r="DK21" i="3" s="1"/>
  <c r="P80" i="3"/>
  <c r="S80" i="3" s="1"/>
  <c r="DK80" i="3" s="1"/>
  <c r="P74" i="3"/>
  <c r="S74" i="3" s="1"/>
  <c r="U74" i="3" s="1"/>
  <c r="P131" i="3"/>
  <c r="P120" i="3"/>
  <c r="S120" i="3" s="1"/>
  <c r="V120" i="3" s="1"/>
  <c r="Q190" i="3"/>
  <c r="R190" i="3" s="1"/>
  <c r="S190" i="3" s="1"/>
  <c r="DK190" i="3" s="1"/>
  <c r="P86" i="3"/>
  <c r="S86" i="3" s="1"/>
  <c r="DK86" i="3" s="1"/>
  <c r="P161" i="3"/>
  <c r="S161" i="3" s="1"/>
  <c r="DK161" i="3" s="1"/>
  <c r="P194" i="3"/>
  <c r="S194" i="3" s="1"/>
  <c r="U194" i="3" s="1"/>
  <c r="P197" i="3"/>
  <c r="S197" i="3" s="1"/>
  <c r="V197" i="3" s="1"/>
  <c r="P172" i="3"/>
  <c r="S172" i="3" s="1"/>
  <c r="U172" i="3" s="1"/>
  <c r="P154" i="3"/>
  <c r="S154" i="3" s="1"/>
  <c r="DK154" i="3" s="1"/>
  <c r="P171" i="3"/>
  <c r="S171" i="3" s="1"/>
  <c r="V171" i="3" s="1"/>
  <c r="P159" i="3"/>
  <c r="P153" i="3"/>
  <c r="S153" i="3" s="1"/>
  <c r="P117" i="3"/>
  <c r="S117" i="3" s="1"/>
  <c r="DK117" i="3" s="1"/>
  <c r="Q185" i="3"/>
  <c r="R185" i="3" s="1"/>
  <c r="S185" i="3" s="1"/>
  <c r="P139" i="3"/>
  <c r="S139" i="3" s="1"/>
  <c r="P112" i="3"/>
  <c r="S112" i="3" s="1"/>
  <c r="Q134" i="3"/>
  <c r="R134" i="3" s="1"/>
  <c r="S134" i="3" s="1"/>
  <c r="V134" i="3" s="1"/>
  <c r="P186" i="3"/>
  <c r="S186" i="3" s="1"/>
  <c r="P83" i="3"/>
  <c r="S83" i="3" s="1"/>
  <c r="V83" i="3" s="1"/>
  <c r="Q177" i="3"/>
  <c r="R177" i="3" s="1"/>
  <c r="S177" i="3" s="1"/>
  <c r="P41" i="3"/>
  <c r="S41" i="3" s="1"/>
  <c r="U41" i="3" s="1"/>
  <c r="P13" i="3"/>
  <c r="S13" i="3" s="1"/>
  <c r="V13" i="3" s="1"/>
  <c r="P162" i="3"/>
  <c r="S162" i="3" s="1"/>
  <c r="U162" i="3" s="1"/>
  <c r="P105" i="3"/>
  <c r="S105" i="3" s="1"/>
  <c r="V105" i="3" s="1"/>
  <c r="Q135" i="3"/>
  <c r="R135" i="3" s="1"/>
  <c r="S135" i="3" s="1"/>
  <c r="P106" i="3"/>
  <c r="S106" i="3" s="1"/>
  <c r="Q164" i="3"/>
  <c r="R164" i="3" s="1"/>
  <c r="S164" i="3" s="1"/>
  <c r="V164" i="3" s="1"/>
  <c r="Q191" i="3"/>
  <c r="R191" i="3" s="1"/>
  <c r="S191" i="3" s="1"/>
  <c r="DK191" i="3" s="1"/>
  <c r="P133" i="3"/>
  <c r="S133" i="3" s="1"/>
  <c r="V133" i="3" s="1"/>
  <c r="P39" i="3"/>
  <c r="S39" i="3" s="1"/>
  <c r="V39" i="3" s="1"/>
  <c r="Q15" i="3"/>
  <c r="R15" i="3" s="1"/>
  <c r="S15" i="3" s="1"/>
  <c r="DK15" i="3" s="1"/>
  <c r="Q173" i="3"/>
  <c r="R173" i="3" s="1"/>
  <c r="S173" i="3" s="1"/>
  <c r="DK173" i="3" s="1"/>
  <c r="P93" i="3"/>
  <c r="S93" i="3" s="1"/>
  <c r="U93" i="3" s="1"/>
  <c r="P169" i="3"/>
  <c r="S169" i="3" s="1"/>
  <c r="U169" i="3" s="1"/>
  <c r="P141" i="3"/>
  <c r="S141" i="3" s="1"/>
  <c r="U141" i="3" s="1"/>
  <c r="Q124" i="3"/>
  <c r="R124" i="3" s="1"/>
  <c r="S124" i="3" s="1"/>
  <c r="DK124" i="3" s="1"/>
  <c r="Q47" i="3"/>
  <c r="R47" i="3" s="1"/>
  <c r="S47" i="3" s="1"/>
  <c r="U47" i="3" s="1"/>
  <c r="P71" i="3"/>
  <c r="S71" i="3" s="1"/>
  <c r="DK71" i="3" s="1"/>
  <c r="P51" i="3"/>
  <c r="S51" i="3" s="1"/>
  <c r="U51" i="3" s="1"/>
  <c r="S174" i="3"/>
  <c r="V174" i="3" s="1"/>
  <c r="P179" i="3"/>
  <c r="S179" i="3" s="1"/>
  <c r="S147" i="3"/>
  <c r="DK147" i="3" s="1"/>
  <c r="V190" i="3"/>
  <c r="U107" i="3"/>
  <c r="DK107" i="3"/>
  <c r="DK95" i="3"/>
  <c r="V142" i="3"/>
  <c r="DK142" i="3"/>
  <c r="V84" i="3"/>
  <c r="S114" i="3"/>
  <c r="U114" i="3" s="1"/>
  <c r="V194" i="3"/>
  <c r="DK194" i="3"/>
  <c r="S181" i="3"/>
  <c r="U181" i="3" s="1"/>
  <c r="Q45" i="3"/>
  <c r="R45" i="3" s="1"/>
  <c r="S45" i="3" s="1"/>
  <c r="P25" i="3"/>
  <c r="S25" i="3" s="1"/>
  <c r="P35" i="3"/>
  <c r="S35" i="3" s="1"/>
  <c r="V35" i="3" s="1"/>
  <c r="P19" i="3"/>
  <c r="S19" i="3" s="1"/>
  <c r="V19" i="3" s="1"/>
  <c r="P10" i="3"/>
  <c r="S10" i="3" s="1"/>
  <c r="DK10" i="3" s="1"/>
  <c r="P7" i="3"/>
  <c r="S7" i="3" s="1"/>
  <c r="V7" i="3" s="1"/>
  <c r="P72" i="3"/>
  <c r="S72" i="3" s="1"/>
  <c r="U72" i="3" s="1"/>
  <c r="Q26" i="3"/>
  <c r="R26" i="3" s="1"/>
  <c r="S26" i="3" s="1"/>
  <c r="DK26" i="3" s="1"/>
  <c r="P43" i="3"/>
  <c r="S43" i="3" s="1"/>
  <c r="V43" i="3" s="1"/>
  <c r="P66" i="3"/>
  <c r="S66" i="3" s="1"/>
  <c r="U66" i="3" s="1"/>
  <c r="P9" i="3"/>
  <c r="S9" i="3" s="1"/>
  <c r="DK9" i="3" s="1"/>
  <c r="P57" i="3"/>
  <c r="S57" i="3" s="1"/>
  <c r="U57" i="3" s="1"/>
  <c r="P65" i="3"/>
  <c r="S65" i="3" s="1"/>
  <c r="V65" i="3" s="1"/>
  <c r="P78" i="3"/>
  <c r="S78" i="3" s="1"/>
  <c r="U78" i="3" s="1"/>
  <c r="V80" i="3"/>
  <c r="V74" i="3"/>
  <c r="DK74" i="3"/>
  <c r="Q68" i="3"/>
  <c r="R68" i="3" s="1"/>
  <c r="S68" i="3" s="1"/>
  <c r="Q90" i="3"/>
  <c r="R90" i="3" s="1"/>
  <c r="P90" i="3"/>
  <c r="U95" i="3"/>
  <c r="V107" i="3"/>
  <c r="P99" i="3"/>
  <c r="Q99" i="3"/>
  <c r="R99" i="3" s="1"/>
  <c r="P77" i="3"/>
  <c r="S77" i="3" s="1"/>
  <c r="S131" i="3"/>
  <c r="S138" i="3"/>
  <c r="DK138" i="3" s="1"/>
  <c r="U84" i="3"/>
  <c r="Q118" i="3"/>
  <c r="R118" i="3" s="1"/>
  <c r="P118" i="3"/>
  <c r="Q3" i="3"/>
  <c r="R3" i="3" s="1"/>
  <c r="S3" i="3" s="1"/>
  <c r="DK3" i="3" s="1"/>
  <c r="P4" i="3"/>
  <c r="S4" i="3" s="1"/>
  <c r="Q200" i="3"/>
  <c r="R200" i="3" s="1"/>
  <c r="P200" i="3"/>
  <c r="Q130" i="3"/>
  <c r="R130" i="3" s="1"/>
  <c r="P130" i="3"/>
  <c r="Q104" i="3"/>
  <c r="R104" i="3" s="1"/>
  <c r="P104" i="3"/>
  <c r="S188" i="3"/>
  <c r="Q37" i="3"/>
  <c r="R37" i="3" s="1"/>
  <c r="S37" i="3" s="1"/>
  <c r="U37" i="3" s="1"/>
  <c r="Q32" i="3"/>
  <c r="R32" i="3" s="1"/>
  <c r="S32" i="3" s="1"/>
  <c r="DK32" i="3" s="1"/>
  <c r="P59" i="3"/>
  <c r="S59" i="3" s="1"/>
  <c r="P53" i="3"/>
  <c r="S53" i="3" s="1"/>
  <c r="U80" i="3"/>
  <c r="P20" i="3"/>
  <c r="Q20" i="3"/>
  <c r="R20" i="3" s="1"/>
  <c r="P31" i="3"/>
  <c r="Q31" i="3"/>
  <c r="R31" i="3" s="1"/>
  <c r="P29" i="3"/>
  <c r="S29" i="3" s="1"/>
  <c r="Q23" i="3"/>
  <c r="R23" i="3" s="1"/>
  <c r="P23" i="3"/>
  <c r="Q16" i="3"/>
  <c r="R16" i="3" s="1"/>
  <c r="P16" i="3"/>
  <c r="P199" i="3"/>
  <c r="Q199" i="3"/>
  <c r="R199" i="3" s="1"/>
  <c r="P168" i="3"/>
  <c r="Q168" i="3"/>
  <c r="R168" i="3" s="1"/>
  <c r="Q18" i="3"/>
  <c r="R18" i="3" s="1"/>
  <c r="P18" i="3"/>
  <c r="Q180" i="3"/>
  <c r="R180" i="3" s="1"/>
  <c r="P180" i="3"/>
  <c r="Q17" i="3"/>
  <c r="R17" i="3" s="1"/>
  <c r="P17" i="3"/>
  <c r="Q125" i="3"/>
  <c r="R125" i="3" s="1"/>
  <c r="P125" i="3"/>
  <c r="P158" i="3"/>
  <c r="Q158" i="3"/>
  <c r="R158" i="3" s="1"/>
  <c r="Q155" i="3"/>
  <c r="R155" i="3" s="1"/>
  <c r="P155" i="3"/>
  <c r="Q126" i="3"/>
  <c r="R126" i="3" s="1"/>
  <c r="P126" i="3"/>
  <c r="Q151" i="3"/>
  <c r="R151" i="3" s="1"/>
  <c r="P151" i="3"/>
  <c r="Q97" i="3"/>
  <c r="R97" i="3" s="1"/>
  <c r="P97" i="3"/>
  <c r="P101" i="3"/>
  <c r="Q101" i="3"/>
  <c r="R101" i="3" s="1"/>
  <c r="Q5" i="3"/>
  <c r="R5" i="3" s="1"/>
  <c r="P5" i="3"/>
  <c r="Q88" i="3"/>
  <c r="R88" i="3" s="1"/>
  <c r="P88" i="3"/>
  <c r="Q167" i="3"/>
  <c r="R167" i="3" s="1"/>
  <c r="P167" i="3"/>
  <c r="Q184" i="3"/>
  <c r="R184" i="3" s="1"/>
  <c r="P184" i="3"/>
  <c r="Q192" i="3"/>
  <c r="R192" i="3" s="1"/>
  <c r="P192" i="3"/>
  <c r="P146" i="3"/>
  <c r="Q146" i="3"/>
  <c r="R146" i="3" s="1"/>
  <c r="P42" i="3"/>
  <c r="Q42" i="3"/>
  <c r="R42" i="3" s="1"/>
  <c r="Q33" i="3"/>
  <c r="R33" i="3" s="1"/>
  <c r="P33" i="3"/>
  <c r="P182" i="3"/>
  <c r="Q182" i="3"/>
  <c r="R182" i="3" s="1"/>
  <c r="Q198" i="3"/>
  <c r="R198" i="3" s="1"/>
  <c r="P198" i="3"/>
  <c r="Q178" i="3"/>
  <c r="R178" i="3" s="1"/>
  <c r="P178" i="3"/>
  <c r="Q143" i="3"/>
  <c r="R143" i="3" s="1"/>
  <c r="P143" i="3"/>
  <c r="Q8" i="3"/>
  <c r="R8" i="3" s="1"/>
  <c r="P8" i="3"/>
  <c r="Q196" i="3"/>
  <c r="R196" i="3" s="1"/>
  <c r="P196" i="3"/>
  <c r="P166" i="3"/>
  <c r="Q166" i="3"/>
  <c r="R166" i="3" s="1"/>
  <c r="Q49" i="3"/>
  <c r="R49" i="3" s="1"/>
  <c r="P49" i="3"/>
  <c r="P129" i="3"/>
  <c r="Q129" i="3"/>
  <c r="R129" i="3" s="1"/>
  <c r="Q70" i="3"/>
  <c r="R70" i="3" s="1"/>
  <c r="P70" i="3"/>
  <c r="Q175" i="3"/>
  <c r="R175" i="3" s="1"/>
  <c r="P175" i="3"/>
  <c r="P193" i="3"/>
  <c r="Q193" i="3"/>
  <c r="R193" i="3" s="1"/>
  <c r="P187" i="3"/>
  <c r="Q187" i="3"/>
  <c r="R187" i="3" s="1"/>
  <c r="Q195" i="3"/>
  <c r="R195" i="3" s="1"/>
  <c r="P195" i="3"/>
  <c r="P189" i="3"/>
  <c r="Q189" i="3"/>
  <c r="R189" i="3" s="1"/>
  <c r="Q148" i="3"/>
  <c r="R148" i="3" s="1"/>
  <c r="P148" i="3"/>
  <c r="Q111" i="3"/>
  <c r="R111" i="3" s="1"/>
  <c r="P111" i="3"/>
  <c r="Q60" i="3"/>
  <c r="R60" i="3" s="1"/>
  <c r="P60" i="3"/>
  <c r="Q156" i="3"/>
  <c r="R156" i="3" s="1"/>
  <c r="P156" i="3"/>
  <c r="Q170" i="3"/>
  <c r="R170" i="3" s="1"/>
  <c r="P170" i="3"/>
  <c r="Q157" i="3"/>
  <c r="R157" i="3" s="1"/>
  <c r="P157" i="3"/>
  <c r="Q145" i="3"/>
  <c r="R145" i="3" s="1"/>
  <c r="P145" i="3"/>
  <c r="Q136" i="3"/>
  <c r="R136" i="3" s="1"/>
  <c r="P136" i="3"/>
  <c r="Q92" i="3"/>
  <c r="R92" i="3" s="1"/>
  <c r="P92" i="3"/>
  <c r="Q24" i="3"/>
  <c r="R24" i="3" s="1"/>
  <c r="P24" i="3"/>
  <c r="Q127" i="3"/>
  <c r="R127" i="3" s="1"/>
  <c r="P127" i="3"/>
  <c r="Q176" i="3"/>
  <c r="R176" i="3" s="1"/>
  <c r="P176" i="3"/>
  <c r="Q165" i="3"/>
  <c r="R165" i="3" s="1"/>
  <c r="P165" i="3"/>
  <c r="P160" i="3"/>
  <c r="Q160" i="3"/>
  <c r="R160" i="3" s="1"/>
  <c r="Q128" i="3"/>
  <c r="R128" i="3" s="1"/>
  <c r="P128" i="3"/>
  <c r="Q109" i="3"/>
  <c r="R109" i="3" s="1"/>
  <c r="P109" i="3"/>
  <c r="Q12" i="3"/>
  <c r="R12" i="3" s="1"/>
  <c r="P12" i="3"/>
  <c r="Q79" i="3"/>
  <c r="R79" i="3" s="1"/>
  <c r="P79" i="3"/>
  <c r="Q103" i="3"/>
  <c r="R103" i="3" s="1"/>
  <c r="P103" i="3"/>
  <c r="Q85" i="3"/>
  <c r="R85" i="3" s="1"/>
  <c r="P85" i="3"/>
  <c r="Q44" i="3"/>
  <c r="R44" i="3" s="1"/>
  <c r="P44" i="3"/>
  <c r="Q14" i="3"/>
  <c r="R14" i="3" s="1"/>
  <c r="P14" i="3"/>
  <c r="Q140" i="3"/>
  <c r="R140" i="3" s="1"/>
  <c r="P140" i="3"/>
  <c r="Q113" i="3"/>
  <c r="R113" i="3" s="1"/>
  <c r="P113" i="3"/>
  <c r="P123" i="3"/>
  <c r="Q123" i="3"/>
  <c r="R123" i="3" s="1"/>
  <c r="Q81" i="3"/>
  <c r="R81" i="3" s="1"/>
  <c r="P81" i="3"/>
  <c r="Q56" i="3"/>
  <c r="R56" i="3" s="1"/>
  <c r="P56" i="3"/>
  <c r="Q48" i="3"/>
  <c r="R48" i="3" s="1"/>
  <c r="P48" i="3"/>
  <c r="Q137" i="3"/>
  <c r="R137" i="3" s="1"/>
  <c r="P137" i="3"/>
  <c r="Q119" i="3"/>
  <c r="R119" i="3" s="1"/>
  <c r="P119" i="3"/>
  <c r="Q115" i="3"/>
  <c r="R115" i="3" s="1"/>
  <c r="P115" i="3"/>
  <c r="P94" i="3"/>
  <c r="Q94" i="3"/>
  <c r="R94" i="3" s="1"/>
  <c r="Q76" i="3"/>
  <c r="R76" i="3" s="1"/>
  <c r="P76" i="3"/>
  <c r="Q64" i="3"/>
  <c r="R64" i="3" s="1"/>
  <c r="P64" i="3"/>
  <c r="Q55" i="3"/>
  <c r="R55" i="3" s="1"/>
  <c r="P55" i="3"/>
  <c r="P40" i="3"/>
  <c r="Q40" i="3"/>
  <c r="R40" i="3" s="1"/>
  <c r="Q38" i="3"/>
  <c r="R38" i="3" s="1"/>
  <c r="P38" i="3"/>
  <c r="Q34" i="3"/>
  <c r="R34" i="3" s="1"/>
  <c r="P34" i="3"/>
  <c r="Q27" i="3"/>
  <c r="R27" i="3" s="1"/>
  <c r="P27" i="3"/>
  <c r="Q121" i="3"/>
  <c r="R121" i="3" s="1"/>
  <c r="P121" i="3"/>
  <c r="Q110" i="3"/>
  <c r="R110" i="3" s="1"/>
  <c r="P110" i="3"/>
  <c r="Q132" i="3"/>
  <c r="R132" i="3" s="1"/>
  <c r="P132" i="3"/>
  <c r="Q102" i="3"/>
  <c r="R102" i="3" s="1"/>
  <c r="P102" i="3"/>
  <c r="Q75" i="3"/>
  <c r="R75" i="3" s="1"/>
  <c r="P75" i="3"/>
  <c r="Q87" i="3"/>
  <c r="R87" i="3" s="1"/>
  <c r="P87" i="3"/>
  <c r="Q91" i="3"/>
  <c r="R91" i="3" s="1"/>
  <c r="P91" i="3"/>
  <c r="Q54" i="3"/>
  <c r="R54" i="3" s="1"/>
  <c r="P54" i="3"/>
  <c r="Q52" i="3"/>
  <c r="R52" i="3" s="1"/>
  <c r="P52" i="3"/>
  <c r="Q11" i="3"/>
  <c r="R11" i="3" s="1"/>
  <c r="P11" i="3"/>
  <c r="Q116" i="3"/>
  <c r="R116" i="3" s="1"/>
  <c r="P116" i="3"/>
  <c r="Q98" i="3"/>
  <c r="R98" i="3" s="1"/>
  <c r="P98" i="3"/>
  <c r="Q69" i="3"/>
  <c r="R69" i="3" s="1"/>
  <c r="P69" i="3"/>
  <c r="Q36" i="3"/>
  <c r="R36" i="3" s="1"/>
  <c r="P36" i="3"/>
  <c r="Q28" i="3"/>
  <c r="R28" i="3" s="1"/>
  <c r="P28" i="3"/>
  <c r="P100" i="3"/>
  <c r="Q100" i="3"/>
  <c r="R100" i="3" s="1"/>
  <c r="Q82" i="3"/>
  <c r="R82" i="3" s="1"/>
  <c r="P82" i="3"/>
  <c r="P89" i="3"/>
  <c r="Q89" i="3"/>
  <c r="R89" i="3" s="1"/>
  <c r="Q30" i="3"/>
  <c r="R30" i="3" s="1"/>
  <c r="P30" i="3"/>
  <c r="Q22" i="3"/>
  <c r="R22" i="3" s="1"/>
  <c r="P22" i="3"/>
  <c r="Q144" i="3"/>
  <c r="R144" i="3" s="1"/>
  <c r="P144" i="3"/>
  <c r="Q163" i="3"/>
  <c r="R163" i="3" s="1"/>
  <c r="P163" i="3"/>
  <c r="Q149" i="3"/>
  <c r="R149" i="3" s="1"/>
  <c r="P149" i="3"/>
  <c r="Q108" i="3"/>
  <c r="R108" i="3" s="1"/>
  <c r="P108" i="3"/>
  <c r="Q73" i="3"/>
  <c r="R73" i="3" s="1"/>
  <c r="P73" i="3"/>
  <c r="Q62" i="3"/>
  <c r="R62" i="3" s="1"/>
  <c r="P62" i="3"/>
  <c r="Q6" i="3"/>
  <c r="R6" i="3" s="1"/>
  <c r="P6" i="3"/>
  <c r="Q58" i="3"/>
  <c r="R58" i="3" s="1"/>
  <c r="P58" i="3"/>
  <c r="P152" i="3"/>
  <c r="Q152" i="3"/>
  <c r="R152" i="3" s="1"/>
  <c r="Q150" i="3"/>
  <c r="R150" i="3" s="1"/>
  <c r="P150" i="3"/>
  <c r="Q122" i="3"/>
  <c r="R122" i="3" s="1"/>
  <c r="P122" i="3"/>
  <c r="Q50" i="3"/>
  <c r="R50" i="3" s="1"/>
  <c r="P50" i="3"/>
  <c r="Q61" i="3"/>
  <c r="R61" i="3" s="1"/>
  <c r="P61" i="3"/>
  <c r="Q63" i="3"/>
  <c r="R63" i="3" s="1"/>
  <c r="P63" i="3"/>
  <c r="P67" i="3"/>
  <c r="Q67" i="3"/>
  <c r="R67" i="3" s="1"/>
  <c r="P46" i="3"/>
  <c r="Q46" i="3"/>
  <c r="R46" i="3" s="1"/>
  <c r="DK120" i="3" l="1"/>
  <c r="U120" i="3"/>
  <c r="S96" i="3"/>
  <c r="U96" i="3" s="1"/>
  <c r="S159" i="3"/>
  <c r="DK159" i="3" s="1"/>
  <c r="U190" i="3"/>
  <c r="U197" i="3"/>
  <c r="U161" i="3"/>
  <c r="V161" i="3"/>
  <c r="V172" i="3"/>
  <c r="DK197" i="3"/>
  <c r="U13" i="3"/>
  <c r="DK172" i="3"/>
  <c r="U171" i="3"/>
  <c r="DK171" i="3"/>
  <c r="V41" i="3"/>
  <c r="DK134" i="3"/>
  <c r="U134" i="3"/>
  <c r="U83" i="3"/>
  <c r="DK105" i="3"/>
  <c r="U105" i="3"/>
  <c r="DK41" i="3"/>
  <c r="U39" i="3"/>
  <c r="V124" i="3"/>
  <c r="U174" i="3"/>
  <c r="U164" i="3"/>
  <c r="U133" i="3"/>
  <c r="S163" i="3"/>
  <c r="V163" i="3" s="1"/>
  <c r="S102" i="3"/>
  <c r="DK102" i="3" s="1"/>
  <c r="S115" i="3"/>
  <c r="DK115" i="3" s="1"/>
  <c r="S103" i="3"/>
  <c r="DK103" i="3" s="1"/>
  <c r="S165" i="3"/>
  <c r="U165" i="3" s="1"/>
  <c r="S145" i="3"/>
  <c r="V145" i="3" s="1"/>
  <c r="S148" i="3"/>
  <c r="DK148" i="3" s="1"/>
  <c r="S143" i="3"/>
  <c r="DK143" i="3" s="1"/>
  <c r="DK164" i="3"/>
  <c r="DK83" i="3"/>
  <c r="DK13" i="3"/>
  <c r="DK39" i="3"/>
  <c r="U15" i="3"/>
  <c r="V15" i="3"/>
  <c r="U173" i="3"/>
  <c r="U154" i="3"/>
  <c r="DK133" i="3"/>
  <c r="U191" i="3"/>
  <c r="V191" i="3"/>
  <c r="U124" i="3"/>
  <c r="V173" i="3"/>
  <c r="DK174" i="3"/>
  <c r="U147" i="3"/>
  <c r="V154" i="3"/>
  <c r="DK141" i="3"/>
  <c r="V141" i="3"/>
  <c r="DK51" i="3"/>
  <c r="V51" i="3"/>
  <c r="S125" i="3"/>
  <c r="U125" i="3" s="1"/>
  <c r="S90" i="3"/>
  <c r="DK90" i="3" s="1"/>
  <c r="S110" i="3"/>
  <c r="V110" i="3" s="1"/>
  <c r="S137" i="3"/>
  <c r="V137" i="3" s="1"/>
  <c r="S140" i="3"/>
  <c r="V140" i="3" s="1"/>
  <c r="S127" i="3"/>
  <c r="V127" i="3" s="1"/>
  <c r="S170" i="3"/>
  <c r="V170" i="3" s="1"/>
  <c r="S195" i="3"/>
  <c r="V195" i="3" s="1"/>
  <c r="S198" i="3"/>
  <c r="U198" i="3" s="1"/>
  <c r="S184" i="3"/>
  <c r="V184" i="3" s="1"/>
  <c r="S151" i="3"/>
  <c r="DK151" i="3" s="1"/>
  <c r="S180" i="3"/>
  <c r="V180" i="3" s="1"/>
  <c r="V147" i="3"/>
  <c r="S149" i="3"/>
  <c r="V149" i="3" s="1"/>
  <c r="S82" i="3"/>
  <c r="V82" i="3" s="1"/>
  <c r="S118" i="3"/>
  <c r="V118" i="3" s="1"/>
  <c r="S150" i="3"/>
  <c r="V150" i="3" s="1"/>
  <c r="S108" i="3"/>
  <c r="V108" i="3" s="1"/>
  <c r="S98" i="3"/>
  <c r="U98" i="3" s="1"/>
  <c r="S87" i="3"/>
  <c r="DK87" i="3" s="1"/>
  <c r="S128" i="3"/>
  <c r="DK128" i="3" s="1"/>
  <c r="S92" i="3"/>
  <c r="V92" i="3" s="1"/>
  <c r="S196" i="3"/>
  <c r="DK196" i="3" s="1"/>
  <c r="S88" i="3"/>
  <c r="V88" i="3" s="1"/>
  <c r="S155" i="3"/>
  <c r="U155" i="3" s="1"/>
  <c r="DK186" i="3"/>
  <c r="V186" i="3"/>
  <c r="S116" i="3"/>
  <c r="S85" i="3"/>
  <c r="U85" i="3" s="1"/>
  <c r="S136" i="3"/>
  <c r="U136" i="3" s="1"/>
  <c r="S111" i="3"/>
  <c r="DK111" i="3" s="1"/>
  <c r="S175" i="3"/>
  <c r="V183" i="3"/>
  <c r="DK183" i="3"/>
  <c r="V188" i="3"/>
  <c r="DK188" i="3"/>
  <c r="V185" i="3"/>
  <c r="DK185" i="3"/>
  <c r="V162" i="3"/>
  <c r="DK162" i="3"/>
  <c r="V135" i="3"/>
  <c r="DK135" i="3"/>
  <c r="V139" i="3"/>
  <c r="DK139" i="3"/>
  <c r="V106" i="3"/>
  <c r="DK106" i="3"/>
  <c r="U106" i="3"/>
  <c r="S144" i="3"/>
  <c r="S132" i="3"/>
  <c r="U132" i="3" s="1"/>
  <c r="S119" i="3"/>
  <c r="U119" i="3" s="1"/>
  <c r="S113" i="3"/>
  <c r="S176" i="3"/>
  <c r="U176" i="3" s="1"/>
  <c r="S157" i="3"/>
  <c r="DK157" i="3" s="1"/>
  <c r="S178" i="3"/>
  <c r="S192" i="3"/>
  <c r="U192" i="3" s="1"/>
  <c r="S97" i="3"/>
  <c r="DK97" i="3" s="1"/>
  <c r="V112" i="3"/>
  <c r="DK112" i="3"/>
  <c r="U135" i="3"/>
  <c r="V181" i="3"/>
  <c r="DK181" i="3"/>
  <c r="V131" i="3"/>
  <c r="DK131" i="3"/>
  <c r="V153" i="3"/>
  <c r="DK153" i="3"/>
  <c r="V177" i="3"/>
  <c r="DK177" i="3"/>
  <c r="V96" i="3"/>
  <c r="DK96" i="3"/>
  <c r="U186" i="3"/>
  <c r="DK179" i="3"/>
  <c r="V179" i="3"/>
  <c r="V169" i="3"/>
  <c r="DK169" i="3"/>
  <c r="U179" i="3"/>
  <c r="S122" i="3"/>
  <c r="S91" i="3"/>
  <c r="U91" i="3" s="1"/>
  <c r="S121" i="3"/>
  <c r="DK121" i="3" s="1"/>
  <c r="S109" i="3"/>
  <c r="U109" i="3" s="1"/>
  <c r="S156" i="3"/>
  <c r="U156" i="3" s="1"/>
  <c r="S167" i="3"/>
  <c r="U167" i="3" s="1"/>
  <c r="S126" i="3"/>
  <c r="U126" i="3" s="1"/>
  <c r="S130" i="3"/>
  <c r="DK130" i="3" s="1"/>
  <c r="U153" i="3"/>
  <c r="V93" i="3"/>
  <c r="DK93" i="3"/>
  <c r="V114" i="3"/>
  <c r="DK114" i="3"/>
  <c r="U35" i="3"/>
  <c r="DK19" i="3"/>
  <c r="DK35" i="3"/>
  <c r="U7" i="3"/>
  <c r="U19" i="3"/>
  <c r="DK7" i="3"/>
  <c r="V9" i="3"/>
  <c r="U9" i="3"/>
  <c r="U26" i="3"/>
  <c r="V26" i="3"/>
  <c r="DK43" i="3"/>
  <c r="V66" i="3"/>
  <c r="U43" i="3"/>
  <c r="S63" i="3"/>
  <c r="V63" i="3" s="1"/>
  <c r="S58" i="3"/>
  <c r="V58" i="3" s="1"/>
  <c r="S11" i="3"/>
  <c r="U11" i="3" s="1"/>
  <c r="S38" i="3"/>
  <c r="DK38" i="3" s="1"/>
  <c r="S70" i="3"/>
  <c r="DK70" i="3" s="1"/>
  <c r="DK65" i="3"/>
  <c r="U65" i="3"/>
  <c r="DK66" i="3"/>
  <c r="V4" i="3"/>
  <c r="DK4" i="3"/>
  <c r="V59" i="3"/>
  <c r="DK59" i="3"/>
  <c r="V77" i="3"/>
  <c r="DK77" i="3"/>
  <c r="V25" i="3"/>
  <c r="DK25" i="3"/>
  <c r="V45" i="3"/>
  <c r="DK45" i="3"/>
  <c r="U59" i="3"/>
  <c r="V72" i="3"/>
  <c r="DK72" i="3"/>
  <c r="S61" i="3"/>
  <c r="U61" i="3" s="1"/>
  <c r="S6" i="3"/>
  <c r="S28" i="3"/>
  <c r="S52" i="3"/>
  <c r="U52" i="3" s="1"/>
  <c r="S79" i="3"/>
  <c r="U79" i="3" s="1"/>
  <c r="S17" i="3"/>
  <c r="U17" i="3" s="1"/>
  <c r="V47" i="3"/>
  <c r="DK47" i="3"/>
  <c r="V68" i="3"/>
  <c r="DK68" i="3"/>
  <c r="V78" i="3"/>
  <c r="DK78" i="3"/>
  <c r="V37" i="3"/>
  <c r="DK37" i="3"/>
  <c r="S50" i="3"/>
  <c r="S62" i="3"/>
  <c r="U62" i="3" s="1"/>
  <c r="S22" i="3"/>
  <c r="U22" i="3" s="1"/>
  <c r="S36" i="3"/>
  <c r="U36" i="3" s="1"/>
  <c r="S54" i="3"/>
  <c r="U54" i="3" s="1"/>
  <c r="S55" i="3"/>
  <c r="DK55" i="3" s="1"/>
  <c r="S12" i="3"/>
  <c r="DK12" i="3" s="1"/>
  <c r="S49" i="3"/>
  <c r="U49" i="3" s="1"/>
  <c r="V53" i="3"/>
  <c r="DK53" i="3"/>
  <c r="S30" i="3"/>
  <c r="U30" i="3" s="1"/>
  <c r="S69" i="3"/>
  <c r="DK69" i="3" s="1"/>
  <c r="V29" i="3"/>
  <c r="DK29" i="3"/>
  <c r="V57" i="3"/>
  <c r="DK57" i="3"/>
  <c r="S168" i="3"/>
  <c r="DK168" i="3" s="1"/>
  <c r="V86" i="3"/>
  <c r="U86" i="3"/>
  <c r="S152" i="3"/>
  <c r="DK152" i="3" s="1"/>
  <c r="S94" i="3"/>
  <c r="DK94" i="3" s="1"/>
  <c r="S160" i="3"/>
  <c r="DK160" i="3" s="1"/>
  <c r="S158" i="3"/>
  <c r="DK158" i="3" s="1"/>
  <c r="S199" i="3"/>
  <c r="DK199" i="3" s="1"/>
  <c r="U77" i="3"/>
  <c r="U4" i="3"/>
  <c r="S99" i="3"/>
  <c r="DK99" i="3" s="1"/>
  <c r="V117" i="3"/>
  <c r="U117" i="3"/>
  <c r="U138" i="3"/>
  <c r="V138" i="3"/>
  <c r="S89" i="3"/>
  <c r="DK89" i="3" s="1"/>
  <c r="S100" i="3"/>
  <c r="DK100" i="3" s="1"/>
  <c r="S123" i="3"/>
  <c r="DK123" i="3" s="1"/>
  <c r="S146" i="3"/>
  <c r="DK146" i="3" s="1"/>
  <c r="S101" i="3"/>
  <c r="DK101" i="3" s="1"/>
  <c r="U53" i="3"/>
  <c r="U112" i="3"/>
  <c r="S193" i="3"/>
  <c r="DK193" i="3" s="1"/>
  <c r="U131" i="3"/>
  <c r="S189" i="3"/>
  <c r="DK189" i="3" s="1"/>
  <c r="S129" i="3"/>
  <c r="DK129" i="3" s="1"/>
  <c r="U177" i="3"/>
  <c r="U185" i="3"/>
  <c r="U183" i="3"/>
  <c r="U139" i="3"/>
  <c r="U188" i="3"/>
  <c r="S187" i="3"/>
  <c r="DK187" i="3" s="1"/>
  <c r="S166" i="3"/>
  <c r="DK166" i="3" s="1"/>
  <c r="S182" i="3"/>
  <c r="DK182" i="3" s="1"/>
  <c r="S104" i="3"/>
  <c r="DK104" i="3" s="1"/>
  <c r="S200" i="3"/>
  <c r="DK200" i="3" s="1"/>
  <c r="U32" i="3"/>
  <c r="V32" i="3"/>
  <c r="S64" i="3"/>
  <c r="U25" i="3"/>
  <c r="S75" i="3"/>
  <c r="S34" i="3"/>
  <c r="S81" i="3"/>
  <c r="S8" i="3"/>
  <c r="S5" i="3"/>
  <c r="S46" i="3"/>
  <c r="U29" i="3"/>
  <c r="U45" i="3"/>
  <c r="S40" i="3"/>
  <c r="DK40" i="3" s="1"/>
  <c r="S31" i="3"/>
  <c r="DK31" i="3" s="1"/>
  <c r="S20" i="3"/>
  <c r="DK20" i="3" s="1"/>
  <c r="S48" i="3"/>
  <c r="DK48" i="3" s="1"/>
  <c r="S14" i="3"/>
  <c r="DK14" i="3" s="1"/>
  <c r="S24" i="3"/>
  <c r="DK24" i="3" s="1"/>
  <c r="S18" i="3"/>
  <c r="DK18" i="3" s="1"/>
  <c r="U68" i="3"/>
  <c r="S27" i="3"/>
  <c r="DK27" i="3" s="1"/>
  <c r="S76" i="3"/>
  <c r="DK76" i="3" s="1"/>
  <c r="S56" i="3"/>
  <c r="DK56" i="3" s="1"/>
  <c r="S44" i="3"/>
  <c r="DK44" i="3" s="1"/>
  <c r="S60" i="3"/>
  <c r="DK60" i="3" s="1"/>
  <c r="S33" i="3"/>
  <c r="DK33" i="3" s="1"/>
  <c r="S23" i="3"/>
  <c r="DK23" i="3" s="1"/>
  <c r="S16" i="3"/>
  <c r="DK16" i="3" s="1"/>
  <c r="V10" i="3"/>
  <c r="U10" i="3"/>
  <c r="V21" i="3"/>
  <c r="U21" i="3"/>
  <c r="S73" i="3"/>
  <c r="DK73" i="3" s="1"/>
  <c r="S42" i="3"/>
  <c r="DK42" i="3" s="1"/>
  <c r="S67" i="3"/>
  <c r="DK67" i="3" s="1"/>
  <c r="V3" i="3"/>
  <c r="U3" i="3"/>
  <c r="V71" i="3"/>
  <c r="U71" i="3"/>
  <c r="U97" i="3" l="1"/>
  <c r="U159" i="3"/>
  <c r="V159" i="3"/>
  <c r="V115" i="3"/>
  <c r="U115" i="3"/>
  <c r="U184" i="3"/>
  <c r="U108" i="3"/>
  <c r="U127" i="3"/>
  <c r="U102" i="3"/>
  <c r="U145" i="3"/>
  <c r="V102" i="3"/>
  <c r="DK137" i="3"/>
  <c r="U163" i="3"/>
  <c r="U103" i="3"/>
  <c r="V143" i="3"/>
  <c r="U118" i="3"/>
  <c r="V103" i="3"/>
  <c r="DK184" i="3"/>
  <c r="U170" i="3"/>
  <c r="U143" i="3"/>
  <c r="DK165" i="3"/>
  <c r="U148" i="3"/>
  <c r="DK145" i="3"/>
  <c r="V148" i="3"/>
  <c r="U90" i="3"/>
  <c r="DK110" i="3"/>
  <c r="U110" i="3"/>
  <c r="U82" i="3"/>
  <c r="U180" i="3"/>
  <c r="U150" i="3"/>
  <c r="DK140" i="3"/>
  <c r="U121" i="3"/>
  <c r="U140" i="3"/>
  <c r="DK82" i="3"/>
  <c r="V90" i="3"/>
  <c r="DK163" i="3"/>
  <c r="V165" i="3"/>
  <c r="DK198" i="3"/>
  <c r="V198" i="3"/>
  <c r="U128" i="3"/>
  <c r="V128" i="3"/>
  <c r="V151" i="3"/>
  <c r="U151" i="3"/>
  <c r="DK125" i="3"/>
  <c r="V125" i="3"/>
  <c r="U92" i="3"/>
  <c r="U196" i="3"/>
  <c r="DK98" i="3"/>
  <c r="V98" i="3"/>
  <c r="V121" i="3"/>
  <c r="DK170" i="3"/>
  <c r="U195" i="3"/>
  <c r="DK195" i="3"/>
  <c r="U87" i="3"/>
  <c r="V97" i="3"/>
  <c r="U137" i="3"/>
  <c r="V87" i="3"/>
  <c r="V196" i="3"/>
  <c r="DK150" i="3"/>
  <c r="DK118" i="3"/>
  <c r="DK108" i="3"/>
  <c r="U149" i="3"/>
  <c r="U130" i="3"/>
  <c r="DK127" i="3"/>
  <c r="DK180" i="3"/>
  <c r="DK149" i="3"/>
  <c r="U88" i="3"/>
  <c r="DK155" i="3"/>
  <c r="DK92" i="3"/>
  <c r="V155" i="3"/>
  <c r="DK88" i="3"/>
  <c r="V176" i="3"/>
  <c r="DK176" i="3"/>
  <c r="V136" i="3"/>
  <c r="DK136" i="3"/>
  <c r="V113" i="3"/>
  <c r="DK113" i="3"/>
  <c r="U113" i="3"/>
  <c r="V85" i="3"/>
  <c r="DK85" i="3"/>
  <c r="V119" i="3"/>
  <c r="DK119" i="3"/>
  <c r="V116" i="3"/>
  <c r="DK116" i="3"/>
  <c r="U116" i="3"/>
  <c r="V157" i="3"/>
  <c r="V132" i="3"/>
  <c r="DK132" i="3"/>
  <c r="V144" i="3"/>
  <c r="DK144" i="3"/>
  <c r="U144" i="3"/>
  <c r="V122" i="3"/>
  <c r="DK122" i="3"/>
  <c r="V126" i="3"/>
  <c r="DK126" i="3"/>
  <c r="V130" i="3"/>
  <c r="V167" i="3"/>
  <c r="DK167" i="3"/>
  <c r="V111" i="3"/>
  <c r="V156" i="3"/>
  <c r="DK156" i="3"/>
  <c r="U157" i="3"/>
  <c r="U111" i="3"/>
  <c r="V109" i="3"/>
  <c r="DK109" i="3"/>
  <c r="U122" i="3"/>
  <c r="V192" i="3"/>
  <c r="DK192" i="3"/>
  <c r="V91" i="3"/>
  <c r="DK91" i="3"/>
  <c r="V178" i="3"/>
  <c r="DK178" i="3"/>
  <c r="U178" i="3"/>
  <c r="V175" i="3"/>
  <c r="DK175" i="3"/>
  <c r="U175" i="3"/>
  <c r="V11" i="3"/>
  <c r="U63" i="3"/>
  <c r="DK11" i="3"/>
  <c r="V38" i="3"/>
  <c r="U38" i="3"/>
  <c r="V70" i="3"/>
  <c r="U70" i="3"/>
  <c r="U58" i="3"/>
  <c r="DK63" i="3"/>
  <c r="DK58" i="3"/>
  <c r="U69" i="3"/>
  <c r="V12" i="3"/>
  <c r="V6" i="3"/>
  <c r="DK6" i="3"/>
  <c r="V50" i="3"/>
  <c r="DK50" i="3"/>
  <c r="V61" i="3"/>
  <c r="DK61" i="3"/>
  <c r="V28" i="3"/>
  <c r="DK28" i="3"/>
  <c r="V30" i="3"/>
  <c r="DK30" i="3"/>
  <c r="V49" i="3"/>
  <c r="DK49" i="3"/>
  <c r="V64" i="3"/>
  <c r="DK64" i="3"/>
  <c r="V5" i="3"/>
  <c r="DK5" i="3"/>
  <c r="V8" i="3"/>
  <c r="DK8" i="3"/>
  <c r="V81" i="3"/>
  <c r="DK81" i="3"/>
  <c r="V55" i="3"/>
  <c r="V54" i="3"/>
  <c r="DK54" i="3"/>
  <c r="U28" i="3"/>
  <c r="U6" i="3"/>
  <c r="U12" i="3"/>
  <c r="V34" i="3"/>
  <c r="DK34" i="3"/>
  <c r="U55" i="3"/>
  <c r="V75" i="3"/>
  <c r="DK75" i="3"/>
  <c r="V36" i="3"/>
  <c r="DK36" i="3"/>
  <c r="V17" i="3"/>
  <c r="DK17" i="3"/>
  <c r="V46" i="3"/>
  <c r="DK46" i="3"/>
  <c r="V22" i="3"/>
  <c r="DK22" i="3"/>
  <c r="V79" i="3"/>
  <c r="DK79" i="3"/>
  <c r="V69" i="3"/>
  <c r="U50" i="3"/>
  <c r="V62" i="3"/>
  <c r="DK62" i="3"/>
  <c r="V52" i="3"/>
  <c r="DK52" i="3"/>
  <c r="V101" i="3"/>
  <c r="U101" i="3"/>
  <c r="V152" i="3"/>
  <c r="U152" i="3"/>
  <c r="V189" i="3"/>
  <c r="U189" i="3"/>
  <c r="V123" i="3"/>
  <c r="U123" i="3"/>
  <c r="V94" i="3"/>
  <c r="U94" i="3"/>
  <c r="V146" i="3"/>
  <c r="U146" i="3"/>
  <c r="U64" i="3"/>
  <c r="V100" i="3"/>
  <c r="U100" i="3"/>
  <c r="U99" i="3"/>
  <c r="V99" i="3"/>
  <c r="V187" i="3"/>
  <c r="U187" i="3"/>
  <c r="V193" i="3"/>
  <c r="U193" i="3"/>
  <c r="V200" i="3"/>
  <c r="U200" i="3"/>
  <c r="V166" i="3"/>
  <c r="U166" i="3"/>
  <c r="V129" i="3"/>
  <c r="U129" i="3"/>
  <c r="V89" i="3"/>
  <c r="U89" i="3"/>
  <c r="V182" i="3"/>
  <c r="U182" i="3"/>
  <c r="V160" i="3"/>
  <c r="U160" i="3"/>
  <c r="U104" i="3"/>
  <c r="V104" i="3"/>
  <c r="V199" i="3"/>
  <c r="U199" i="3"/>
  <c r="V168" i="3"/>
  <c r="U168" i="3"/>
  <c r="V158" i="3"/>
  <c r="U158" i="3"/>
  <c r="U46" i="3"/>
  <c r="U5" i="3"/>
  <c r="U75" i="3"/>
  <c r="U8" i="3"/>
  <c r="U34" i="3"/>
  <c r="U81" i="3"/>
  <c r="V16" i="3"/>
  <c r="U16" i="3"/>
  <c r="V33" i="3"/>
  <c r="U33" i="3"/>
  <c r="U60" i="3"/>
  <c r="V60" i="3"/>
  <c r="V24" i="3"/>
  <c r="U24" i="3"/>
  <c r="V67" i="3"/>
  <c r="U67" i="3"/>
  <c r="V23" i="3"/>
  <c r="U23" i="3"/>
  <c r="V18" i="3"/>
  <c r="U18" i="3"/>
  <c r="V48" i="3"/>
  <c r="U48" i="3"/>
  <c r="V73" i="3"/>
  <c r="U73" i="3"/>
  <c r="V44" i="3"/>
  <c r="U44" i="3"/>
  <c r="V76" i="3"/>
  <c r="U76" i="3"/>
  <c r="V42" i="3"/>
  <c r="U42" i="3"/>
  <c r="V14" i="3"/>
  <c r="U14" i="3"/>
  <c r="V56" i="3"/>
  <c r="U56" i="3"/>
  <c r="V27" i="3"/>
  <c r="U27" i="3"/>
  <c r="V31" i="3"/>
  <c r="U31" i="3"/>
  <c r="V20" i="3"/>
  <c r="U20" i="3"/>
  <c r="V40" i="3"/>
  <c r="U40" i="3"/>
  <c r="BS2" i="3" l="1"/>
  <c r="BP2" i="3"/>
  <c r="BO2" i="3"/>
  <c r="BN2" i="3"/>
  <c r="BM2" i="3"/>
  <c r="BL2" i="3"/>
  <c r="N2" i="3"/>
  <c r="M2" i="3"/>
  <c r="L2" i="3"/>
  <c r="K2" i="3"/>
  <c r="J2" i="3"/>
  <c r="I2" i="3"/>
  <c r="H2" i="3"/>
  <c r="G2" i="3"/>
  <c r="F2" i="3"/>
  <c r="E2" i="3"/>
  <c r="D2" i="3"/>
  <c r="C2" i="3"/>
  <c r="B2" i="3"/>
  <c r="DN2" i="3" s="1"/>
  <c r="A2" i="3"/>
  <c r="DM2" i="3" l="1"/>
  <c r="W200" i="1"/>
  <c r="W188" i="1"/>
  <c r="W176" i="1"/>
  <c r="W164" i="1"/>
  <c r="W152" i="1"/>
  <c r="W140" i="1"/>
  <c r="W128" i="1"/>
  <c r="W116" i="1"/>
  <c r="W104" i="1"/>
  <c r="W92" i="1"/>
  <c r="V195" i="1"/>
  <c r="V183" i="1"/>
  <c r="V171" i="1"/>
  <c r="V159" i="1"/>
  <c r="V147" i="1"/>
  <c r="V135" i="1"/>
  <c r="V123" i="1"/>
  <c r="V111" i="1"/>
  <c r="V99" i="1"/>
  <c r="V87" i="1"/>
  <c r="U190" i="1"/>
  <c r="U178" i="1"/>
  <c r="U166" i="1"/>
  <c r="U154" i="1"/>
  <c r="U142" i="1"/>
  <c r="U130" i="1"/>
  <c r="U118" i="1"/>
  <c r="U106" i="1"/>
  <c r="U94" i="1"/>
  <c r="U82" i="1"/>
  <c r="U38" i="1"/>
  <c r="U40" i="1"/>
  <c r="U56" i="1"/>
  <c r="U63" i="1"/>
  <c r="U54" i="1"/>
  <c r="U42" i="1"/>
  <c r="T197" i="1"/>
  <c r="T185" i="1"/>
  <c r="T173" i="1"/>
  <c r="T161" i="1"/>
  <c r="T149" i="1"/>
  <c r="T137" i="1"/>
  <c r="T125" i="1"/>
  <c r="T113" i="1"/>
  <c r="T101" i="1"/>
  <c r="T89" i="1"/>
  <c r="S192" i="1"/>
  <c r="S180" i="1"/>
  <c r="S168" i="1"/>
  <c r="S156" i="1"/>
  <c r="S144" i="1"/>
  <c r="S132" i="1"/>
  <c r="S120" i="1"/>
  <c r="S108" i="1"/>
  <c r="S96" i="1"/>
  <c r="S84" i="1"/>
  <c r="S25" i="1"/>
  <c r="S6" i="1"/>
  <c r="S30" i="1"/>
  <c r="S17" i="1"/>
  <c r="S12" i="1"/>
  <c r="S48" i="1"/>
  <c r="W199" i="1"/>
  <c r="W187" i="1"/>
  <c r="W175" i="1"/>
  <c r="W163" i="1"/>
  <c r="W151" i="1"/>
  <c r="W139" i="1"/>
  <c r="W127" i="1"/>
  <c r="W115" i="1"/>
  <c r="W103" i="1"/>
  <c r="W91" i="1"/>
  <c r="V194" i="1"/>
  <c r="V182" i="1"/>
  <c r="V170" i="1"/>
  <c r="V158" i="1"/>
  <c r="V146" i="1"/>
  <c r="V134" i="1"/>
  <c r="V122" i="1"/>
  <c r="V110" i="1"/>
  <c r="V98" i="1"/>
  <c r="V86" i="1"/>
  <c r="U189" i="1"/>
  <c r="U177" i="1"/>
  <c r="U165" i="1"/>
  <c r="U153" i="1"/>
  <c r="U141" i="1"/>
  <c r="U129" i="1"/>
  <c r="U117" i="1"/>
  <c r="U105" i="1"/>
  <c r="U93" i="1"/>
  <c r="U81" i="1"/>
  <c r="U23" i="1"/>
  <c r="U41" i="1"/>
  <c r="U68" i="1"/>
  <c r="U51" i="1"/>
  <c r="U79" i="1"/>
  <c r="U46" i="1"/>
  <c r="T196" i="1"/>
  <c r="T184" i="1"/>
  <c r="T172" i="1"/>
  <c r="T160" i="1"/>
  <c r="T148" i="1"/>
  <c r="T136" i="1"/>
  <c r="T124" i="1"/>
  <c r="T112" i="1"/>
  <c r="T100" i="1"/>
  <c r="T88" i="1"/>
  <c r="S191" i="1"/>
  <c r="S179" i="1"/>
  <c r="S167" i="1"/>
  <c r="S155" i="1"/>
  <c r="S143" i="1"/>
  <c r="S131" i="1"/>
  <c r="S119" i="1"/>
  <c r="S107" i="1"/>
  <c r="S95" i="1"/>
  <c r="S83" i="1"/>
  <c r="S11" i="1"/>
  <c r="S39" i="1"/>
  <c r="S27" i="1"/>
  <c r="S26" i="1"/>
  <c r="U124" i="1"/>
  <c r="W198" i="1"/>
  <c r="W186" i="1"/>
  <c r="W174" i="1"/>
  <c r="W162" i="1"/>
  <c r="W150" i="1"/>
  <c r="W138" i="1"/>
  <c r="W126" i="1"/>
  <c r="W114" i="1"/>
  <c r="W102" i="1"/>
  <c r="W90" i="1"/>
  <c r="V193" i="1"/>
  <c r="V181" i="1"/>
  <c r="V169" i="1"/>
  <c r="V157" i="1"/>
  <c r="V145" i="1"/>
  <c r="V133" i="1"/>
  <c r="V121" i="1"/>
  <c r="V109" i="1"/>
  <c r="V97" i="1"/>
  <c r="V85" i="1"/>
  <c r="U200" i="1"/>
  <c r="U188" i="1"/>
  <c r="U176" i="1"/>
  <c r="U164" i="1"/>
  <c r="U152" i="1"/>
  <c r="U140" i="1"/>
  <c r="U128" i="1"/>
  <c r="U116" i="1"/>
  <c r="U104" i="1"/>
  <c r="U92" i="1"/>
  <c r="U16" i="1"/>
  <c r="U77" i="1"/>
  <c r="U29" i="1"/>
  <c r="U7" i="1"/>
  <c r="U64" i="1"/>
  <c r="U4" i="1"/>
  <c r="T195" i="1"/>
  <c r="T183" i="1"/>
  <c r="T171" i="1"/>
  <c r="T159" i="1"/>
  <c r="T147" i="1"/>
  <c r="T135" i="1"/>
  <c r="T123" i="1"/>
  <c r="T111" i="1"/>
  <c r="T99" i="1"/>
  <c r="T87" i="1"/>
  <c r="S190" i="1"/>
  <c r="S178" i="1"/>
  <c r="S166" i="1"/>
  <c r="S154" i="1"/>
  <c r="S142" i="1"/>
  <c r="S130" i="1"/>
  <c r="S118" i="1"/>
  <c r="S106" i="1"/>
  <c r="S94" i="1"/>
  <c r="S82" i="1"/>
  <c r="S38" i="1"/>
  <c r="S40" i="1"/>
  <c r="S56" i="1"/>
  <c r="S63" i="1"/>
  <c r="S54" i="1"/>
  <c r="S42" i="1"/>
  <c r="U88" i="1"/>
  <c r="W197" i="1"/>
  <c r="W185" i="1"/>
  <c r="W173" i="1"/>
  <c r="W161" i="1"/>
  <c r="W149" i="1"/>
  <c r="W137" i="1"/>
  <c r="W125" i="1"/>
  <c r="W113" i="1"/>
  <c r="W101" i="1"/>
  <c r="W89" i="1"/>
  <c r="V192" i="1"/>
  <c r="V180" i="1"/>
  <c r="V168" i="1"/>
  <c r="V156" i="1"/>
  <c r="V144" i="1"/>
  <c r="V132" i="1"/>
  <c r="V120" i="1"/>
  <c r="V108" i="1"/>
  <c r="V96" i="1"/>
  <c r="V84" i="1"/>
  <c r="U199" i="1"/>
  <c r="U187" i="1"/>
  <c r="U175" i="1"/>
  <c r="U163" i="1"/>
  <c r="U151" i="1"/>
  <c r="U139" i="1"/>
  <c r="U127" i="1"/>
  <c r="U115" i="1"/>
  <c r="U103" i="1"/>
  <c r="U91" i="1"/>
  <c r="U24" i="1"/>
  <c r="U76" i="1"/>
  <c r="U78" i="1"/>
  <c r="U53" i="1"/>
  <c r="U21" i="1"/>
  <c r="U71" i="1"/>
  <c r="T194" i="1"/>
  <c r="T182" i="1"/>
  <c r="T170" i="1"/>
  <c r="T158" i="1"/>
  <c r="T146" i="1"/>
  <c r="T134" i="1"/>
  <c r="T122" i="1"/>
  <c r="T110" i="1"/>
  <c r="T98" i="1"/>
  <c r="T86" i="1"/>
  <c r="S189" i="1"/>
  <c r="S177" i="1"/>
  <c r="S165" i="1"/>
  <c r="S153" i="1"/>
  <c r="S141" i="1"/>
  <c r="S129" i="1"/>
  <c r="S117" i="1"/>
  <c r="S105" i="1"/>
  <c r="S93" i="1"/>
  <c r="S81" i="1"/>
  <c r="S23" i="1"/>
  <c r="S41" i="1"/>
  <c r="S68" i="1"/>
  <c r="S51" i="1"/>
  <c r="S79" i="1"/>
  <c r="S46" i="1"/>
  <c r="W196" i="1"/>
  <c r="W184" i="1"/>
  <c r="W172" i="1"/>
  <c r="W160" i="1"/>
  <c r="W148" i="1"/>
  <c r="W136" i="1"/>
  <c r="W124" i="1"/>
  <c r="W112" i="1"/>
  <c r="W100" i="1"/>
  <c r="W88" i="1"/>
  <c r="V191" i="1"/>
  <c r="V179" i="1"/>
  <c r="V167" i="1"/>
  <c r="V155" i="1"/>
  <c r="V143" i="1"/>
  <c r="V131" i="1"/>
  <c r="V119" i="1"/>
  <c r="V107" i="1"/>
  <c r="V95" i="1"/>
  <c r="V83" i="1"/>
  <c r="U198" i="1"/>
  <c r="U186" i="1"/>
  <c r="U174" i="1"/>
  <c r="U162" i="1"/>
  <c r="U150" i="1"/>
  <c r="U138" i="1"/>
  <c r="U126" i="1"/>
  <c r="U114" i="1"/>
  <c r="U102" i="1"/>
  <c r="U90" i="1"/>
  <c r="U70" i="1"/>
  <c r="U67" i="1"/>
  <c r="U45" i="1"/>
  <c r="U66" i="1"/>
  <c r="U43" i="1"/>
  <c r="U31" i="1"/>
  <c r="U69" i="1"/>
  <c r="T193" i="1"/>
  <c r="T181" i="1"/>
  <c r="T169" i="1"/>
  <c r="T157" i="1"/>
  <c r="T145" i="1"/>
  <c r="T133" i="1"/>
  <c r="T121" i="1"/>
  <c r="T109" i="1"/>
  <c r="T97" i="1"/>
  <c r="T85" i="1"/>
  <c r="S200" i="1"/>
  <c r="S188" i="1"/>
  <c r="S176" i="1"/>
  <c r="S164" i="1"/>
  <c r="S152" i="1"/>
  <c r="S140" i="1"/>
  <c r="S128" i="1"/>
  <c r="S116" i="1"/>
  <c r="S104" i="1"/>
  <c r="S92" i="1"/>
  <c r="S16" i="1"/>
  <c r="S77" i="1"/>
  <c r="S29" i="1"/>
  <c r="S7" i="1"/>
  <c r="S64" i="1"/>
  <c r="S4" i="1"/>
  <c r="W195" i="1"/>
  <c r="W183" i="1"/>
  <c r="W171" i="1"/>
  <c r="W159" i="1"/>
  <c r="W147" i="1"/>
  <c r="W135" i="1"/>
  <c r="W123" i="1"/>
  <c r="W111" i="1"/>
  <c r="W99" i="1"/>
  <c r="W87" i="1"/>
  <c r="V190" i="1"/>
  <c r="V178" i="1"/>
  <c r="V166" i="1"/>
  <c r="V154" i="1"/>
  <c r="V142" i="1"/>
  <c r="V130" i="1"/>
  <c r="V118" i="1"/>
  <c r="V106" i="1"/>
  <c r="V94" i="1"/>
  <c r="V82" i="1"/>
  <c r="U197" i="1"/>
  <c r="U185" i="1"/>
  <c r="U173" i="1"/>
  <c r="U161" i="1"/>
  <c r="U149" i="1"/>
  <c r="U137" i="1"/>
  <c r="U125" i="1"/>
  <c r="U113" i="1"/>
  <c r="U101" i="1"/>
  <c r="U89" i="1"/>
  <c r="U9" i="1"/>
  <c r="U80" i="1"/>
  <c r="U36" i="1"/>
  <c r="U20" i="1"/>
  <c r="U5" i="1"/>
  <c r="U55" i="1"/>
  <c r="U74" i="1"/>
  <c r="T192" i="1"/>
  <c r="T180" i="1"/>
  <c r="T168" i="1"/>
  <c r="T156" i="1"/>
  <c r="T144" i="1"/>
  <c r="T132" i="1"/>
  <c r="T120" i="1"/>
  <c r="T108" i="1"/>
  <c r="T96" i="1"/>
  <c r="T84" i="1"/>
  <c r="S199" i="1"/>
  <c r="S187" i="1"/>
  <c r="S175" i="1"/>
  <c r="S163" i="1"/>
  <c r="S151" i="1"/>
  <c r="S139" i="1"/>
  <c r="S127" i="1"/>
  <c r="S115" i="1"/>
  <c r="S103" i="1"/>
  <c r="S91" i="1"/>
  <c r="S24" i="1"/>
  <c r="S76" i="1"/>
  <c r="S78" i="1"/>
  <c r="S53" i="1"/>
  <c r="S21" i="1"/>
  <c r="S71" i="1"/>
  <c r="U112" i="1"/>
  <c r="W194" i="1"/>
  <c r="W182" i="1"/>
  <c r="W170" i="1"/>
  <c r="W158" i="1"/>
  <c r="W146" i="1"/>
  <c r="W134" i="1"/>
  <c r="W122" i="1"/>
  <c r="W110" i="1"/>
  <c r="W98" i="1"/>
  <c r="W86" i="1"/>
  <c r="V189" i="1"/>
  <c r="V177" i="1"/>
  <c r="V165" i="1"/>
  <c r="V153" i="1"/>
  <c r="V141" i="1"/>
  <c r="V129" i="1"/>
  <c r="V117" i="1"/>
  <c r="V105" i="1"/>
  <c r="V93" i="1"/>
  <c r="V81" i="1"/>
  <c r="U196" i="1"/>
  <c r="U184" i="1"/>
  <c r="U172" i="1"/>
  <c r="U160" i="1"/>
  <c r="U148" i="1"/>
  <c r="U100" i="1"/>
  <c r="W193" i="1"/>
  <c r="W181" i="1"/>
  <c r="W169" i="1"/>
  <c r="W157" i="1"/>
  <c r="W145" i="1"/>
  <c r="W133" i="1"/>
  <c r="W121" i="1"/>
  <c r="W109" i="1"/>
  <c r="W97" i="1"/>
  <c r="W85" i="1"/>
  <c r="V200" i="1"/>
  <c r="V188" i="1"/>
  <c r="V176" i="1"/>
  <c r="V164" i="1"/>
  <c r="V152" i="1"/>
  <c r="V140" i="1"/>
  <c r="V128" i="1"/>
  <c r="V116" i="1"/>
  <c r="V104" i="1"/>
  <c r="V92" i="1"/>
  <c r="U195" i="1"/>
  <c r="U183" i="1"/>
  <c r="U171" i="1"/>
  <c r="U159" i="1"/>
  <c r="U147" i="1"/>
  <c r="U135" i="1"/>
  <c r="U123" i="1"/>
  <c r="U111" i="1"/>
  <c r="U99" i="1"/>
  <c r="U87" i="1"/>
  <c r="U33" i="1"/>
  <c r="U37" i="1"/>
  <c r="U18" i="1"/>
  <c r="U10" i="1"/>
  <c r="U3" i="1"/>
  <c r="U19" i="1"/>
  <c r="U62" i="1"/>
  <c r="T190" i="1"/>
  <c r="T178" i="1"/>
  <c r="T166" i="1"/>
  <c r="T154" i="1"/>
  <c r="T142" i="1"/>
  <c r="T130" i="1"/>
  <c r="T118" i="1"/>
  <c r="T106" i="1"/>
  <c r="T94" i="1"/>
  <c r="T82" i="1"/>
  <c r="S197" i="1"/>
  <c r="S185" i="1"/>
  <c r="S173" i="1"/>
  <c r="S161" i="1"/>
  <c r="S149" i="1"/>
  <c r="S137" i="1"/>
  <c r="S125" i="1"/>
  <c r="S113" i="1"/>
  <c r="S101" i="1"/>
  <c r="S89" i="1"/>
  <c r="S9" i="1"/>
  <c r="S80" i="1"/>
  <c r="S36" i="1"/>
  <c r="S20" i="1"/>
  <c r="S5" i="1"/>
  <c r="S55" i="1"/>
  <c r="S74" i="1"/>
  <c r="W166" i="1"/>
  <c r="W130" i="1"/>
  <c r="W192" i="1"/>
  <c r="W180" i="1"/>
  <c r="W168" i="1"/>
  <c r="W156" i="1"/>
  <c r="W144" i="1"/>
  <c r="W132" i="1"/>
  <c r="W120" i="1"/>
  <c r="W108" i="1"/>
  <c r="W96" i="1"/>
  <c r="W84" i="1"/>
  <c r="V199" i="1"/>
  <c r="V187" i="1"/>
  <c r="V175" i="1"/>
  <c r="V163" i="1"/>
  <c r="V151" i="1"/>
  <c r="V139" i="1"/>
  <c r="V127" i="1"/>
  <c r="V115" i="1"/>
  <c r="V103" i="1"/>
  <c r="V91" i="1"/>
  <c r="U194" i="1"/>
  <c r="U182" i="1"/>
  <c r="U170" i="1"/>
  <c r="U158" i="1"/>
  <c r="U146" i="1"/>
  <c r="U134" i="1"/>
  <c r="U122" i="1"/>
  <c r="U110" i="1"/>
  <c r="U98" i="1"/>
  <c r="U86" i="1"/>
  <c r="U49" i="1"/>
  <c r="U60" i="1"/>
  <c r="U8" i="1"/>
  <c r="U34" i="1"/>
  <c r="U15" i="1"/>
  <c r="U32" i="1"/>
  <c r="T189" i="1"/>
  <c r="T177" i="1"/>
  <c r="T165" i="1"/>
  <c r="T153" i="1"/>
  <c r="T141" i="1"/>
  <c r="T129" i="1"/>
  <c r="T117" i="1"/>
  <c r="T105" i="1"/>
  <c r="T93" i="1"/>
  <c r="T81" i="1"/>
  <c r="S196" i="1"/>
  <c r="S184" i="1"/>
  <c r="S172" i="1"/>
  <c r="S160" i="1"/>
  <c r="S148" i="1"/>
  <c r="S136" i="1"/>
  <c r="S124" i="1"/>
  <c r="S112" i="1"/>
  <c r="S100" i="1"/>
  <c r="S88" i="1"/>
  <c r="S59" i="1"/>
  <c r="S73" i="1"/>
  <c r="S75" i="1"/>
  <c r="S44" i="1"/>
  <c r="S14" i="1"/>
  <c r="S72" i="1"/>
  <c r="S52" i="1"/>
  <c r="W178" i="1"/>
  <c r="W154" i="1"/>
  <c r="W191" i="1"/>
  <c r="W179" i="1"/>
  <c r="W167" i="1"/>
  <c r="W155" i="1"/>
  <c r="W143" i="1"/>
  <c r="W131" i="1"/>
  <c r="W119" i="1"/>
  <c r="W107" i="1"/>
  <c r="W95" i="1"/>
  <c r="W83" i="1"/>
  <c r="V198" i="1"/>
  <c r="V186" i="1"/>
  <c r="V174" i="1"/>
  <c r="V162" i="1"/>
  <c r="V150" i="1"/>
  <c r="V138" i="1"/>
  <c r="V126" i="1"/>
  <c r="V114" i="1"/>
  <c r="V102" i="1"/>
  <c r="V90" i="1"/>
  <c r="U193" i="1"/>
  <c r="U181" i="1"/>
  <c r="U169" i="1"/>
  <c r="U157" i="1"/>
  <c r="U145" i="1"/>
  <c r="U133" i="1"/>
  <c r="U121" i="1"/>
  <c r="U109" i="1"/>
  <c r="U97" i="1"/>
  <c r="U85" i="1"/>
  <c r="U57" i="1"/>
  <c r="U13" i="1"/>
  <c r="U35" i="1"/>
  <c r="U50" i="1"/>
  <c r="U47" i="1"/>
  <c r="U65" i="1"/>
  <c r="T200" i="1"/>
  <c r="T188" i="1"/>
  <c r="T176" i="1"/>
  <c r="T164" i="1"/>
  <c r="T152" i="1"/>
  <c r="T140" i="1"/>
  <c r="T128" i="1"/>
  <c r="T116" i="1"/>
  <c r="T104" i="1"/>
  <c r="T92" i="1"/>
  <c r="S195" i="1"/>
  <c r="S183" i="1"/>
  <c r="S171" i="1"/>
  <c r="S159" i="1"/>
  <c r="S147" i="1"/>
  <c r="S135" i="1"/>
  <c r="S123" i="1"/>
  <c r="S111" i="1"/>
  <c r="S99" i="1"/>
  <c r="S87" i="1"/>
  <c r="S33" i="1"/>
  <c r="S37" i="1"/>
  <c r="S18" i="1"/>
  <c r="S10" i="1"/>
  <c r="S3" i="1"/>
  <c r="S19" i="1"/>
  <c r="S62" i="1"/>
  <c r="W190" i="1"/>
  <c r="W142" i="1"/>
  <c r="W189" i="1"/>
  <c r="W82" i="1"/>
  <c r="V137" i="1"/>
  <c r="U192" i="1"/>
  <c r="U131" i="1"/>
  <c r="U73" i="1"/>
  <c r="U72" i="1"/>
  <c r="T167" i="1"/>
  <c r="T119" i="1"/>
  <c r="S174" i="1"/>
  <c r="S126" i="1"/>
  <c r="S70" i="1"/>
  <c r="S43" i="1"/>
  <c r="U136" i="1"/>
  <c r="S133" i="1"/>
  <c r="W177" i="1"/>
  <c r="W81" i="1"/>
  <c r="V136" i="1"/>
  <c r="U191" i="1"/>
  <c r="U120" i="1"/>
  <c r="U6" i="1"/>
  <c r="U48" i="1"/>
  <c r="T163" i="1"/>
  <c r="T115" i="1"/>
  <c r="S170" i="1"/>
  <c r="S122" i="1"/>
  <c r="S49" i="1"/>
  <c r="S15" i="1"/>
  <c r="V148" i="1"/>
  <c r="W165" i="1"/>
  <c r="V197" i="1"/>
  <c r="V125" i="1"/>
  <c r="U180" i="1"/>
  <c r="U119" i="1"/>
  <c r="U39" i="1"/>
  <c r="T162" i="1"/>
  <c r="T114" i="1"/>
  <c r="S169" i="1"/>
  <c r="S121" i="1"/>
  <c r="S57" i="1"/>
  <c r="S47" i="1"/>
  <c r="S34" i="1"/>
  <c r="U26" i="1"/>
  <c r="W153" i="1"/>
  <c r="V196" i="1"/>
  <c r="V124" i="1"/>
  <c r="U179" i="1"/>
  <c r="U108" i="1"/>
  <c r="U75" i="1"/>
  <c r="U52" i="1"/>
  <c r="T155" i="1"/>
  <c r="T107" i="1"/>
  <c r="S162" i="1"/>
  <c r="S114" i="1"/>
  <c r="S67" i="1"/>
  <c r="S31" i="1"/>
  <c r="T127" i="1"/>
  <c r="W141" i="1"/>
  <c r="V185" i="1"/>
  <c r="V113" i="1"/>
  <c r="U168" i="1"/>
  <c r="U107" i="1"/>
  <c r="U30" i="1"/>
  <c r="T199" i="1"/>
  <c r="T151" i="1"/>
  <c r="T103" i="1"/>
  <c r="S158" i="1"/>
  <c r="S110" i="1"/>
  <c r="S60" i="1"/>
  <c r="S32" i="1"/>
  <c r="S198" i="1"/>
  <c r="S98" i="1"/>
  <c r="T175" i="1"/>
  <c r="W93" i="1"/>
  <c r="W129" i="1"/>
  <c r="V184" i="1"/>
  <c r="V112" i="1"/>
  <c r="U167" i="1"/>
  <c r="U96" i="1"/>
  <c r="U27" i="1"/>
  <c r="T198" i="1"/>
  <c r="T150" i="1"/>
  <c r="T102" i="1"/>
  <c r="S157" i="1"/>
  <c r="S109" i="1"/>
  <c r="S13" i="1"/>
  <c r="S65" i="1"/>
  <c r="T191" i="1"/>
  <c r="S102" i="1"/>
  <c r="S69" i="1"/>
  <c r="S8" i="1"/>
  <c r="U12" i="1"/>
  <c r="S86" i="1"/>
  <c r="W118" i="1"/>
  <c r="V173" i="1"/>
  <c r="V101" i="1"/>
  <c r="U156" i="1"/>
  <c r="U95" i="1"/>
  <c r="U44" i="1"/>
  <c r="T143" i="1"/>
  <c r="T95" i="1"/>
  <c r="S150" i="1"/>
  <c r="S45" i="1"/>
  <c r="V149" i="1"/>
  <c r="S134" i="1"/>
  <c r="T174" i="1"/>
  <c r="S181" i="1"/>
  <c r="W117" i="1"/>
  <c r="V172" i="1"/>
  <c r="V100" i="1"/>
  <c r="U155" i="1"/>
  <c r="U84" i="1"/>
  <c r="U17" i="1"/>
  <c r="T187" i="1"/>
  <c r="T139" i="1"/>
  <c r="T91" i="1"/>
  <c r="S194" i="1"/>
  <c r="S146" i="1"/>
  <c r="U25" i="1"/>
  <c r="S182" i="1"/>
  <c r="U11" i="1"/>
  <c r="S50" i="1"/>
  <c r="W106" i="1"/>
  <c r="V161" i="1"/>
  <c r="V89" i="1"/>
  <c r="U144" i="1"/>
  <c r="U83" i="1"/>
  <c r="T186" i="1"/>
  <c r="T138" i="1"/>
  <c r="T90" i="1"/>
  <c r="S193" i="1"/>
  <c r="S145" i="1"/>
  <c r="S97" i="1"/>
  <c r="S35" i="1"/>
  <c r="U132" i="1"/>
  <c r="W105" i="1"/>
  <c r="V160" i="1"/>
  <c r="V88" i="1"/>
  <c r="U143" i="1"/>
  <c r="U59" i="1"/>
  <c r="U14" i="1"/>
  <c r="T179" i="1"/>
  <c r="T131" i="1"/>
  <c r="T83" i="1"/>
  <c r="S186" i="1"/>
  <c r="S138" i="1"/>
  <c r="S90" i="1"/>
  <c r="S66" i="1"/>
  <c r="W94" i="1"/>
  <c r="T126" i="1"/>
  <c r="S85" i="1"/>
  <c r="DP2" i="3"/>
  <c r="S28" i="1" s="1"/>
  <c r="X2" i="3"/>
  <c r="AF2" i="3"/>
  <c r="Z2" i="3"/>
  <c r="U28" i="1" s="1"/>
  <c r="AB2" i="3"/>
  <c r="AK2" i="3"/>
  <c r="AL2" i="3" s="1"/>
  <c r="T2" i="3"/>
  <c r="AE2" i="3"/>
  <c r="AH2" i="3" s="1"/>
  <c r="O2" i="3"/>
  <c r="P2" i="3" s="1"/>
  <c r="Y2" i="3"/>
  <c r="U2" i="1" l="1"/>
  <c r="S2" i="1"/>
  <c r="U61" i="1"/>
  <c r="S61" i="1"/>
  <c r="U58" i="1"/>
  <c r="S58" i="1"/>
  <c r="U22" i="1"/>
  <c r="S22" i="1"/>
  <c r="AD2" i="3"/>
  <c r="AI2" i="3" s="1"/>
  <c r="AC197" i="3"/>
  <c r="AG197" i="3" s="1"/>
  <c r="AJ197" i="3" s="1"/>
  <c r="AM197" i="3" s="1"/>
  <c r="CO197" i="3" s="1"/>
  <c r="DL197" i="3" s="1"/>
  <c r="AC183" i="3"/>
  <c r="AG183" i="3" s="1"/>
  <c r="AJ183" i="3" s="1"/>
  <c r="AM183" i="3" s="1"/>
  <c r="CO183" i="3" s="1"/>
  <c r="DL183" i="3" s="1"/>
  <c r="AC191" i="3"/>
  <c r="AG191" i="3" s="1"/>
  <c r="AJ191" i="3" s="1"/>
  <c r="AM191" i="3" s="1"/>
  <c r="CO191" i="3" s="1"/>
  <c r="DL191" i="3" s="1"/>
  <c r="AC190" i="3"/>
  <c r="AG190" i="3" s="1"/>
  <c r="AJ190" i="3" s="1"/>
  <c r="AM190" i="3" s="1"/>
  <c r="CO190" i="3" s="1"/>
  <c r="DL190" i="3" s="1"/>
  <c r="AC200" i="3"/>
  <c r="AG200" i="3" s="1"/>
  <c r="AJ200" i="3" s="1"/>
  <c r="AM200" i="3" s="1"/>
  <c r="CO200" i="3" s="1"/>
  <c r="DL200" i="3" s="1"/>
  <c r="AC194" i="3"/>
  <c r="AG194" i="3" s="1"/>
  <c r="AJ194" i="3" s="1"/>
  <c r="AM194" i="3" s="1"/>
  <c r="CO194" i="3" s="1"/>
  <c r="DL194" i="3" s="1"/>
  <c r="AC179" i="3"/>
  <c r="AG179" i="3" s="1"/>
  <c r="AJ179" i="3" s="1"/>
  <c r="AM179" i="3" s="1"/>
  <c r="CO179" i="3" s="1"/>
  <c r="DL179" i="3" s="1"/>
  <c r="AC188" i="3"/>
  <c r="AG188" i="3" s="1"/>
  <c r="AJ188" i="3" s="1"/>
  <c r="AM188" i="3" s="1"/>
  <c r="CO188" i="3" s="1"/>
  <c r="DL188" i="3" s="1"/>
  <c r="AC185" i="3"/>
  <c r="AG185" i="3" s="1"/>
  <c r="AJ185" i="3" s="1"/>
  <c r="AM185" i="3" s="1"/>
  <c r="CO185" i="3" s="1"/>
  <c r="DL185" i="3" s="1"/>
  <c r="AC186" i="3"/>
  <c r="AG186" i="3" s="1"/>
  <c r="AJ186" i="3" s="1"/>
  <c r="AM186" i="3" s="1"/>
  <c r="CO186" i="3" s="1"/>
  <c r="DL186" i="3" s="1"/>
  <c r="AC174" i="3"/>
  <c r="AG174" i="3" s="1"/>
  <c r="AJ174" i="3" s="1"/>
  <c r="AM174" i="3" s="1"/>
  <c r="CO174" i="3" s="1"/>
  <c r="DL174" i="3" s="1"/>
  <c r="AC173" i="3"/>
  <c r="AG173" i="3" s="1"/>
  <c r="AJ173" i="3" s="1"/>
  <c r="AM173" i="3" s="1"/>
  <c r="CO173" i="3" s="1"/>
  <c r="DL173" i="3" s="1"/>
  <c r="AC171" i="3"/>
  <c r="AG171" i="3" s="1"/>
  <c r="AJ171" i="3" s="1"/>
  <c r="AM171" i="3" s="1"/>
  <c r="CO171" i="3" s="1"/>
  <c r="DL171" i="3" s="1"/>
  <c r="AC162" i="3"/>
  <c r="AG162" i="3" s="1"/>
  <c r="AJ162" i="3" s="1"/>
  <c r="AM162" i="3" s="1"/>
  <c r="CO162" i="3" s="1"/>
  <c r="DL162" i="3" s="1"/>
  <c r="AC164" i="3"/>
  <c r="AG164" i="3" s="1"/>
  <c r="AJ164" i="3" s="1"/>
  <c r="AM164" i="3" s="1"/>
  <c r="CO164" i="3" s="1"/>
  <c r="DL164" i="3" s="1"/>
  <c r="AC161" i="3"/>
  <c r="AG161" i="3" s="1"/>
  <c r="AJ161" i="3" s="1"/>
  <c r="AM161" i="3" s="1"/>
  <c r="CO161" i="3" s="1"/>
  <c r="DL161" i="3" s="1"/>
  <c r="AC177" i="3"/>
  <c r="AG177" i="3" s="1"/>
  <c r="AJ177" i="3" s="1"/>
  <c r="AM177" i="3" s="1"/>
  <c r="CO177" i="3" s="1"/>
  <c r="DL177" i="3" s="1"/>
  <c r="AC153" i="3"/>
  <c r="AG153" i="3" s="1"/>
  <c r="AJ153" i="3" s="1"/>
  <c r="AM153" i="3" s="1"/>
  <c r="CO153" i="3" s="1"/>
  <c r="DL153" i="3" s="1"/>
  <c r="AC147" i="3"/>
  <c r="AG147" i="3" s="1"/>
  <c r="AJ147" i="3" s="1"/>
  <c r="AM147" i="3" s="1"/>
  <c r="CO147" i="3" s="1"/>
  <c r="DL147" i="3" s="1"/>
  <c r="AC154" i="3"/>
  <c r="AG154" i="3" s="1"/>
  <c r="AJ154" i="3" s="1"/>
  <c r="AM154" i="3" s="1"/>
  <c r="CO154" i="3" s="1"/>
  <c r="DL154" i="3" s="1"/>
  <c r="AC139" i="3"/>
  <c r="AG139" i="3" s="1"/>
  <c r="AJ139" i="3" s="1"/>
  <c r="AM139" i="3" s="1"/>
  <c r="CO139" i="3" s="1"/>
  <c r="DL139" i="3" s="1"/>
  <c r="AC144" i="3"/>
  <c r="AG144" i="3" s="1"/>
  <c r="AJ144" i="3" s="1"/>
  <c r="AM144" i="3" s="1"/>
  <c r="CO144" i="3" s="1"/>
  <c r="DL144" i="3" s="1"/>
  <c r="AC138" i="3"/>
  <c r="AG138" i="3" s="1"/>
  <c r="AJ138" i="3" s="1"/>
  <c r="AM138" i="3" s="1"/>
  <c r="CO138" i="3" s="1"/>
  <c r="DL138" i="3" s="1"/>
  <c r="AC141" i="3"/>
  <c r="AG141" i="3" s="1"/>
  <c r="AJ141" i="3" s="1"/>
  <c r="AM141" i="3" s="1"/>
  <c r="CO141" i="3" s="1"/>
  <c r="DL141" i="3" s="1"/>
  <c r="AC133" i="3"/>
  <c r="AG133" i="3" s="1"/>
  <c r="AJ133" i="3" s="1"/>
  <c r="AM133" i="3" s="1"/>
  <c r="CO133" i="3" s="1"/>
  <c r="DL133" i="3" s="1"/>
  <c r="AC117" i="3"/>
  <c r="AG117" i="3" s="1"/>
  <c r="AJ117" i="3" s="1"/>
  <c r="AM117" i="3" s="1"/>
  <c r="CO117" i="3" s="1"/>
  <c r="DL117" i="3" s="1"/>
  <c r="AC124" i="3"/>
  <c r="AG124" i="3" s="1"/>
  <c r="AJ124" i="3" s="1"/>
  <c r="AM124" i="3" s="1"/>
  <c r="CO124" i="3" s="1"/>
  <c r="DL124" i="3" s="1"/>
  <c r="AC130" i="3"/>
  <c r="AG130" i="3" s="1"/>
  <c r="AJ130" i="3" s="1"/>
  <c r="AM130" i="3" s="1"/>
  <c r="CO130" i="3" s="1"/>
  <c r="DL130" i="3" s="1"/>
  <c r="AC120" i="3"/>
  <c r="AG120" i="3" s="1"/>
  <c r="AJ120" i="3" s="1"/>
  <c r="AM120" i="3" s="1"/>
  <c r="CO120" i="3" s="1"/>
  <c r="DL120" i="3" s="1"/>
  <c r="AC118" i="3"/>
  <c r="AG118" i="3" s="1"/>
  <c r="AJ118" i="3" s="1"/>
  <c r="AM118" i="3" s="1"/>
  <c r="CO118" i="3" s="1"/>
  <c r="DL118" i="3" s="1"/>
  <c r="AC104" i="3"/>
  <c r="AG104" i="3" s="1"/>
  <c r="AJ104" i="3" s="1"/>
  <c r="AM104" i="3" s="1"/>
  <c r="CO104" i="3" s="1"/>
  <c r="DL104" i="3" s="1"/>
  <c r="AC112" i="3"/>
  <c r="AG112" i="3" s="1"/>
  <c r="AJ112" i="3" s="1"/>
  <c r="AM112" i="3" s="1"/>
  <c r="CO112" i="3" s="1"/>
  <c r="DL112" i="3" s="1"/>
  <c r="AC122" i="3"/>
  <c r="AG122" i="3" s="1"/>
  <c r="AJ122" i="3" s="1"/>
  <c r="AM122" i="3" s="1"/>
  <c r="CO122" i="3" s="1"/>
  <c r="DL122" i="3" s="1"/>
  <c r="AC131" i="3"/>
  <c r="AG131" i="3" s="1"/>
  <c r="AJ131" i="3" s="1"/>
  <c r="AM131" i="3" s="1"/>
  <c r="CO131" i="3" s="1"/>
  <c r="DL131" i="3" s="1"/>
  <c r="AC125" i="3"/>
  <c r="AG125" i="3" s="1"/>
  <c r="AJ125" i="3" s="1"/>
  <c r="AM125" i="3" s="1"/>
  <c r="CO125" i="3" s="1"/>
  <c r="DL125" i="3" s="1"/>
  <c r="AC114" i="3"/>
  <c r="AG114" i="3" s="1"/>
  <c r="AJ114" i="3" s="1"/>
  <c r="AM114" i="3" s="1"/>
  <c r="CO114" i="3" s="1"/>
  <c r="DL114" i="3" s="1"/>
  <c r="AC105" i="3"/>
  <c r="AG105" i="3" s="1"/>
  <c r="AJ105" i="3" s="1"/>
  <c r="AM105" i="3" s="1"/>
  <c r="CO105" i="3" s="1"/>
  <c r="DL105" i="3" s="1"/>
  <c r="AC113" i="3"/>
  <c r="AG113" i="3" s="1"/>
  <c r="AJ113" i="3" s="1"/>
  <c r="AM113" i="3" s="1"/>
  <c r="CO113" i="3" s="1"/>
  <c r="DL113" i="3" s="1"/>
  <c r="AC106" i="3"/>
  <c r="AG106" i="3" s="1"/>
  <c r="AJ106" i="3" s="1"/>
  <c r="AM106" i="3" s="1"/>
  <c r="CO106" i="3" s="1"/>
  <c r="DL106" i="3" s="1"/>
  <c r="AC99" i="3"/>
  <c r="AG99" i="3" s="1"/>
  <c r="AJ99" i="3" s="1"/>
  <c r="AM99" i="3" s="1"/>
  <c r="CO99" i="3" s="1"/>
  <c r="DL99" i="3" s="1"/>
  <c r="AC107" i="3"/>
  <c r="AG107" i="3" s="1"/>
  <c r="AJ107" i="3" s="1"/>
  <c r="AM107" i="3" s="1"/>
  <c r="CO107" i="3" s="1"/>
  <c r="DL107" i="3" s="1"/>
  <c r="AC96" i="3"/>
  <c r="AG96" i="3" s="1"/>
  <c r="AJ96" i="3" s="1"/>
  <c r="AM96" i="3" s="1"/>
  <c r="CO96" i="3" s="1"/>
  <c r="DL96" i="3" s="1"/>
  <c r="AC108" i="3"/>
  <c r="AG108" i="3" s="1"/>
  <c r="AJ108" i="3" s="1"/>
  <c r="AM108" i="3" s="1"/>
  <c r="CO108" i="3" s="1"/>
  <c r="DL108" i="3" s="1"/>
  <c r="AC95" i="3"/>
  <c r="AG95" i="3" s="1"/>
  <c r="AJ95" i="3" s="1"/>
  <c r="AM95" i="3" s="1"/>
  <c r="CO95" i="3" s="1"/>
  <c r="DL95" i="3" s="1"/>
  <c r="AC90" i="3"/>
  <c r="AG90" i="3" s="1"/>
  <c r="AJ90" i="3" s="1"/>
  <c r="AM90" i="3" s="1"/>
  <c r="CO90" i="3" s="1"/>
  <c r="DL90" i="3" s="1"/>
  <c r="AC102" i="3"/>
  <c r="AG102" i="3" s="1"/>
  <c r="AJ102" i="3" s="1"/>
  <c r="AM102" i="3" s="1"/>
  <c r="CO102" i="3" s="1"/>
  <c r="DL102" i="3" s="1"/>
  <c r="AC93" i="3"/>
  <c r="AG93" i="3" s="1"/>
  <c r="AJ93" i="3" s="1"/>
  <c r="AM93" i="3" s="1"/>
  <c r="CO93" i="3" s="1"/>
  <c r="DL93" i="3" s="1"/>
  <c r="AC87" i="3"/>
  <c r="AG87" i="3" s="1"/>
  <c r="AJ87" i="3" s="1"/>
  <c r="AM87" i="3" s="1"/>
  <c r="CO87" i="3" s="1"/>
  <c r="DL87" i="3" s="1"/>
  <c r="AC80" i="3"/>
  <c r="AG80" i="3" s="1"/>
  <c r="AJ80" i="3" s="1"/>
  <c r="AM80" i="3" s="1"/>
  <c r="CO80" i="3" s="1"/>
  <c r="DL80" i="3" s="1"/>
  <c r="AC74" i="3"/>
  <c r="AG74" i="3" s="1"/>
  <c r="AJ74" i="3" s="1"/>
  <c r="AM74" i="3" s="1"/>
  <c r="CO74" i="3" s="1"/>
  <c r="DL74" i="3" s="1"/>
  <c r="AC84" i="3"/>
  <c r="AG84" i="3" s="1"/>
  <c r="AJ84" i="3" s="1"/>
  <c r="AM84" i="3" s="1"/>
  <c r="CO84" i="3" s="1"/>
  <c r="DL84" i="3" s="1"/>
  <c r="AC78" i="3"/>
  <c r="AG78" i="3" s="1"/>
  <c r="AJ78" i="3" s="1"/>
  <c r="AM78" i="3" s="1"/>
  <c r="CO78" i="3" s="1"/>
  <c r="DL78" i="3" s="1"/>
  <c r="AC91" i="3"/>
  <c r="AG91" i="3" s="1"/>
  <c r="AJ91" i="3" s="1"/>
  <c r="AM91" i="3" s="1"/>
  <c r="CO91" i="3" s="1"/>
  <c r="DL91" i="3" s="1"/>
  <c r="AC83" i="3"/>
  <c r="AG83" i="3" s="1"/>
  <c r="AJ83" i="3" s="1"/>
  <c r="AM83" i="3" s="1"/>
  <c r="CO83" i="3" s="1"/>
  <c r="DL83" i="3" s="1"/>
  <c r="AC77" i="3"/>
  <c r="AG77" i="3" s="1"/>
  <c r="AJ77" i="3" s="1"/>
  <c r="AM77" i="3" s="1"/>
  <c r="CO77" i="3" s="1"/>
  <c r="DL77" i="3" s="1"/>
  <c r="AC71" i="3"/>
  <c r="AG71" i="3" s="1"/>
  <c r="AJ71" i="3" s="1"/>
  <c r="AM71" i="3" s="1"/>
  <c r="CO71" i="3" s="1"/>
  <c r="DL71" i="3" s="1"/>
  <c r="AC68" i="3"/>
  <c r="AG68" i="3" s="1"/>
  <c r="AJ68" i="3" s="1"/>
  <c r="AM68" i="3" s="1"/>
  <c r="CO68" i="3" s="1"/>
  <c r="DL68" i="3" s="1"/>
  <c r="AC59" i="3"/>
  <c r="AG59" i="3" s="1"/>
  <c r="AJ59" i="3" s="1"/>
  <c r="AM59" i="3" s="1"/>
  <c r="CO59" i="3" s="1"/>
  <c r="DL59" i="3" s="1"/>
  <c r="AC53" i="3"/>
  <c r="AG53" i="3" s="1"/>
  <c r="AJ53" i="3" s="1"/>
  <c r="AM53" i="3" s="1"/>
  <c r="CO53" i="3" s="1"/>
  <c r="DL53" i="3" s="1"/>
  <c r="AC65" i="3"/>
  <c r="AG65" i="3" s="1"/>
  <c r="AJ65" i="3" s="1"/>
  <c r="AM65" i="3" s="1"/>
  <c r="CO65" i="3" s="1"/>
  <c r="DL65" i="3" s="1"/>
  <c r="AC72" i="3"/>
  <c r="AG72" i="3" s="1"/>
  <c r="AJ72" i="3" s="1"/>
  <c r="AM72" i="3" s="1"/>
  <c r="CO72" i="3" s="1"/>
  <c r="DL72" i="3" s="1"/>
  <c r="AC66" i="3"/>
  <c r="AG66" i="3" s="1"/>
  <c r="AJ66" i="3" s="1"/>
  <c r="AM66" i="3" s="1"/>
  <c r="CO66" i="3" s="1"/>
  <c r="DL66" i="3" s="1"/>
  <c r="AC51" i="3"/>
  <c r="AG51" i="3" s="1"/>
  <c r="AJ51" i="3" s="1"/>
  <c r="AM51" i="3" s="1"/>
  <c r="CO51" i="3" s="1"/>
  <c r="DL51" i="3" s="1"/>
  <c r="AC31" i="3"/>
  <c r="AG31" i="3" s="1"/>
  <c r="AJ31" i="3" s="1"/>
  <c r="AM31" i="3" s="1"/>
  <c r="CO31" i="3" s="1"/>
  <c r="DL31" i="3" s="1"/>
  <c r="AC25" i="3"/>
  <c r="AG25" i="3" s="1"/>
  <c r="AJ25" i="3" s="1"/>
  <c r="AM25" i="3" s="1"/>
  <c r="CO25" i="3" s="1"/>
  <c r="DL25" i="3" s="1"/>
  <c r="AC19" i="3"/>
  <c r="AG19" i="3" s="1"/>
  <c r="AJ19" i="3" s="1"/>
  <c r="AM19" i="3" s="1"/>
  <c r="CO19" i="3" s="1"/>
  <c r="DL19" i="3" s="1"/>
  <c r="AC47" i="3"/>
  <c r="AG47" i="3" s="1"/>
  <c r="AJ47" i="3" s="1"/>
  <c r="AM47" i="3" s="1"/>
  <c r="CO47" i="3" s="1"/>
  <c r="DL47" i="3" s="1"/>
  <c r="AC35" i="3"/>
  <c r="AG35" i="3" s="1"/>
  <c r="AJ35" i="3" s="1"/>
  <c r="AM35" i="3" s="1"/>
  <c r="CO35" i="3" s="1"/>
  <c r="DL35" i="3" s="1"/>
  <c r="AC57" i="3"/>
  <c r="AG57" i="3" s="1"/>
  <c r="AJ57" i="3" s="1"/>
  <c r="AM57" i="3" s="1"/>
  <c r="CO57" i="3" s="1"/>
  <c r="DL57" i="3" s="1"/>
  <c r="AC45" i="3"/>
  <c r="AG45" i="3" s="1"/>
  <c r="AJ45" i="3" s="1"/>
  <c r="AM45" i="3" s="1"/>
  <c r="CO45" i="3" s="1"/>
  <c r="DL45" i="3" s="1"/>
  <c r="AC15" i="3"/>
  <c r="AG15" i="3" s="1"/>
  <c r="AJ15" i="3" s="1"/>
  <c r="AM15" i="3" s="1"/>
  <c r="CO15" i="3" s="1"/>
  <c r="DL15" i="3" s="1"/>
  <c r="AC9" i="3"/>
  <c r="AG9" i="3" s="1"/>
  <c r="AJ9" i="3" s="1"/>
  <c r="AM9" i="3" s="1"/>
  <c r="CO9" i="3" s="1"/>
  <c r="DL9" i="3" s="1"/>
  <c r="AC3" i="3"/>
  <c r="AG3" i="3" s="1"/>
  <c r="AJ3" i="3" s="1"/>
  <c r="AM3" i="3" s="1"/>
  <c r="CO3" i="3" s="1"/>
  <c r="DL3" i="3" s="1"/>
  <c r="AC7" i="3"/>
  <c r="AG7" i="3" s="1"/>
  <c r="AJ7" i="3" s="1"/>
  <c r="AM7" i="3" s="1"/>
  <c r="CO7" i="3" s="1"/>
  <c r="DL7" i="3" s="1"/>
  <c r="AC41" i="3"/>
  <c r="AG41" i="3" s="1"/>
  <c r="AJ41" i="3" s="1"/>
  <c r="AM41" i="3" s="1"/>
  <c r="CO41" i="3" s="1"/>
  <c r="DL41" i="3" s="1"/>
  <c r="AC38" i="3"/>
  <c r="AG38" i="3" s="1"/>
  <c r="AJ38" i="3" s="1"/>
  <c r="AM38" i="3" s="1"/>
  <c r="CO38" i="3" s="1"/>
  <c r="DL38" i="3" s="1"/>
  <c r="AC16" i="3"/>
  <c r="AG16" i="3" s="1"/>
  <c r="AJ16" i="3" s="1"/>
  <c r="AM16" i="3" s="1"/>
  <c r="CO16" i="3" s="1"/>
  <c r="DL16" i="3" s="1"/>
  <c r="AC13" i="3"/>
  <c r="AG13" i="3" s="1"/>
  <c r="AJ13" i="3" s="1"/>
  <c r="AM13" i="3" s="1"/>
  <c r="CO13" i="3" s="1"/>
  <c r="DL13" i="3" s="1"/>
  <c r="AC29" i="3"/>
  <c r="AG29" i="3" s="1"/>
  <c r="AJ29" i="3" s="1"/>
  <c r="AM29" i="3" s="1"/>
  <c r="CO29" i="3" s="1"/>
  <c r="DL29" i="3" s="1"/>
  <c r="AC20" i="3"/>
  <c r="AG20" i="3" s="1"/>
  <c r="AJ20" i="3" s="1"/>
  <c r="AM20" i="3" s="1"/>
  <c r="CO20" i="3" s="1"/>
  <c r="DL20" i="3" s="1"/>
  <c r="AC23" i="3"/>
  <c r="AG23" i="3" s="1"/>
  <c r="AJ23" i="3" s="1"/>
  <c r="AM23" i="3" s="1"/>
  <c r="CO23" i="3" s="1"/>
  <c r="DL23" i="3" s="1"/>
  <c r="AC33" i="3"/>
  <c r="AG33" i="3" s="1"/>
  <c r="AJ33" i="3" s="1"/>
  <c r="AM33" i="3" s="1"/>
  <c r="CO33" i="3" s="1"/>
  <c r="DL33" i="3" s="1"/>
  <c r="AC10" i="3"/>
  <c r="AG10" i="3" s="1"/>
  <c r="AJ10" i="3" s="1"/>
  <c r="AM10" i="3" s="1"/>
  <c r="CO10" i="3" s="1"/>
  <c r="DL10" i="3" s="1"/>
  <c r="AC43" i="3"/>
  <c r="AG43" i="3" s="1"/>
  <c r="AJ43" i="3" s="1"/>
  <c r="AM43" i="3" s="1"/>
  <c r="CO43" i="3" s="1"/>
  <c r="DL43" i="3" s="1"/>
  <c r="AC4" i="3"/>
  <c r="AG4" i="3" s="1"/>
  <c r="AJ4" i="3" s="1"/>
  <c r="AM4" i="3" s="1"/>
  <c r="CO4" i="3" s="1"/>
  <c r="DL4" i="3" s="1"/>
  <c r="AC17" i="3"/>
  <c r="AG17" i="3" s="1"/>
  <c r="AJ17" i="3" s="1"/>
  <c r="AM17" i="3" s="1"/>
  <c r="CO17" i="3" s="1"/>
  <c r="DL17" i="3" s="1"/>
  <c r="AC32" i="3"/>
  <c r="AG32" i="3" s="1"/>
  <c r="AJ32" i="3" s="1"/>
  <c r="AM32" i="3" s="1"/>
  <c r="CO32" i="3" s="1"/>
  <c r="DL32" i="3" s="1"/>
  <c r="AC26" i="3"/>
  <c r="AG26" i="3" s="1"/>
  <c r="AJ26" i="3" s="1"/>
  <c r="AM26" i="3" s="1"/>
  <c r="CO26" i="3" s="1"/>
  <c r="DL26" i="3" s="1"/>
  <c r="AC58" i="3"/>
  <c r="AG58" i="3" s="1"/>
  <c r="AJ58" i="3" s="1"/>
  <c r="AM58" i="3" s="1"/>
  <c r="CO58" i="3" s="1"/>
  <c r="DL58" i="3" s="1"/>
  <c r="AC89" i="3"/>
  <c r="AG89" i="3" s="1"/>
  <c r="AJ89" i="3" s="1"/>
  <c r="AM89" i="3" s="1"/>
  <c r="CO89" i="3" s="1"/>
  <c r="DL89" i="3" s="1"/>
  <c r="AC73" i="3"/>
  <c r="AG73" i="3" s="1"/>
  <c r="AJ73" i="3" s="1"/>
  <c r="AM73" i="3" s="1"/>
  <c r="CO73" i="3" s="1"/>
  <c r="DL73" i="3" s="1"/>
  <c r="AC22" i="3"/>
  <c r="AG22" i="3" s="1"/>
  <c r="AJ22" i="3" s="1"/>
  <c r="AM22" i="3" s="1"/>
  <c r="CO22" i="3" s="1"/>
  <c r="DL22" i="3" s="1"/>
  <c r="AC30" i="3"/>
  <c r="AG30" i="3" s="1"/>
  <c r="AJ30" i="3" s="1"/>
  <c r="AM30" i="3" s="1"/>
  <c r="CO30" i="3" s="1"/>
  <c r="DL30" i="3" s="1"/>
  <c r="AC61" i="3"/>
  <c r="AG61" i="3" s="1"/>
  <c r="AJ61" i="3" s="1"/>
  <c r="AM61" i="3" s="1"/>
  <c r="CO61" i="3" s="1"/>
  <c r="DL61" i="3" s="1"/>
  <c r="AC50" i="3"/>
  <c r="AG50" i="3" s="1"/>
  <c r="AJ50" i="3" s="1"/>
  <c r="AM50" i="3" s="1"/>
  <c r="CO50" i="3" s="1"/>
  <c r="DL50" i="3" s="1"/>
  <c r="AC168" i="3"/>
  <c r="AG168" i="3" s="1"/>
  <c r="AJ168" i="3" s="1"/>
  <c r="AM168" i="3" s="1"/>
  <c r="CO168" i="3" s="1"/>
  <c r="DL168" i="3" s="1"/>
  <c r="AC134" i="3"/>
  <c r="AG134" i="3" s="1"/>
  <c r="AJ134" i="3" s="1"/>
  <c r="AM134" i="3" s="1"/>
  <c r="CO134" i="3" s="1"/>
  <c r="DL134" i="3" s="1"/>
  <c r="AC27" i="3"/>
  <c r="AG27" i="3" s="1"/>
  <c r="AJ27" i="3" s="1"/>
  <c r="AM27" i="3" s="1"/>
  <c r="CO27" i="3" s="1"/>
  <c r="DL27" i="3" s="1"/>
  <c r="AC6" i="3"/>
  <c r="AG6" i="3" s="1"/>
  <c r="AJ6" i="3" s="1"/>
  <c r="AM6" i="3" s="1"/>
  <c r="CO6" i="3" s="1"/>
  <c r="DL6" i="3" s="1"/>
  <c r="AC28" i="3"/>
  <c r="AG28" i="3" s="1"/>
  <c r="AJ28" i="3" s="1"/>
  <c r="AM28" i="3" s="1"/>
  <c r="CO28" i="3" s="1"/>
  <c r="DL28" i="3" s="1"/>
  <c r="AC62" i="3"/>
  <c r="AG62" i="3" s="1"/>
  <c r="AJ62" i="3" s="1"/>
  <c r="AM62" i="3" s="1"/>
  <c r="CO62" i="3" s="1"/>
  <c r="DL62" i="3" s="1"/>
  <c r="AC88" i="3"/>
  <c r="AG88" i="3" s="1"/>
  <c r="AJ88" i="3" s="1"/>
  <c r="AM88" i="3" s="1"/>
  <c r="CO88" i="3" s="1"/>
  <c r="DL88" i="3" s="1"/>
  <c r="AC126" i="3"/>
  <c r="AG126" i="3" s="1"/>
  <c r="AJ126" i="3" s="1"/>
  <c r="AM126" i="3" s="1"/>
  <c r="CO126" i="3" s="1"/>
  <c r="DL126" i="3" s="1"/>
  <c r="AC149" i="3"/>
  <c r="AG149" i="3" s="1"/>
  <c r="AJ149" i="3" s="1"/>
  <c r="AM149" i="3" s="1"/>
  <c r="CO149" i="3" s="1"/>
  <c r="DL149" i="3" s="1"/>
  <c r="AC11" i="3"/>
  <c r="AG11" i="3" s="1"/>
  <c r="AJ11" i="3" s="1"/>
  <c r="AM11" i="3" s="1"/>
  <c r="CO11" i="3" s="1"/>
  <c r="DL11" i="3" s="1"/>
  <c r="AC52" i="3"/>
  <c r="AG52" i="3" s="1"/>
  <c r="AJ52" i="3" s="1"/>
  <c r="AM52" i="3" s="1"/>
  <c r="CO52" i="3" s="1"/>
  <c r="DL52" i="3" s="1"/>
  <c r="AC37" i="3"/>
  <c r="AG37" i="3" s="1"/>
  <c r="AJ37" i="3" s="1"/>
  <c r="AM37" i="3" s="1"/>
  <c r="CO37" i="3" s="1"/>
  <c r="DL37" i="3" s="1"/>
  <c r="AC82" i="3"/>
  <c r="AG82" i="3" s="1"/>
  <c r="AJ82" i="3" s="1"/>
  <c r="AM82" i="3" s="1"/>
  <c r="CO82" i="3" s="1"/>
  <c r="DL82" i="3" s="1"/>
  <c r="AC132" i="3"/>
  <c r="AG132" i="3" s="1"/>
  <c r="AJ132" i="3" s="1"/>
  <c r="AM132" i="3" s="1"/>
  <c r="CO132" i="3" s="1"/>
  <c r="DL132" i="3" s="1"/>
  <c r="AC110" i="3"/>
  <c r="AG110" i="3" s="1"/>
  <c r="AJ110" i="3" s="1"/>
  <c r="AM110" i="3" s="1"/>
  <c r="CO110" i="3" s="1"/>
  <c r="DL110" i="3" s="1"/>
  <c r="AC34" i="3"/>
  <c r="AG34" i="3" s="1"/>
  <c r="AJ34" i="3" s="1"/>
  <c r="AM34" i="3" s="1"/>
  <c r="CO34" i="3" s="1"/>
  <c r="DL34" i="3" s="1"/>
  <c r="AC40" i="3"/>
  <c r="AG40" i="3" s="1"/>
  <c r="AJ40" i="3" s="1"/>
  <c r="AM40" i="3" s="1"/>
  <c r="CO40" i="3" s="1"/>
  <c r="DL40" i="3" s="1"/>
  <c r="AC36" i="3"/>
  <c r="AG36" i="3" s="1"/>
  <c r="AJ36" i="3" s="1"/>
  <c r="AM36" i="3" s="1"/>
  <c r="CO36" i="3" s="1"/>
  <c r="DL36" i="3" s="1"/>
  <c r="AC69" i="3"/>
  <c r="AG69" i="3" s="1"/>
  <c r="AJ69" i="3" s="1"/>
  <c r="AM69" i="3" s="1"/>
  <c r="CO69" i="3" s="1"/>
  <c r="DL69" i="3" s="1"/>
  <c r="AC98" i="3"/>
  <c r="AG98" i="3" s="1"/>
  <c r="AJ98" i="3" s="1"/>
  <c r="AM98" i="3" s="1"/>
  <c r="CO98" i="3" s="1"/>
  <c r="DL98" i="3" s="1"/>
  <c r="AC116" i="3"/>
  <c r="AG116" i="3" s="1"/>
  <c r="AJ116" i="3" s="1"/>
  <c r="AM116" i="3" s="1"/>
  <c r="CO116" i="3" s="1"/>
  <c r="DL116" i="3" s="1"/>
  <c r="AC140" i="3"/>
  <c r="AG140" i="3" s="1"/>
  <c r="AJ140" i="3" s="1"/>
  <c r="AM140" i="3" s="1"/>
  <c r="CO140" i="3" s="1"/>
  <c r="DL140" i="3" s="1"/>
  <c r="AC54" i="3"/>
  <c r="AG54" i="3" s="1"/>
  <c r="AJ54" i="3" s="1"/>
  <c r="AM54" i="3" s="1"/>
  <c r="CO54" i="3" s="1"/>
  <c r="DL54" i="3" s="1"/>
  <c r="AC94" i="3"/>
  <c r="AG94" i="3" s="1"/>
  <c r="AJ94" i="3" s="1"/>
  <c r="AM94" i="3" s="1"/>
  <c r="CO94" i="3" s="1"/>
  <c r="DL94" i="3" s="1"/>
  <c r="AC75" i="3"/>
  <c r="AG75" i="3" s="1"/>
  <c r="AJ75" i="3" s="1"/>
  <c r="AM75" i="3" s="1"/>
  <c r="CO75" i="3" s="1"/>
  <c r="DL75" i="3" s="1"/>
  <c r="AC48" i="3"/>
  <c r="AG48" i="3" s="1"/>
  <c r="AJ48" i="3" s="1"/>
  <c r="AM48" i="3" s="1"/>
  <c r="CO48" i="3" s="1"/>
  <c r="DL48" i="3" s="1"/>
  <c r="AC55" i="3"/>
  <c r="AG55" i="3" s="1"/>
  <c r="AJ55" i="3" s="1"/>
  <c r="AM55" i="3" s="1"/>
  <c r="CO55" i="3" s="1"/>
  <c r="DL55" i="3" s="1"/>
  <c r="AC64" i="3"/>
  <c r="AG64" i="3" s="1"/>
  <c r="AJ64" i="3" s="1"/>
  <c r="AM64" i="3" s="1"/>
  <c r="CO64" i="3" s="1"/>
  <c r="DL64" i="3" s="1"/>
  <c r="AC76" i="3"/>
  <c r="AG76" i="3" s="1"/>
  <c r="AJ76" i="3" s="1"/>
  <c r="AM76" i="3" s="1"/>
  <c r="CO76" i="3" s="1"/>
  <c r="DL76" i="3" s="1"/>
  <c r="AC100" i="3"/>
  <c r="AG100" i="3" s="1"/>
  <c r="AJ100" i="3" s="1"/>
  <c r="AM100" i="3" s="1"/>
  <c r="CO100" i="3" s="1"/>
  <c r="DL100" i="3" s="1"/>
  <c r="AC123" i="3"/>
  <c r="AG123" i="3" s="1"/>
  <c r="AJ123" i="3" s="1"/>
  <c r="AM123" i="3" s="1"/>
  <c r="CO123" i="3" s="1"/>
  <c r="DL123" i="3" s="1"/>
  <c r="AC44" i="3"/>
  <c r="AG44" i="3" s="1"/>
  <c r="AJ44" i="3" s="1"/>
  <c r="AM44" i="3" s="1"/>
  <c r="CO44" i="3" s="1"/>
  <c r="DL44" i="3" s="1"/>
  <c r="AC103" i="3"/>
  <c r="AG103" i="3" s="1"/>
  <c r="AJ103" i="3" s="1"/>
  <c r="AM103" i="3" s="1"/>
  <c r="CO103" i="3" s="1"/>
  <c r="DL103" i="3" s="1"/>
  <c r="AC109" i="3"/>
  <c r="AG109" i="3" s="1"/>
  <c r="AJ109" i="3" s="1"/>
  <c r="AM109" i="3" s="1"/>
  <c r="CO109" i="3" s="1"/>
  <c r="DL109" i="3" s="1"/>
  <c r="AC119" i="3"/>
  <c r="AG119" i="3" s="1"/>
  <c r="AJ119" i="3" s="1"/>
  <c r="AM119" i="3" s="1"/>
  <c r="CO119" i="3" s="1"/>
  <c r="DL119" i="3" s="1"/>
  <c r="AC5" i="3"/>
  <c r="AG5" i="3" s="1"/>
  <c r="AJ5" i="3" s="1"/>
  <c r="AM5" i="3" s="1"/>
  <c r="CO5" i="3" s="1"/>
  <c r="DL5" i="3" s="1"/>
  <c r="AC24" i="3"/>
  <c r="AG24" i="3" s="1"/>
  <c r="AJ24" i="3" s="1"/>
  <c r="AM24" i="3" s="1"/>
  <c r="CO24" i="3" s="1"/>
  <c r="DL24" i="3" s="1"/>
  <c r="AC56" i="3"/>
  <c r="AG56" i="3" s="1"/>
  <c r="AJ56" i="3" s="1"/>
  <c r="AM56" i="3" s="1"/>
  <c r="CO56" i="3" s="1"/>
  <c r="DL56" i="3" s="1"/>
  <c r="AC85" i="3"/>
  <c r="AG85" i="3" s="1"/>
  <c r="AJ85" i="3" s="1"/>
  <c r="AM85" i="3" s="1"/>
  <c r="CO85" i="3" s="1"/>
  <c r="DL85" i="3" s="1"/>
  <c r="AC81" i="3"/>
  <c r="AG81" i="3" s="1"/>
  <c r="AJ81" i="3" s="1"/>
  <c r="AM81" i="3" s="1"/>
  <c r="CO81" i="3" s="1"/>
  <c r="DL81" i="3" s="1"/>
  <c r="AC14" i="3"/>
  <c r="AG14" i="3" s="1"/>
  <c r="AJ14" i="3" s="1"/>
  <c r="AM14" i="3" s="1"/>
  <c r="CO14" i="3" s="1"/>
  <c r="DL14" i="3" s="1"/>
  <c r="AC46" i="3"/>
  <c r="AG46" i="3" s="1"/>
  <c r="AJ46" i="3" s="1"/>
  <c r="AM46" i="3" s="1"/>
  <c r="CO46" i="3" s="1"/>
  <c r="DL46" i="3" s="1"/>
  <c r="AC63" i="3"/>
  <c r="AG63" i="3" s="1"/>
  <c r="AJ63" i="3" s="1"/>
  <c r="AM63" i="3" s="1"/>
  <c r="CO63" i="3" s="1"/>
  <c r="DL63" i="3" s="1"/>
  <c r="AC92" i="3"/>
  <c r="AG92" i="3" s="1"/>
  <c r="AJ92" i="3" s="1"/>
  <c r="AM92" i="3" s="1"/>
  <c r="CO92" i="3" s="1"/>
  <c r="DL92" i="3" s="1"/>
  <c r="AC101" i="3"/>
  <c r="AG101" i="3" s="1"/>
  <c r="AJ101" i="3" s="1"/>
  <c r="AM101" i="3" s="1"/>
  <c r="CO101" i="3" s="1"/>
  <c r="DL101" i="3" s="1"/>
  <c r="AC70" i="3"/>
  <c r="AG70" i="3" s="1"/>
  <c r="AJ70" i="3" s="1"/>
  <c r="AM70" i="3" s="1"/>
  <c r="CO70" i="3" s="1"/>
  <c r="DL70" i="3" s="1"/>
  <c r="AC129" i="3"/>
  <c r="AG129" i="3" s="1"/>
  <c r="AJ129" i="3" s="1"/>
  <c r="AM129" i="3" s="1"/>
  <c r="CO129" i="3" s="1"/>
  <c r="DL129" i="3" s="1"/>
  <c r="AC145" i="3"/>
  <c r="AG145" i="3" s="1"/>
  <c r="AJ145" i="3" s="1"/>
  <c r="AM145" i="3" s="1"/>
  <c r="CO145" i="3" s="1"/>
  <c r="DL145" i="3" s="1"/>
  <c r="AC169" i="3"/>
  <c r="AG169" i="3" s="1"/>
  <c r="AJ169" i="3" s="1"/>
  <c r="AM169" i="3" s="1"/>
  <c r="CO169" i="3" s="1"/>
  <c r="DL169" i="3" s="1"/>
  <c r="AC172" i="3"/>
  <c r="AG172" i="3" s="1"/>
  <c r="AJ172" i="3" s="1"/>
  <c r="AM172" i="3" s="1"/>
  <c r="CO172" i="3" s="1"/>
  <c r="DL172" i="3" s="1"/>
  <c r="AC170" i="3"/>
  <c r="AG170" i="3" s="1"/>
  <c r="AJ170" i="3" s="1"/>
  <c r="AM170" i="3" s="1"/>
  <c r="CO170" i="3" s="1"/>
  <c r="DL170" i="3" s="1"/>
  <c r="AC199" i="3"/>
  <c r="AG199" i="3" s="1"/>
  <c r="AJ199" i="3" s="1"/>
  <c r="AM199" i="3" s="1"/>
  <c r="CO199" i="3" s="1"/>
  <c r="DL199" i="3" s="1"/>
  <c r="AC182" i="3"/>
  <c r="AG182" i="3" s="1"/>
  <c r="AJ182" i="3" s="1"/>
  <c r="AM182" i="3" s="1"/>
  <c r="CO182" i="3" s="1"/>
  <c r="DL182" i="3" s="1"/>
  <c r="AC12" i="3"/>
  <c r="AG12" i="3" s="1"/>
  <c r="AJ12" i="3" s="1"/>
  <c r="AM12" i="3" s="1"/>
  <c r="CO12" i="3" s="1"/>
  <c r="DL12" i="3" s="1"/>
  <c r="AC128" i="3"/>
  <c r="AG128" i="3" s="1"/>
  <c r="AJ128" i="3" s="1"/>
  <c r="AM128" i="3" s="1"/>
  <c r="CO128" i="3" s="1"/>
  <c r="DL128" i="3" s="1"/>
  <c r="AC165" i="3"/>
  <c r="AG165" i="3" s="1"/>
  <c r="AJ165" i="3" s="1"/>
  <c r="AM165" i="3" s="1"/>
  <c r="CO165" i="3" s="1"/>
  <c r="DL165" i="3" s="1"/>
  <c r="AC176" i="3"/>
  <c r="AG176" i="3" s="1"/>
  <c r="AJ176" i="3" s="1"/>
  <c r="AM176" i="3" s="1"/>
  <c r="CO176" i="3" s="1"/>
  <c r="DL176" i="3" s="1"/>
  <c r="AC187" i="3"/>
  <c r="AG187" i="3" s="1"/>
  <c r="AJ187" i="3" s="1"/>
  <c r="AM187" i="3" s="1"/>
  <c r="CO187" i="3" s="1"/>
  <c r="DL187" i="3" s="1"/>
  <c r="AC198" i="3"/>
  <c r="AG198" i="3" s="1"/>
  <c r="AJ198" i="3" s="1"/>
  <c r="AM198" i="3" s="1"/>
  <c r="CO198" i="3" s="1"/>
  <c r="DL198" i="3" s="1"/>
  <c r="AC79" i="3"/>
  <c r="AG79" i="3" s="1"/>
  <c r="AJ79" i="3" s="1"/>
  <c r="AM79" i="3" s="1"/>
  <c r="CO79" i="3" s="1"/>
  <c r="DL79" i="3" s="1"/>
  <c r="AC159" i="3"/>
  <c r="AG159" i="3" s="1"/>
  <c r="AJ159" i="3" s="1"/>
  <c r="AM159" i="3" s="1"/>
  <c r="CO159" i="3" s="1"/>
  <c r="DL159" i="3" s="1"/>
  <c r="AC157" i="3"/>
  <c r="AG157" i="3" s="1"/>
  <c r="AJ157" i="3" s="1"/>
  <c r="AM157" i="3" s="1"/>
  <c r="CO157" i="3" s="1"/>
  <c r="DL157" i="3" s="1"/>
  <c r="AC39" i="3"/>
  <c r="AG39" i="3" s="1"/>
  <c r="AJ39" i="3" s="1"/>
  <c r="AM39" i="3" s="1"/>
  <c r="CO39" i="3" s="1"/>
  <c r="DL39" i="3" s="1"/>
  <c r="AC60" i="3"/>
  <c r="AG60" i="3" s="1"/>
  <c r="AJ60" i="3" s="1"/>
  <c r="AM60" i="3" s="1"/>
  <c r="CO60" i="3" s="1"/>
  <c r="DL60" i="3" s="1"/>
  <c r="AC111" i="3"/>
  <c r="AG111" i="3" s="1"/>
  <c r="AJ111" i="3" s="1"/>
  <c r="AM111" i="3" s="1"/>
  <c r="CO111" i="3" s="1"/>
  <c r="DL111" i="3" s="1"/>
  <c r="AC136" i="3"/>
  <c r="AG136" i="3" s="1"/>
  <c r="AJ136" i="3" s="1"/>
  <c r="AM136" i="3" s="1"/>
  <c r="CO136" i="3" s="1"/>
  <c r="DL136" i="3" s="1"/>
  <c r="AC143" i="3"/>
  <c r="AG143" i="3" s="1"/>
  <c r="AJ143" i="3" s="1"/>
  <c r="AM143" i="3" s="1"/>
  <c r="CO143" i="3" s="1"/>
  <c r="DL143" i="3" s="1"/>
  <c r="AC150" i="3"/>
  <c r="AG150" i="3" s="1"/>
  <c r="AJ150" i="3" s="1"/>
  <c r="AM150" i="3" s="1"/>
  <c r="CO150" i="3" s="1"/>
  <c r="DL150" i="3" s="1"/>
  <c r="AC193" i="3"/>
  <c r="AG193" i="3" s="1"/>
  <c r="AJ193" i="3" s="1"/>
  <c r="AM193" i="3" s="1"/>
  <c r="CO193" i="3" s="1"/>
  <c r="DL193" i="3" s="1"/>
  <c r="AC135" i="3"/>
  <c r="AG135" i="3" s="1"/>
  <c r="AJ135" i="3" s="1"/>
  <c r="AM135" i="3" s="1"/>
  <c r="CO135" i="3" s="1"/>
  <c r="DL135" i="3" s="1"/>
  <c r="AC156" i="3"/>
  <c r="AG156" i="3" s="1"/>
  <c r="AJ156" i="3" s="1"/>
  <c r="AM156" i="3" s="1"/>
  <c r="CO156" i="3" s="1"/>
  <c r="DL156" i="3" s="1"/>
  <c r="AC67" i="3"/>
  <c r="AG67" i="3" s="1"/>
  <c r="AJ67" i="3" s="1"/>
  <c r="AM67" i="3" s="1"/>
  <c r="CO67" i="3" s="1"/>
  <c r="DL67" i="3" s="1"/>
  <c r="AC49" i="3"/>
  <c r="AG49" i="3" s="1"/>
  <c r="AJ49" i="3" s="1"/>
  <c r="AM49" i="3" s="1"/>
  <c r="CO49" i="3" s="1"/>
  <c r="DL49" i="3" s="1"/>
  <c r="AC115" i="3"/>
  <c r="AG115" i="3" s="1"/>
  <c r="AJ115" i="3" s="1"/>
  <c r="AM115" i="3" s="1"/>
  <c r="CO115" i="3" s="1"/>
  <c r="DL115" i="3" s="1"/>
  <c r="AC137" i="3"/>
  <c r="AG137" i="3" s="1"/>
  <c r="AJ137" i="3" s="1"/>
  <c r="AM137" i="3" s="1"/>
  <c r="CO137" i="3" s="1"/>
  <c r="DL137" i="3" s="1"/>
  <c r="AC166" i="3"/>
  <c r="AG166" i="3" s="1"/>
  <c r="AJ166" i="3" s="1"/>
  <c r="AM166" i="3" s="1"/>
  <c r="CO166" i="3" s="1"/>
  <c r="DL166" i="3" s="1"/>
  <c r="AC192" i="3"/>
  <c r="AG192" i="3" s="1"/>
  <c r="AJ192" i="3" s="1"/>
  <c r="AM192" i="3" s="1"/>
  <c r="CO192" i="3" s="1"/>
  <c r="DL192" i="3" s="1"/>
  <c r="AC195" i="3"/>
  <c r="AG195" i="3" s="1"/>
  <c r="AJ195" i="3" s="1"/>
  <c r="AM195" i="3" s="1"/>
  <c r="CO195" i="3" s="1"/>
  <c r="DL195" i="3" s="1"/>
  <c r="AC8" i="3"/>
  <c r="AG8" i="3" s="1"/>
  <c r="AJ8" i="3" s="1"/>
  <c r="AM8" i="3" s="1"/>
  <c r="CO8" i="3" s="1"/>
  <c r="DL8" i="3" s="1"/>
  <c r="AC42" i="3"/>
  <c r="AG42" i="3" s="1"/>
  <c r="AJ42" i="3" s="1"/>
  <c r="AM42" i="3" s="1"/>
  <c r="CO42" i="3" s="1"/>
  <c r="DL42" i="3" s="1"/>
  <c r="AC97" i="3"/>
  <c r="AG97" i="3" s="1"/>
  <c r="AJ97" i="3" s="1"/>
  <c r="AM97" i="3" s="1"/>
  <c r="CO97" i="3" s="1"/>
  <c r="DL97" i="3" s="1"/>
  <c r="AC148" i="3"/>
  <c r="AG148" i="3" s="1"/>
  <c r="AJ148" i="3" s="1"/>
  <c r="AM148" i="3" s="1"/>
  <c r="CO148" i="3" s="1"/>
  <c r="DL148" i="3" s="1"/>
  <c r="AC163" i="3"/>
  <c r="AG163" i="3" s="1"/>
  <c r="AJ163" i="3" s="1"/>
  <c r="AM163" i="3" s="1"/>
  <c r="CO163" i="3" s="1"/>
  <c r="DL163" i="3" s="1"/>
  <c r="AC151" i="3"/>
  <c r="AG151" i="3" s="1"/>
  <c r="AJ151" i="3" s="1"/>
  <c r="AM151" i="3" s="1"/>
  <c r="CO151" i="3" s="1"/>
  <c r="DL151" i="3" s="1"/>
  <c r="AC189" i="3"/>
  <c r="AG189" i="3" s="1"/>
  <c r="AJ189" i="3" s="1"/>
  <c r="AM189" i="3" s="1"/>
  <c r="CO189" i="3" s="1"/>
  <c r="DL189" i="3" s="1"/>
  <c r="AC175" i="3"/>
  <c r="AG175" i="3" s="1"/>
  <c r="AJ175" i="3" s="1"/>
  <c r="AM175" i="3" s="1"/>
  <c r="CO175" i="3" s="1"/>
  <c r="DL175" i="3" s="1"/>
  <c r="AC21" i="3"/>
  <c r="AG21" i="3" s="1"/>
  <c r="AJ21" i="3" s="1"/>
  <c r="AM21" i="3" s="1"/>
  <c r="CO21" i="3" s="1"/>
  <c r="DL21" i="3" s="1"/>
  <c r="AC86" i="3"/>
  <c r="AG86" i="3" s="1"/>
  <c r="AJ86" i="3" s="1"/>
  <c r="AM86" i="3" s="1"/>
  <c r="CO86" i="3" s="1"/>
  <c r="DL86" i="3" s="1"/>
  <c r="AC155" i="3"/>
  <c r="AG155" i="3" s="1"/>
  <c r="AJ155" i="3" s="1"/>
  <c r="AM155" i="3" s="1"/>
  <c r="CO155" i="3" s="1"/>
  <c r="DL155" i="3" s="1"/>
  <c r="AC146" i="3"/>
  <c r="AG146" i="3" s="1"/>
  <c r="AJ146" i="3" s="1"/>
  <c r="AM146" i="3" s="1"/>
  <c r="CO146" i="3" s="1"/>
  <c r="DL146" i="3" s="1"/>
  <c r="AC167" i="3"/>
  <c r="AG167" i="3" s="1"/>
  <c r="AJ167" i="3" s="1"/>
  <c r="AM167" i="3" s="1"/>
  <c r="CO167" i="3" s="1"/>
  <c r="DL167" i="3" s="1"/>
  <c r="AC184" i="3"/>
  <c r="AG184" i="3" s="1"/>
  <c r="AJ184" i="3" s="1"/>
  <c r="AM184" i="3" s="1"/>
  <c r="CO184" i="3" s="1"/>
  <c r="DL184" i="3" s="1"/>
  <c r="AC121" i="3"/>
  <c r="AG121" i="3" s="1"/>
  <c r="AJ121" i="3" s="1"/>
  <c r="AM121" i="3" s="1"/>
  <c r="CO121" i="3" s="1"/>
  <c r="DL121" i="3" s="1"/>
  <c r="AC142" i="3"/>
  <c r="AG142" i="3" s="1"/>
  <c r="AJ142" i="3" s="1"/>
  <c r="AM142" i="3" s="1"/>
  <c r="CO142" i="3" s="1"/>
  <c r="DL142" i="3" s="1"/>
  <c r="AC180" i="3"/>
  <c r="AG180" i="3" s="1"/>
  <c r="AJ180" i="3" s="1"/>
  <c r="AM180" i="3" s="1"/>
  <c r="CO180" i="3" s="1"/>
  <c r="DL180" i="3" s="1"/>
  <c r="AC181" i="3"/>
  <c r="AG181" i="3" s="1"/>
  <c r="AJ181" i="3" s="1"/>
  <c r="AM181" i="3" s="1"/>
  <c r="CO181" i="3" s="1"/>
  <c r="DL181" i="3" s="1"/>
  <c r="AC127" i="3"/>
  <c r="AG127" i="3" s="1"/>
  <c r="AJ127" i="3" s="1"/>
  <c r="AM127" i="3" s="1"/>
  <c r="CO127" i="3" s="1"/>
  <c r="DL127" i="3" s="1"/>
  <c r="AC178" i="3"/>
  <c r="AG178" i="3" s="1"/>
  <c r="AJ178" i="3" s="1"/>
  <c r="AM178" i="3" s="1"/>
  <c r="CO178" i="3" s="1"/>
  <c r="DL178" i="3" s="1"/>
  <c r="AC158" i="3"/>
  <c r="AG158" i="3" s="1"/>
  <c r="AJ158" i="3" s="1"/>
  <c r="AM158" i="3" s="1"/>
  <c r="CO158" i="3" s="1"/>
  <c r="DL158" i="3" s="1"/>
  <c r="AC196" i="3"/>
  <c r="AG196" i="3" s="1"/>
  <c r="AJ196" i="3" s="1"/>
  <c r="AM196" i="3" s="1"/>
  <c r="CO196" i="3" s="1"/>
  <c r="DL196" i="3" s="1"/>
  <c r="AC18" i="3"/>
  <c r="AG18" i="3" s="1"/>
  <c r="AJ18" i="3" s="1"/>
  <c r="AM18" i="3" s="1"/>
  <c r="CO18" i="3" s="1"/>
  <c r="DL18" i="3" s="1"/>
  <c r="AC160" i="3"/>
  <c r="AG160" i="3" s="1"/>
  <c r="AJ160" i="3" s="1"/>
  <c r="AM160" i="3" s="1"/>
  <c r="CO160" i="3" s="1"/>
  <c r="DL160" i="3" s="1"/>
  <c r="AC152" i="3"/>
  <c r="AG152" i="3" s="1"/>
  <c r="AJ152" i="3" s="1"/>
  <c r="AM152" i="3" s="1"/>
  <c r="CO152" i="3" s="1"/>
  <c r="DL152" i="3" s="1"/>
  <c r="AC2" i="3"/>
  <c r="Q2" i="3"/>
  <c r="R2" i="3" s="1"/>
  <c r="S2" i="3" s="1"/>
  <c r="DK2" i="3" s="1"/>
  <c r="AG2" i="3" l="1"/>
  <c r="AJ2" i="3" s="1"/>
  <c r="AM2" i="3" s="1"/>
  <c r="V2" i="3"/>
  <c r="U2" i="3"/>
  <c r="BC151" i="3"/>
  <c r="AS151" i="3"/>
  <c r="AN151" i="3"/>
  <c r="BC10" i="3"/>
  <c r="AS10" i="3"/>
  <c r="AN10" i="3"/>
  <c r="BC180" i="3"/>
  <c r="AS180" i="3"/>
  <c r="AN180" i="3"/>
  <c r="AS61" i="3"/>
  <c r="AN61" i="3"/>
  <c r="BC61" i="3"/>
  <c r="BC142" i="3"/>
  <c r="AS142" i="3"/>
  <c r="AN142" i="3"/>
  <c r="BC140" i="3"/>
  <c r="AN140" i="3"/>
  <c r="AS140" i="3"/>
  <c r="AS122" i="3"/>
  <c r="AN122" i="3"/>
  <c r="BC122" i="3"/>
  <c r="AS139" i="3"/>
  <c r="BC139" i="3"/>
  <c r="AN139" i="3"/>
  <c r="AS185" i="3"/>
  <c r="AN185" i="3"/>
  <c r="BC185" i="3"/>
  <c r="AS121" i="3"/>
  <c r="BC121" i="3"/>
  <c r="AN121" i="3"/>
  <c r="AS97" i="3"/>
  <c r="BC97" i="3"/>
  <c r="AN97" i="3"/>
  <c r="AS193" i="3"/>
  <c r="AN193" i="3"/>
  <c r="BC193" i="3"/>
  <c r="AN176" i="3"/>
  <c r="AS176" i="3"/>
  <c r="BC176" i="3"/>
  <c r="AS101" i="3"/>
  <c r="BC101" i="3"/>
  <c r="AN101" i="3"/>
  <c r="BC103" i="3"/>
  <c r="AS103" i="3"/>
  <c r="AN103" i="3"/>
  <c r="AS116" i="3"/>
  <c r="BC116" i="3"/>
  <c r="AN116" i="3"/>
  <c r="AN149" i="3"/>
  <c r="BC149" i="3"/>
  <c r="AS149" i="3"/>
  <c r="AN22" i="3"/>
  <c r="BC22" i="3"/>
  <c r="AS22" i="3"/>
  <c r="AN20" i="3"/>
  <c r="BC20" i="3"/>
  <c r="AS20" i="3"/>
  <c r="BC35" i="3"/>
  <c r="AN35" i="3"/>
  <c r="AS35" i="3"/>
  <c r="AS71" i="3"/>
  <c r="BC71" i="3"/>
  <c r="AN71" i="3"/>
  <c r="AS95" i="3"/>
  <c r="BC95" i="3"/>
  <c r="AN95" i="3"/>
  <c r="AS112" i="3"/>
  <c r="AN112" i="3"/>
  <c r="BC112" i="3"/>
  <c r="AN154" i="3"/>
  <c r="BC154" i="3"/>
  <c r="AS154" i="3"/>
  <c r="AS188" i="3"/>
  <c r="BC188" i="3"/>
  <c r="AN188" i="3"/>
  <c r="AS181" i="3"/>
  <c r="BC181" i="3"/>
  <c r="AN181" i="3"/>
  <c r="AS94" i="3"/>
  <c r="BC94" i="3"/>
  <c r="AN94" i="3"/>
  <c r="AN93" i="3"/>
  <c r="AS93" i="3"/>
  <c r="BC93" i="3"/>
  <c r="AS129" i="3"/>
  <c r="AN129" i="3"/>
  <c r="BC129" i="3"/>
  <c r="AS102" i="3"/>
  <c r="BC102" i="3"/>
  <c r="AN102" i="3"/>
  <c r="AS187" i="3"/>
  <c r="AN187" i="3"/>
  <c r="BC187" i="3"/>
  <c r="BC184" i="3"/>
  <c r="AS184" i="3"/>
  <c r="AN184" i="3"/>
  <c r="AS42" i="3"/>
  <c r="AN42" i="3"/>
  <c r="BC42" i="3"/>
  <c r="AS150" i="3"/>
  <c r="BC150" i="3"/>
  <c r="AN150" i="3"/>
  <c r="BC165" i="3"/>
  <c r="AN165" i="3"/>
  <c r="AS165" i="3"/>
  <c r="AN92" i="3"/>
  <c r="BC92" i="3"/>
  <c r="AS92" i="3"/>
  <c r="BC44" i="3"/>
  <c r="AS44" i="3"/>
  <c r="AN44" i="3"/>
  <c r="AN98" i="3"/>
  <c r="BC98" i="3"/>
  <c r="AS98" i="3"/>
  <c r="BC126" i="3"/>
  <c r="AS126" i="3"/>
  <c r="AN126" i="3"/>
  <c r="AN73" i="3"/>
  <c r="AS73" i="3"/>
  <c r="BC73" i="3"/>
  <c r="BC29" i="3"/>
  <c r="AN29" i="3"/>
  <c r="AS29" i="3"/>
  <c r="BC47" i="3"/>
  <c r="AN47" i="3"/>
  <c r="AS47" i="3"/>
  <c r="AS77" i="3"/>
  <c r="AN77" i="3"/>
  <c r="BC77" i="3"/>
  <c r="AS108" i="3"/>
  <c r="BC108" i="3"/>
  <c r="AN108" i="3"/>
  <c r="AS104" i="3"/>
  <c r="AN104" i="3"/>
  <c r="BC104" i="3"/>
  <c r="AS147" i="3"/>
  <c r="BC147" i="3"/>
  <c r="AN147" i="3"/>
  <c r="AS179" i="3"/>
  <c r="AN179" i="3"/>
  <c r="BC179" i="3"/>
  <c r="AN67" i="3"/>
  <c r="AS67" i="3"/>
  <c r="BC67" i="3"/>
  <c r="AS69" i="3"/>
  <c r="AN69" i="3"/>
  <c r="BC69" i="3"/>
  <c r="BC88" i="3"/>
  <c r="AN88" i="3"/>
  <c r="AS88" i="3"/>
  <c r="AS89" i="3"/>
  <c r="BC89" i="3"/>
  <c r="AN89" i="3"/>
  <c r="AS13" i="3"/>
  <c r="AN13" i="3"/>
  <c r="BC13" i="3"/>
  <c r="AS19" i="3"/>
  <c r="BC19" i="3"/>
  <c r="AN19" i="3"/>
  <c r="AS83" i="3"/>
  <c r="BC83" i="3"/>
  <c r="AN83" i="3"/>
  <c r="AS96" i="3"/>
  <c r="AN96" i="3"/>
  <c r="BC96" i="3"/>
  <c r="AN118" i="3"/>
  <c r="BC118" i="3"/>
  <c r="AS118" i="3"/>
  <c r="AS153" i="3"/>
  <c r="BC153" i="3"/>
  <c r="AN153" i="3"/>
  <c r="AS194" i="3"/>
  <c r="BC194" i="3"/>
  <c r="AN194" i="3"/>
  <c r="BC50" i="3"/>
  <c r="AS50" i="3"/>
  <c r="AN50" i="3"/>
  <c r="AS174" i="3"/>
  <c r="BC174" i="3"/>
  <c r="AN174" i="3"/>
  <c r="AN119" i="3"/>
  <c r="AS119" i="3"/>
  <c r="BC119" i="3"/>
  <c r="AS131" i="3"/>
  <c r="AN131" i="3"/>
  <c r="BC131" i="3"/>
  <c r="BC109" i="3"/>
  <c r="AS109" i="3"/>
  <c r="AN109" i="3"/>
  <c r="AS90" i="3"/>
  <c r="BC90" i="3"/>
  <c r="AN90" i="3"/>
  <c r="BC143" i="3"/>
  <c r="AS143" i="3"/>
  <c r="AN143" i="3"/>
  <c r="AN160" i="3"/>
  <c r="BC160" i="3"/>
  <c r="AS160" i="3"/>
  <c r="AN146" i="3"/>
  <c r="AS146" i="3"/>
  <c r="BC146" i="3"/>
  <c r="AN195" i="3"/>
  <c r="BC195" i="3"/>
  <c r="AS195" i="3"/>
  <c r="AS136" i="3"/>
  <c r="AN136" i="3"/>
  <c r="BC136" i="3"/>
  <c r="AN12" i="3"/>
  <c r="BC12" i="3"/>
  <c r="AS12" i="3"/>
  <c r="AN46" i="3"/>
  <c r="AS46" i="3"/>
  <c r="BC46" i="3"/>
  <c r="BC100" i="3"/>
  <c r="AN100" i="3"/>
  <c r="AS100" i="3"/>
  <c r="AS36" i="3"/>
  <c r="BC36" i="3"/>
  <c r="AN36" i="3"/>
  <c r="AS62" i="3"/>
  <c r="BC62" i="3"/>
  <c r="AN62" i="3"/>
  <c r="AN58" i="3"/>
  <c r="AS58" i="3"/>
  <c r="BC58" i="3"/>
  <c r="AS16" i="3"/>
  <c r="BC16" i="3"/>
  <c r="AN16" i="3"/>
  <c r="BC25" i="3"/>
  <c r="AS25" i="3"/>
  <c r="AN25" i="3"/>
  <c r="BC91" i="3"/>
  <c r="AS91" i="3"/>
  <c r="AN91" i="3"/>
  <c r="AS107" i="3"/>
  <c r="AN107" i="3"/>
  <c r="BC107" i="3"/>
  <c r="AN120" i="3"/>
  <c r="AS120" i="3"/>
  <c r="BC120" i="3"/>
  <c r="AS177" i="3"/>
  <c r="BC177" i="3"/>
  <c r="AN177" i="3"/>
  <c r="AS200" i="3"/>
  <c r="BC200" i="3"/>
  <c r="AN200" i="3"/>
  <c r="AN156" i="3"/>
  <c r="AS156" i="3"/>
  <c r="BC156" i="3"/>
  <c r="BC59" i="3"/>
  <c r="AS59" i="3"/>
  <c r="AN59" i="3"/>
  <c r="AN135" i="3"/>
  <c r="AS135" i="3"/>
  <c r="BC135" i="3"/>
  <c r="AN68" i="3"/>
  <c r="BC68" i="3"/>
  <c r="AS68" i="3"/>
  <c r="AN128" i="3"/>
  <c r="AS128" i="3"/>
  <c r="BC128" i="3"/>
  <c r="AS155" i="3"/>
  <c r="BC155" i="3"/>
  <c r="AN155" i="3"/>
  <c r="BC192" i="3"/>
  <c r="AN192" i="3"/>
  <c r="AS192" i="3"/>
  <c r="AN111" i="3"/>
  <c r="BC111" i="3"/>
  <c r="AS111" i="3"/>
  <c r="AN182" i="3"/>
  <c r="AS182" i="3"/>
  <c r="BC182" i="3"/>
  <c r="AS14" i="3"/>
  <c r="BC14" i="3"/>
  <c r="AN14" i="3"/>
  <c r="AN76" i="3"/>
  <c r="BC76" i="3"/>
  <c r="AS76" i="3"/>
  <c r="BC40" i="3"/>
  <c r="AS40" i="3"/>
  <c r="AN40" i="3"/>
  <c r="AS28" i="3"/>
  <c r="AN28" i="3"/>
  <c r="BC28" i="3"/>
  <c r="AN26" i="3"/>
  <c r="BC26" i="3"/>
  <c r="AS26" i="3"/>
  <c r="AS38" i="3"/>
  <c r="BC38" i="3"/>
  <c r="AN38" i="3"/>
  <c r="BC31" i="3"/>
  <c r="AS31" i="3"/>
  <c r="AN31" i="3"/>
  <c r="AN78" i="3"/>
  <c r="BC78" i="3"/>
  <c r="AS78" i="3"/>
  <c r="AS99" i="3"/>
  <c r="AN99" i="3"/>
  <c r="BC99" i="3"/>
  <c r="AN130" i="3"/>
  <c r="AS130" i="3"/>
  <c r="BC130" i="3"/>
  <c r="AN161" i="3"/>
  <c r="BC161" i="3"/>
  <c r="AS161" i="3"/>
  <c r="AN190" i="3"/>
  <c r="AS190" i="3"/>
  <c r="BC190" i="3"/>
  <c r="BC145" i="3"/>
  <c r="AN145" i="3"/>
  <c r="AS145" i="3"/>
  <c r="BC53" i="3"/>
  <c r="AS53" i="3"/>
  <c r="AN53" i="3"/>
  <c r="BC198" i="3"/>
  <c r="AN198" i="3"/>
  <c r="AS198" i="3"/>
  <c r="AN45" i="3"/>
  <c r="BC45" i="3"/>
  <c r="AS45" i="3"/>
  <c r="BC148" i="3"/>
  <c r="AN148" i="3"/>
  <c r="AS148" i="3"/>
  <c r="AN30" i="3"/>
  <c r="AS30" i="3"/>
  <c r="BC30" i="3"/>
  <c r="AS8" i="3"/>
  <c r="AN8" i="3"/>
  <c r="BC8" i="3"/>
  <c r="AS123" i="3"/>
  <c r="BC123" i="3"/>
  <c r="AN123" i="3"/>
  <c r="AN196" i="3"/>
  <c r="AS196" i="3"/>
  <c r="BC196" i="3"/>
  <c r="AS86" i="3"/>
  <c r="AN86" i="3"/>
  <c r="BC86" i="3"/>
  <c r="AS166" i="3"/>
  <c r="BC166" i="3"/>
  <c r="AN166" i="3"/>
  <c r="AN60" i="3"/>
  <c r="BC60" i="3"/>
  <c r="AS60" i="3"/>
  <c r="AS199" i="3"/>
  <c r="BC199" i="3"/>
  <c r="AN199" i="3"/>
  <c r="AS81" i="3"/>
  <c r="AN81" i="3"/>
  <c r="BC81" i="3"/>
  <c r="AS64" i="3"/>
  <c r="BC64" i="3"/>
  <c r="AN64" i="3"/>
  <c r="BC34" i="3"/>
  <c r="AN34" i="3"/>
  <c r="AS34" i="3"/>
  <c r="AN6" i="3"/>
  <c r="BC6" i="3"/>
  <c r="AS6" i="3"/>
  <c r="AN32" i="3"/>
  <c r="BC32" i="3"/>
  <c r="AS32" i="3"/>
  <c r="AN41" i="3"/>
  <c r="BC41" i="3"/>
  <c r="AS41" i="3"/>
  <c r="AS51" i="3"/>
  <c r="BC51" i="3"/>
  <c r="AN51" i="3"/>
  <c r="AN84" i="3"/>
  <c r="AS84" i="3"/>
  <c r="BC84" i="3"/>
  <c r="BC106" i="3"/>
  <c r="AN106" i="3"/>
  <c r="AS106" i="3"/>
  <c r="AS124" i="3"/>
  <c r="BC124" i="3"/>
  <c r="AN124" i="3"/>
  <c r="AN164" i="3"/>
  <c r="BC164" i="3"/>
  <c r="AS164" i="3"/>
  <c r="BC191" i="3"/>
  <c r="AS191" i="3"/>
  <c r="AN191" i="3"/>
  <c r="AS37" i="3"/>
  <c r="BC37" i="3"/>
  <c r="AN37" i="3"/>
  <c r="AN138" i="3"/>
  <c r="AS138" i="3"/>
  <c r="BC138" i="3"/>
  <c r="AN52" i="3"/>
  <c r="BC52" i="3"/>
  <c r="AS52" i="3"/>
  <c r="AS144" i="3"/>
  <c r="AN144" i="3"/>
  <c r="BC144" i="3"/>
  <c r="AN11" i="3"/>
  <c r="AS11" i="3"/>
  <c r="BC11" i="3"/>
  <c r="AN152" i="3"/>
  <c r="AS152" i="3"/>
  <c r="BC152" i="3"/>
  <c r="BC18" i="3"/>
  <c r="AS18" i="3"/>
  <c r="AN18" i="3"/>
  <c r="AN21" i="3"/>
  <c r="AS21" i="3"/>
  <c r="BC21" i="3"/>
  <c r="AN137" i="3"/>
  <c r="AS137" i="3"/>
  <c r="BC137" i="3"/>
  <c r="AN39" i="3"/>
  <c r="BC39" i="3"/>
  <c r="AS39" i="3"/>
  <c r="AN170" i="3"/>
  <c r="BC170" i="3"/>
  <c r="AS170" i="3"/>
  <c r="AN85" i="3"/>
  <c r="AS85" i="3"/>
  <c r="BC85" i="3"/>
  <c r="AS55" i="3"/>
  <c r="AN55" i="3"/>
  <c r="BC55" i="3"/>
  <c r="AS110" i="3"/>
  <c r="BC110" i="3"/>
  <c r="AN110" i="3"/>
  <c r="AS27" i="3"/>
  <c r="BC27" i="3"/>
  <c r="AN27" i="3"/>
  <c r="AS17" i="3"/>
  <c r="BC17" i="3"/>
  <c r="AN17" i="3"/>
  <c r="AS7" i="3"/>
  <c r="AN7" i="3"/>
  <c r="BC7" i="3"/>
  <c r="AN66" i="3"/>
  <c r="BC66" i="3"/>
  <c r="AS66" i="3"/>
  <c r="AN74" i="3"/>
  <c r="BC74" i="3"/>
  <c r="AS74" i="3"/>
  <c r="BC113" i="3"/>
  <c r="AS113" i="3"/>
  <c r="AN113" i="3"/>
  <c r="AN117" i="3"/>
  <c r="BC117" i="3"/>
  <c r="AS117" i="3"/>
  <c r="AS162" i="3"/>
  <c r="AN162" i="3"/>
  <c r="BC162" i="3"/>
  <c r="AS183" i="3"/>
  <c r="AN183" i="3"/>
  <c r="BC183" i="3"/>
  <c r="AN79" i="3"/>
  <c r="BC79" i="3"/>
  <c r="AS79" i="3"/>
  <c r="AN15" i="3"/>
  <c r="AS15" i="3"/>
  <c r="BC15" i="3"/>
  <c r="AS163" i="3"/>
  <c r="BC163" i="3"/>
  <c r="AN163" i="3"/>
  <c r="AS33" i="3"/>
  <c r="BC33" i="3"/>
  <c r="AN33" i="3"/>
  <c r="AN70" i="3"/>
  <c r="BC70" i="3"/>
  <c r="AS70" i="3"/>
  <c r="AN57" i="3"/>
  <c r="BC57" i="3"/>
  <c r="AS57" i="3"/>
  <c r="AN63" i="3"/>
  <c r="AS63" i="3"/>
  <c r="BC63" i="3"/>
  <c r="AN178" i="3"/>
  <c r="AS178" i="3"/>
  <c r="BC178" i="3"/>
  <c r="AS175" i="3"/>
  <c r="BC175" i="3"/>
  <c r="AN175" i="3"/>
  <c r="AS115" i="3"/>
  <c r="BC115" i="3"/>
  <c r="AN115" i="3"/>
  <c r="BC157" i="3"/>
  <c r="AN157" i="3"/>
  <c r="AS157" i="3"/>
  <c r="AN172" i="3"/>
  <c r="BC172" i="3"/>
  <c r="AS172" i="3"/>
  <c r="BC56" i="3"/>
  <c r="AS56" i="3"/>
  <c r="AN56" i="3"/>
  <c r="BC48" i="3"/>
  <c r="AN48" i="3"/>
  <c r="AS48" i="3"/>
  <c r="BC132" i="3"/>
  <c r="AN132" i="3"/>
  <c r="AS132" i="3"/>
  <c r="AS134" i="3"/>
  <c r="BC134" i="3"/>
  <c r="AN134" i="3"/>
  <c r="AS4" i="3"/>
  <c r="AN4" i="3"/>
  <c r="BC4" i="3"/>
  <c r="AN3" i="3"/>
  <c r="BC3" i="3"/>
  <c r="AS3" i="3"/>
  <c r="BC72" i="3"/>
  <c r="AN72" i="3"/>
  <c r="AS72" i="3"/>
  <c r="AN80" i="3"/>
  <c r="BC80" i="3"/>
  <c r="AS80" i="3"/>
  <c r="AS105" i="3"/>
  <c r="AN105" i="3"/>
  <c r="BC105" i="3"/>
  <c r="AS133" i="3"/>
  <c r="AN133" i="3"/>
  <c r="BC133" i="3"/>
  <c r="AN171" i="3"/>
  <c r="BC171" i="3"/>
  <c r="AS171" i="3"/>
  <c r="BC197" i="3"/>
  <c r="AS197" i="3"/>
  <c r="AN197" i="3"/>
  <c r="BC5" i="3"/>
  <c r="AS5" i="3"/>
  <c r="AN5" i="3"/>
  <c r="AS125" i="3"/>
  <c r="BC125" i="3"/>
  <c r="AN125" i="3"/>
  <c r="BC54" i="3"/>
  <c r="AN54" i="3"/>
  <c r="AS54" i="3"/>
  <c r="BC186" i="3"/>
  <c r="AN186" i="3"/>
  <c r="AS186" i="3"/>
  <c r="AN23" i="3"/>
  <c r="BC23" i="3"/>
  <c r="AS23" i="3"/>
  <c r="AN167" i="3"/>
  <c r="AS167" i="3"/>
  <c r="BC167" i="3"/>
  <c r="AN158" i="3"/>
  <c r="AS158" i="3"/>
  <c r="BC158" i="3"/>
  <c r="AN127" i="3"/>
  <c r="BC127" i="3"/>
  <c r="AS127" i="3"/>
  <c r="AN189" i="3"/>
  <c r="BC189" i="3"/>
  <c r="AS189" i="3"/>
  <c r="AS49" i="3"/>
  <c r="BC49" i="3"/>
  <c r="AN49" i="3"/>
  <c r="BC159" i="3"/>
  <c r="AN159" i="3"/>
  <c r="AS159" i="3"/>
  <c r="BC169" i="3"/>
  <c r="AS169" i="3"/>
  <c r="AN169" i="3"/>
  <c r="AS24" i="3"/>
  <c r="BC24" i="3"/>
  <c r="AN24" i="3"/>
  <c r="AS75" i="3"/>
  <c r="BC75" i="3"/>
  <c r="AN75" i="3"/>
  <c r="AN82" i="3"/>
  <c r="AS82" i="3"/>
  <c r="BC82" i="3"/>
  <c r="BC168" i="3"/>
  <c r="AS168" i="3"/>
  <c r="AN168" i="3"/>
  <c r="AS43" i="3"/>
  <c r="BC43" i="3"/>
  <c r="AN43" i="3"/>
  <c r="AN9" i="3"/>
  <c r="AS9" i="3"/>
  <c r="BC9" i="3"/>
  <c r="AN65" i="3"/>
  <c r="BC65" i="3"/>
  <c r="AS65" i="3"/>
  <c r="BC87" i="3"/>
  <c r="AN87" i="3"/>
  <c r="AS87" i="3"/>
  <c r="AN114" i="3"/>
  <c r="AS114" i="3"/>
  <c r="BC114" i="3"/>
  <c r="BC141" i="3"/>
  <c r="AS141" i="3"/>
  <c r="AN141" i="3"/>
  <c r="AN173" i="3"/>
  <c r="AS173" i="3"/>
  <c r="BC173" i="3"/>
  <c r="BC2" i="3"/>
  <c r="AS2" i="3" l="1"/>
  <c r="CO2" i="3"/>
  <c r="AN2" i="3"/>
  <c r="AO197" i="3" l="1"/>
  <c r="BG168" i="3"/>
  <c r="BG159" i="3"/>
  <c r="BG191" i="3"/>
  <c r="BG155" i="3"/>
  <c r="BG119" i="3"/>
  <c r="BG83" i="3"/>
  <c r="BG47" i="3"/>
  <c r="BG11" i="3"/>
  <c r="BG162" i="3"/>
  <c r="BG66" i="3"/>
  <c r="BG169" i="3"/>
  <c r="BG133" i="3"/>
  <c r="BG97" i="3"/>
  <c r="BG61" i="3"/>
  <c r="BG25" i="3"/>
  <c r="BG57" i="3"/>
  <c r="BG150" i="3"/>
  <c r="BG75" i="3"/>
  <c r="BG86" i="3"/>
  <c r="BG153" i="3"/>
  <c r="BG138" i="3"/>
  <c r="BG188" i="3"/>
  <c r="BG152" i="3"/>
  <c r="BG116" i="3"/>
  <c r="BG80" i="3"/>
  <c r="BG44" i="3"/>
  <c r="BG8" i="3"/>
  <c r="BG147" i="3"/>
  <c r="BG9" i="3"/>
  <c r="BG166" i="3"/>
  <c r="BG130" i="3"/>
  <c r="BG94" i="3"/>
  <c r="BG58" i="3"/>
  <c r="BG22" i="3"/>
  <c r="BG36" i="3"/>
  <c r="BG141" i="3"/>
  <c r="BG54" i="3"/>
  <c r="BG122" i="3"/>
  <c r="BG78" i="3"/>
  <c r="BG144" i="3"/>
  <c r="BG120" i="3"/>
  <c r="BG185" i="3"/>
  <c r="BG149" i="3"/>
  <c r="BG113" i="3"/>
  <c r="BG77" i="3"/>
  <c r="BG41" i="3"/>
  <c r="BG5" i="3"/>
  <c r="BG135" i="3"/>
  <c r="BG199" i="3"/>
  <c r="BG163" i="3"/>
  <c r="BG127" i="3"/>
  <c r="BG91" i="3"/>
  <c r="BG55" i="3"/>
  <c r="BG19" i="3"/>
  <c r="BG18" i="3"/>
  <c r="BG129" i="3"/>
  <c r="BG33" i="3"/>
  <c r="BG198" i="3"/>
  <c r="BG50" i="3"/>
  <c r="BG136" i="3"/>
  <c r="BG132" i="3"/>
  <c r="BG108" i="3"/>
  <c r="BG182" i="3"/>
  <c r="BG146" i="3"/>
  <c r="BG110" i="3"/>
  <c r="BG74" i="3"/>
  <c r="BG38" i="3"/>
  <c r="BG177" i="3"/>
  <c r="BG117" i="3"/>
  <c r="BG196" i="3"/>
  <c r="BG160" i="3"/>
  <c r="BG124" i="3"/>
  <c r="BG88" i="3"/>
  <c r="BG52" i="3"/>
  <c r="BG16" i="3"/>
  <c r="BG111" i="3"/>
  <c r="BG15" i="3"/>
  <c r="BG172" i="3"/>
  <c r="BG114" i="3"/>
  <c r="BG90" i="3"/>
  <c r="BG179" i="3"/>
  <c r="BG143" i="3"/>
  <c r="BG107" i="3"/>
  <c r="BG71" i="3"/>
  <c r="BG35" i="3"/>
  <c r="BG45" i="3"/>
  <c r="BG105" i="3"/>
  <c r="BG193" i="3"/>
  <c r="BG157" i="3"/>
  <c r="BG121" i="3"/>
  <c r="BG85" i="3"/>
  <c r="BG49" i="3"/>
  <c r="BG13" i="3"/>
  <c r="BG93" i="3"/>
  <c r="BG2" i="3"/>
  <c r="BG14" i="3"/>
  <c r="BG195" i="3"/>
  <c r="BG64" i="3"/>
  <c r="BG102" i="3"/>
  <c r="BG69" i="3"/>
  <c r="BG176" i="3"/>
  <c r="BG140" i="3"/>
  <c r="BG104" i="3"/>
  <c r="BG68" i="3"/>
  <c r="BG32" i="3"/>
  <c r="BG87" i="3"/>
  <c r="BG190" i="3"/>
  <c r="BG154" i="3"/>
  <c r="BG118" i="3"/>
  <c r="BG82" i="3"/>
  <c r="BG46" i="3"/>
  <c r="BG10" i="3"/>
  <c r="BG81" i="3"/>
  <c r="BG192" i="3"/>
  <c r="BG84" i="3"/>
  <c r="BG48" i="3"/>
  <c r="BG173" i="3"/>
  <c r="BG137" i="3"/>
  <c r="BG101" i="3"/>
  <c r="BG65" i="3"/>
  <c r="BG29" i="3"/>
  <c r="BG72" i="3"/>
  <c r="BG187" i="3"/>
  <c r="BG151" i="3"/>
  <c r="BG115" i="3"/>
  <c r="BG79" i="3"/>
  <c r="BG43" i="3"/>
  <c r="BG7" i="3"/>
  <c r="BG63" i="3"/>
  <c r="BG194" i="3"/>
  <c r="BG60" i="3"/>
  <c r="BG30" i="3"/>
  <c r="BG170" i="3"/>
  <c r="BG134" i="3"/>
  <c r="BG98" i="3"/>
  <c r="BG62" i="3"/>
  <c r="BG26" i="3"/>
  <c r="BG51" i="3"/>
  <c r="BG184" i="3"/>
  <c r="BG148" i="3"/>
  <c r="BG112" i="3"/>
  <c r="BG76" i="3"/>
  <c r="BG40" i="3"/>
  <c r="BG4" i="3"/>
  <c r="BG42" i="3"/>
  <c r="BG158" i="3"/>
  <c r="BG39" i="3"/>
  <c r="BG12" i="3"/>
  <c r="BG167" i="3"/>
  <c r="BG131" i="3"/>
  <c r="BG95" i="3"/>
  <c r="BG59" i="3"/>
  <c r="BG23" i="3"/>
  <c r="BG27" i="3"/>
  <c r="BG181" i="3"/>
  <c r="BG145" i="3"/>
  <c r="BG109" i="3"/>
  <c r="BG73" i="3"/>
  <c r="BG37" i="3"/>
  <c r="BG174" i="3"/>
  <c r="BG21" i="3"/>
  <c r="BG183" i="3"/>
  <c r="BG24" i="3"/>
  <c r="BG200" i="3"/>
  <c r="BG164" i="3"/>
  <c r="BG128" i="3"/>
  <c r="BG92" i="3"/>
  <c r="BG56" i="3"/>
  <c r="BG20" i="3"/>
  <c r="BG6" i="3"/>
  <c r="BG178" i="3"/>
  <c r="BG142" i="3"/>
  <c r="BG106" i="3"/>
  <c r="BG70" i="3"/>
  <c r="BG34" i="3"/>
  <c r="BG126" i="3"/>
  <c r="BG180" i="3"/>
  <c r="BG189" i="3"/>
  <c r="BG28" i="3"/>
  <c r="BG96" i="3"/>
  <c r="BG186" i="3"/>
  <c r="BG3" i="3"/>
  <c r="BG197" i="3"/>
  <c r="BG161" i="3"/>
  <c r="BG125" i="3"/>
  <c r="BG89" i="3"/>
  <c r="BG53" i="3"/>
  <c r="BG17" i="3"/>
  <c r="BG171" i="3"/>
  <c r="BG175" i="3"/>
  <c r="BG139" i="3"/>
  <c r="BG103" i="3"/>
  <c r="BG67" i="3"/>
  <c r="BG31" i="3"/>
  <c r="BG99" i="3"/>
  <c r="BG165" i="3"/>
  <c r="BG123" i="3"/>
  <c r="BG100" i="3"/>
  <c r="BG156" i="3"/>
  <c r="AO130" i="3"/>
  <c r="AQ105" i="3"/>
  <c r="AQ36" i="3"/>
  <c r="AQ43" i="3"/>
  <c r="AQ64" i="3"/>
  <c r="AQ160" i="3"/>
  <c r="AO76" i="3"/>
  <c r="AQ17" i="3"/>
  <c r="AQ126" i="3"/>
  <c r="AQ183" i="3"/>
  <c r="AQ48" i="3"/>
  <c r="AP66" i="3"/>
  <c r="AQ12" i="3"/>
  <c r="AO53" i="3"/>
  <c r="AQ53" i="3"/>
  <c r="AQ58" i="3"/>
  <c r="AQ71" i="3"/>
  <c r="AO18" i="3"/>
  <c r="AQ47" i="3"/>
  <c r="AO189" i="3"/>
  <c r="AQ10" i="3"/>
  <c r="AO3" i="3"/>
  <c r="AO187" i="3"/>
  <c r="AO60" i="3"/>
  <c r="AP27" i="3"/>
  <c r="AP13" i="3"/>
  <c r="AP133" i="3"/>
  <c r="AP134" i="3"/>
  <c r="AO200" i="3"/>
  <c r="AQ50" i="3"/>
  <c r="AQ6" i="3"/>
  <c r="AQ79" i="3"/>
  <c r="AP189" i="3"/>
  <c r="AQ61" i="3"/>
  <c r="AQ181" i="3"/>
  <c r="AQ132" i="3"/>
  <c r="AO196" i="3"/>
  <c r="AO79" i="3"/>
  <c r="AO182" i="3"/>
  <c r="AQ170" i="3"/>
  <c r="AO44" i="3"/>
  <c r="AP141" i="3"/>
  <c r="AP131" i="3"/>
  <c r="AQ165" i="3"/>
  <c r="AO191" i="3"/>
  <c r="AP130" i="3"/>
  <c r="AO90" i="3"/>
  <c r="AQ113" i="3"/>
  <c r="AP139" i="3"/>
  <c r="AQ109" i="3"/>
  <c r="AP135" i="3"/>
  <c r="AO24" i="3"/>
  <c r="AQ162" i="3"/>
  <c r="AO121" i="3"/>
  <c r="AO85" i="3"/>
  <c r="AQ155" i="3"/>
  <c r="AP119" i="3"/>
  <c r="AP114" i="3"/>
  <c r="AO144" i="3"/>
  <c r="AO185" i="3"/>
  <c r="AO117" i="3"/>
  <c r="AQ148" i="3"/>
  <c r="AP107" i="3"/>
  <c r="AO59" i="3"/>
  <c r="AO139" i="3"/>
  <c r="AQ127" i="3"/>
  <c r="AP59" i="3"/>
  <c r="AQ173" i="3"/>
  <c r="AP176" i="3"/>
  <c r="AP45" i="3"/>
  <c r="AP185" i="3"/>
  <c r="AQ88" i="3"/>
  <c r="AP140" i="3"/>
  <c r="AO19" i="3"/>
  <c r="AQ158" i="3"/>
  <c r="AQ167" i="3"/>
  <c r="AP199" i="3"/>
  <c r="AP50" i="3"/>
  <c r="AO134" i="3"/>
  <c r="AP8" i="3"/>
  <c r="AO171" i="3"/>
  <c r="AO74" i="3"/>
  <c r="AQ111" i="3"/>
  <c r="AP72" i="3"/>
  <c r="AP36" i="3"/>
  <c r="AO183" i="3"/>
  <c r="AP81" i="3"/>
  <c r="AQ191" i="3"/>
  <c r="AO69" i="3"/>
  <c r="AO102" i="3"/>
  <c r="AP106" i="3"/>
  <c r="AQ75" i="3"/>
  <c r="AQ175" i="3"/>
  <c r="AP42" i="3"/>
  <c r="AO8" i="3"/>
  <c r="AO32" i="3"/>
  <c r="AQ185" i="3"/>
  <c r="AQ166" i="3"/>
  <c r="AQ138" i="3"/>
  <c r="AO198" i="3"/>
  <c r="AO47" i="3"/>
  <c r="AQ3" i="3"/>
  <c r="AQ133" i="3"/>
  <c r="AO105" i="3"/>
  <c r="AP6" i="3"/>
  <c r="AQ44" i="3"/>
  <c r="AQ177" i="3"/>
  <c r="AP100" i="3"/>
  <c r="AO62" i="3"/>
  <c r="AP115" i="3"/>
  <c r="AQ135" i="3"/>
  <c r="AO127" i="3"/>
  <c r="AP172" i="3"/>
  <c r="AO84" i="3"/>
  <c r="AO199" i="3"/>
  <c r="AQ56" i="3"/>
  <c r="AO89" i="3"/>
  <c r="AQ199" i="3"/>
  <c r="AO70" i="3"/>
  <c r="AP110" i="3"/>
  <c r="AP70" i="3"/>
  <c r="AQ125" i="3"/>
  <c r="AQ102" i="3"/>
  <c r="AO177" i="3"/>
  <c r="AO68" i="3"/>
  <c r="AO13" i="3"/>
  <c r="AQ20" i="3"/>
  <c r="AO190" i="3"/>
  <c r="AQ51" i="3"/>
  <c r="AP148" i="3"/>
  <c r="AP39" i="3"/>
  <c r="AQ25" i="3"/>
  <c r="AO83" i="3"/>
  <c r="AP82" i="3"/>
  <c r="AO54" i="3"/>
  <c r="AQ184" i="3"/>
  <c r="AP184" i="3"/>
  <c r="AO39" i="3"/>
  <c r="AQ42" i="3"/>
  <c r="AQ142" i="3"/>
  <c r="AO147" i="3"/>
  <c r="AQ106" i="3"/>
  <c r="AO20" i="3"/>
  <c r="AQ59" i="3"/>
  <c r="AO30" i="3"/>
  <c r="AQ141" i="3"/>
  <c r="AP4" i="3"/>
  <c r="AQ104" i="3"/>
  <c r="AP146" i="3"/>
  <c r="AO21" i="3"/>
  <c r="AP127" i="3"/>
  <c r="AP79" i="3"/>
  <c r="AP95" i="3"/>
  <c r="AQ112" i="3"/>
  <c r="AP112" i="3"/>
  <c r="AO154" i="3"/>
  <c r="AQ46" i="3"/>
  <c r="AP15" i="3"/>
  <c r="AP121" i="3"/>
  <c r="AO157" i="3"/>
  <c r="AO88" i="3"/>
  <c r="AO45" i="3"/>
  <c r="AP161" i="3"/>
  <c r="AP52" i="3"/>
  <c r="AQ149" i="3"/>
  <c r="AO92" i="3"/>
  <c r="AQ117" i="3"/>
  <c r="AP11" i="3"/>
  <c r="AQ187" i="3"/>
  <c r="AP77" i="3"/>
  <c r="AP162" i="3"/>
  <c r="AP200" i="3"/>
  <c r="AP83" i="3"/>
  <c r="AO159" i="3"/>
  <c r="AP62" i="3"/>
  <c r="AP118" i="3"/>
  <c r="AO104" i="3"/>
  <c r="AP142" i="3"/>
  <c r="AQ35" i="3"/>
  <c r="AP56" i="3"/>
  <c r="AO112" i="3"/>
  <c r="AP160" i="3"/>
  <c r="AO109" i="3"/>
  <c r="AP35" i="3"/>
  <c r="AO86" i="3"/>
  <c r="AP151" i="3"/>
  <c r="AP96" i="3"/>
  <c r="AP165" i="3"/>
  <c r="AO175" i="3"/>
  <c r="AQ103" i="3"/>
  <c r="AP190" i="3"/>
  <c r="AP31" i="3"/>
  <c r="AQ39" i="3"/>
  <c r="AP61" i="3"/>
  <c r="AP22" i="3"/>
  <c r="AQ180" i="3"/>
  <c r="AQ159" i="3"/>
  <c r="AO148" i="3"/>
  <c r="AQ26" i="3"/>
  <c r="AO180" i="3"/>
  <c r="AQ29" i="3"/>
  <c r="AP19" i="3"/>
  <c r="AO71" i="3"/>
  <c r="AP174" i="3"/>
  <c r="AO122" i="3"/>
  <c r="AQ72" i="3"/>
  <c r="AQ123" i="3"/>
  <c r="AO119" i="3"/>
  <c r="AQ60" i="3"/>
  <c r="AP123" i="3"/>
  <c r="AP34" i="3"/>
  <c r="AQ97" i="3"/>
  <c r="AP68" i="3"/>
  <c r="AP192" i="3"/>
  <c r="AO61" i="3"/>
  <c r="AP87" i="3"/>
  <c r="AQ37" i="3"/>
  <c r="AO72" i="3"/>
  <c r="AQ146" i="3"/>
  <c r="AQ19" i="3"/>
  <c r="AP104" i="3"/>
  <c r="AQ83" i="3"/>
  <c r="AO136" i="3"/>
  <c r="AP80" i="3"/>
  <c r="AP18" i="3"/>
  <c r="AP65" i="3"/>
  <c r="AP125" i="3"/>
  <c r="AP41" i="3"/>
  <c r="AO22" i="3"/>
  <c r="AQ156" i="3"/>
  <c r="AO163" i="3"/>
  <c r="AP91" i="3"/>
  <c r="AQ198" i="3"/>
  <c r="AO138" i="3"/>
  <c r="AQ21" i="3"/>
  <c r="AO97" i="3"/>
  <c r="AQ28" i="3"/>
  <c r="AO111" i="3"/>
  <c r="AQ52" i="3"/>
  <c r="AO151" i="3"/>
  <c r="AO12" i="3"/>
  <c r="AO80" i="3"/>
  <c r="AP48" i="3"/>
  <c r="AO132" i="3"/>
  <c r="AP175" i="3"/>
  <c r="AP170" i="3"/>
  <c r="AQ144" i="3"/>
  <c r="AO49" i="3"/>
  <c r="AQ96" i="3"/>
  <c r="AQ178" i="3"/>
  <c r="AQ116" i="3"/>
  <c r="AO158" i="3"/>
  <c r="AO123" i="3"/>
  <c r="AP103" i="3"/>
  <c r="AO176" i="3"/>
  <c r="AP144" i="3"/>
  <c r="AP166" i="3"/>
  <c r="AQ89" i="3"/>
  <c r="AP193" i="3"/>
  <c r="AQ18" i="3"/>
  <c r="AQ115" i="3"/>
  <c r="AQ176" i="3"/>
  <c r="AO2" i="3"/>
  <c r="BQ2" i="3" s="1"/>
  <c r="AO78" i="3"/>
  <c r="AO42" i="3"/>
  <c r="AQ147" i="3"/>
  <c r="AP29" i="3"/>
  <c r="AO161" i="3"/>
  <c r="AP159" i="3"/>
  <c r="AO25" i="3"/>
  <c r="AO150" i="3"/>
  <c r="AQ65" i="3"/>
  <c r="AQ90" i="3"/>
  <c r="AQ200" i="3"/>
  <c r="AO77" i="3"/>
  <c r="AQ54" i="3"/>
  <c r="AO50" i="3"/>
  <c r="AQ62" i="3"/>
  <c r="AP90" i="3"/>
  <c r="AP32" i="3"/>
  <c r="AO87" i="3"/>
  <c r="AO149" i="3"/>
  <c r="AQ119" i="3"/>
  <c r="AP54" i="3"/>
  <c r="AO128" i="3"/>
  <c r="AQ94" i="3"/>
  <c r="AO98" i="3"/>
  <c r="AP93" i="3"/>
  <c r="AQ23" i="3"/>
  <c r="AQ195" i="3"/>
  <c r="AP167" i="3"/>
  <c r="AP108" i="3"/>
  <c r="AP180" i="3"/>
  <c r="AP57" i="3"/>
  <c r="AO91" i="3"/>
  <c r="AO108" i="3"/>
  <c r="AO186" i="3"/>
  <c r="AO184" i="3"/>
  <c r="AQ66" i="3"/>
  <c r="AQ154" i="3"/>
  <c r="AP43" i="3"/>
  <c r="AP21" i="3"/>
  <c r="AO135" i="3"/>
  <c r="AQ168" i="3"/>
  <c r="AQ128" i="3"/>
  <c r="AQ74" i="3"/>
  <c r="AP129" i="3"/>
  <c r="AP191" i="3"/>
  <c r="AO43" i="3"/>
  <c r="AQ49" i="3"/>
  <c r="AQ114" i="3"/>
  <c r="AO81" i="3"/>
  <c r="AP2" i="3"/>
  <c r="AP157" i="3"/>
  <c r="AP153" i="3"/>
  <c r="AQ2" i="3"/>
  <c r="AQ70" i="3"/>
  <c r="AP40" i="3"/>
  <c r="AO142" i="3"/>
  <c r="AO9" i="3"/>
  <c r="AO124" i="3"/>
  <c r="AQ161" i="3"/>
  <c r="AO35" i="3"/>
  <c r="AQ118" i="3"/>
  <c r="AP12" i="3"/>
  <c r="AP179" i="3"/>
  <c r="AO174" i="3"/>
  <c r="AP76" i="3"/>
  <c r="AQ69" i="3"/>
  <c r="AQ110" i="3"/>
  <c r="AQ86" i="3"/>
  <c r="AO65" i="3"/>
  <c r="AQ16" i="3"/>
  <c r="AO66" i="3"/>
  <c r="AQ100" i="3"/>
  <c r="AO63" i="3"/>
  <c r="AP37" i="3"/>
  <c r="AP120" i="3"/>
  <c r="AP47" i="3"/>
  <c r="AQ13" i="3"/>
  <c r="AO17" i="3"/>
  <c r="AO156" i="3"/>
  <c r="AO145" i="3"/>
  <c r="AP182" i="3"/>
  <c r="AO115" i="3"/>
  <c r="AO67" i="3"/>
  <c r="AO4" i="3"/>
  <c r="AQ8" i="3"/>
  <c r="AQ33" i="3"/>
  <c r="AO164" i="3"/>
  <c r="AP178" i="3"/>
  <c r="AQ27" i="3"/>
  <c r="AP89" i="3"/>
  <c r="AP158" i="3"/>
  <c r="AQ192" i="3"/>
  <c r="AP150" i="3"/>
  <c r="AO178" i="3"/>
  <c r="AQ108" i="3"/>
  <c r="AO75" i="3"/>
  <c r="AO160" i="3"/>
  <c r="AQ150" i="3"/>
  <c r="AO181" i="3"/>
  <c r="AO170" i="3"/>
  <c r="AO41" i="3"/>
  <c r="AQ78" i="3"/>
  <c r="AQ101" i="3"/>
  <c r="AP156" i="3"/>
  <c r="AO167" i="3"/>
  <c r="AQ196" i="3"/>
  <c r="AO93" i="3"/>
  <c r="AQ5" i="3"/>
  <c r="AP20" i="3"/>
  <c r="AP101" i="3"/>
  <c r="AO169" i="3"/>
  <c r="AP25" i="3"/>
  <c r="AP60" i="3"/>
  <c r="AP124" i="3"/>
  <c r="AP3" i="3"/>
  <c r="AO126" i="3"/>
  <c r="AP145" i="3"/>
  <c r="AO16" i="3"/>
  <c r="AO100" i="3"/>
  <c r="AO179" i="3"/>
  <c r="AQ139" i="3"/>
  <c r="AP137" i="3"/>
  <c r="AP23" i="3"/>
  <c r="AQ153" i="3"/>
  <c r="AO52" i="3"/>
  <c r="AQ15" i="3"/>
  <c r="AP51" i="3"/>
  <c r="AQ22" i="3"/>
  <c r="AO40" i="3"/>
  <c r="AO116" i="3"/>
  <c r="AO153" i="3"/>
  <c r="AP24" i="3"/>
  <c r="AP49" i="3"/>
  <c r="AP9" i="3"/>
  <c r="AO73" i="3"/>
  <c r="AP187" i="3"/>
  <c r="AO110" i="3"/>
  <c r="AP58" i="3"/>
  <c r="AQ124" i="3"/>
  <c r="AQ63" i="3"/>
  <c r="AP181" i="3"/>
  <c r="AQ68" i="3"/>
  <c r="AO152" i="3"/>
  <c r="AQ30" i="3"/>
  <c r="AO15" i="3"/>
  <c r="AP198" i="3"/>
  <c r="AO55" i="3"/>
  <c r="AO103" i="3"/>
  <c r="AQ41" i="3"/>
  <c r="AQ145" i="3"/>
  <c r="AO166" i="3"/>
  <c r="AO172" i="3"/>
  <c r="AO6" i="3"/>
  <c r="AP46" i="3"/>
  <c r="AO28" i="3"/>
  <c r="AO94" i="3"/>
  <c r="AQ190" i="3"/>
  <c r="AP64" i="3"/>
  <c r="AQ4" i="3"/>
  <c r="AQ87" i="3"/>
  <c r="AP194" i="3"/>
  <c r="AP126" i="3"/>
  <c r="AQ84" i="3"/>
  <c r="AO5" i="3"/>
  <c r="AO113" i="3"/>
  <c r="AO140" i="3"/>
  <c r="AO193" i="3"/>
  <c r="AQ164" i="3"/>
  <c r="AQ120" i="3"/>
  <c r="AP116" i="3"/>
  <c r="AO10" i="3"/>
  <c r="AO99" i="3"/>
  <c r="AO120" i="3"/>
  <c r="AO27" i="3"/>
  <c r="AQ99" i="3"/>
  <c r="AP169" i="3"/>
  <c r="AO118" i="3"/>
  <c r="AP111" i="3"/>
  <c r="AP10" i="3"/>
  <c r="AP136" i="3"/>
  <c r="AQ134" i="3"/>
  <c r="AP71" i="3"/>
  <c r="AQ31" i="3"/>
  <c r="AO188" i="3"/>
  <c r="AQ136" i="3"/>
  <c r="AP177" i="3"/>
  <c r="AP99" i="3"/>
  <c r="AQ80" i="3"/>
  <c r="AQ85" i="3"/>
  <c r="AP5" i="3"/>
  <c r="AQ174" i="3"/>
  <c r="AO146" i="3"/>
  <c r="AP109" i="3"/>
  <c r="AO165" i="3"/>
  <c r="AQ77" i="3"/>
  <c r="AQ131" i="3"/>
  <c r="AO155" i="3"/>
  <c r="AP113" i="3"/>
  <c r="AO14" i="3"/>
  <c r="AQ172" i="3"/>
  <c r="AP14" i="3"/>
  <c r="AP28" i="3"/>
  <c r="AP78" i="3"/>
  <c r="AQ73" i="3"/>
  <c r="AQ9" i="3"/>
  <c r="AP149" i="3"/>
  <c r="AP86" i="3"/>
  <c r="AQ98" i="3"/>
  <c r="AO38" i="3"/>
  <c r="AP138" i="3"/>
  <c r="AQ122" i="3"/>
  <c r="AP38" i="3"/>
  <c r="AP7" i="3"/>
  <c r="AQ57" i="3"/>
  <c r="AQ197" i="3"/>
  <c r="AQ38" i="3"/>
  <c r="AO36" i="3"/>
  <c r="AO11" i="3"/>
  <c r="AQ151" i="3"/>
  <c r="AO137" i="3"/>
  <c r="AQ45" i="3"/>
  <c r="AO125" i="3"/>
  <c r="AP17" i="3"/>
  <c r="AO195" i="3"/>
  <c r="AO51" i="3"/>
  <c r="AQ107" i="3"/>
  <c r="AP98" i="3"/>
  <c r="AP16" i="3"/>
  <c r="AQ171" i="3"/>
  <c r="AP105" i="3"/>
  <c r="AP117" i="3"/>
  <c r="AO26" i="3"/>
  <c r="AP97" i="3"/>
  <c r="AP94" i="3"/>
  <c r="AQ81" i="3"/>
  <c r="AP188" i="3"/>
  <c r="AP171" i="3"/>
  <c r="AO48" i="3"/>
  <c r="AO168" i="3"/>
  <c r="AP53" i="3"/>
  <c r="AO33" i="3"/>
  <c r="AQ40" i="3"/>
  <c r="AO131" i="3"/>
  <c r="AO46" i="3"/>
  <c r="AQ169" i="3"/>
  <c r="AP69" i="3"/>
  <c r="AQ55" i="3"/>
  <c r="AO31" i="3"/>
  <c r="AQ67" i="3"/>
  <c r="AP85" i="3"/>
  <c r="AO101" i="3"/>
  <c r="AO37" i="3"/>
  <c r="AQ34" i="3"/>
  <c r="AP132" i="3"/>
  <c r="AP128" i="3"/>
  <c r="AP33" i="3"/>
  <c r="AQ91" i="3"/>
  <c r="AP74" i="3"/>
  <c r="AP196" i="3"/>
  <c r="AP55" i="3"/>
  <c r="AO29" i="3"/>
  <c r="AQ7" i="3"/>
  <c r="AP163" i="3"/>
  <c r="AQ186" i="3"/>
  <c r="AP186" i="3"/>
  <c r="AP73" i="3"/>
  <c r="AO96" i="3"/>
  <c r="AQ11" i="3"/>
  <c r="AQ140" i="3"/>
  <c r="AP63" i="3"/>
  <c r="AQ32" i="3"/>
  <c r="AP164" i="3"/>
  <c r="AP155" i="3"/>
  <c r="AP84" i="3"/>
  <c r="AO192" i="3"/>
  <c r="AQ130" i="3"/>
  <c r="AQ157" i="3"/>
  <c r="AO57" i="3"/>
  <c r="AP147" i="3"/>
  <c r="AQ121" i="3"/>
  <c r="AQ14" i="3"/>
  <c r="AQ129" i="3"/>
  <c r="AQ95" i="3"/>
  <c r="AQ137" i="3"/>
  <c r="AO7" i="3"/>
  <c r="AQ92" i="3"/>
  <c r="AO106" i="3"/>
  <c r="AQ194" i="3"/>
  <c r="AP88" i="3"/>
  <c r="AQ93" i="3"/>
  <c r="AQ193" i="3"/>
  <c r="AQ82" i="3"/>
  <c r="AO141" i="3"/>
  <c r="AO173" i="3"/>
  <c r="AO95" i="3"/>
  <c r="AO56" i="3"/>
  <c r="AQ76" i="3"/>
  <c r="AQ188" i="3"/>
  <c r="AQ163" i="3"/>
  <c r="AO162" i="3"/>
  <c r="AQ152" i="3"/>
  <c r="AP102" i="3"/>
  <c r="AP30" i="3"/>
  <c r="AP26" i="3"/>
  <c r="AO107" i="3"/>
  <c r="AP173" i="3"/>
  <c r="AO143" i="3"/>
  <c r="AO133" i="3"/>
  <c r="AQ182" i="3"/>
  <c r="AO64" i="3"/>
  <c r="AP195" i="3"/>
  <c r="AO23" i="3"/>
  <c r="AP168" i="3"/>
  <c r="AQ189" i="3"/>
  <c r="AO114" i="3"/>
  <c r="AO58" i="3"/>
  <c r="AP67" i="3"/>
  <c r="AO34" i="3"/>
  <c r="AO82" i="3"/>
  <c r="AP197" i="3"/>
  <c r="AP143" i="3"/>
  <c r="AP92" i="3"/>
  <c r="AQ143" i="3"/>
  <c r="AQ179" i="3"/>
  <c r="AQ24" i="3"/>
  <c r="AO129" i="3"/>
  <c r="AP44" i="3"/>
  <c r="AP152" i="3"/>
  <c r="AP75" i="3"/>
  <c r="AP154" i="3"/>
  <c r="AP183" i="3"/>
  <c r="AP122" i="3"/>
  <c r="AB1" i="1"/>
  <c r="AO194" i="3"/>
  <c r="BT2" i="3" l="1"/>
  <c r="AY170" i="3"/>
  <c r="AY35" i="3"/>
  <c r="BA81" i="3"/>
  <c r="AY45" i="3"/>
  <c r="BB186" i="3"/>
  <c r="AY77" i="3"/>
  <c r="BA157" i="3"/>
  <c r="BA153" i="3"/>
  <c r="BB15" i="3"/>
  <c r="BB147" i="3"/>
  <c r="AY99" i="3"/>
  <c r="BB176" i="3"/>
  <c r="BA148" i="3"/>
  <c r="AY13" i="3"/>
  <c r="BB55" i="3"/>
  <c r="BA14" i="3"/>
  <c r="BB78" i="3"/>
  <c r="AY28" i="3"/>
  <c r="BA127" i="3"/>
  <c r="AY160" i="3"/>
  <c r="BB69" i="3"/>
  <c r="AY31" i="3"/>
  <c r="BB103" i="3"/>
  <c r="AY84" i="3"/>
  <c r="AY98" i="3"/>
  <c r="BA185" i="3"/>
  <c r="BB121" i="3"/>
  <c r="AY177" i="3"/>
  <c r="BB135" i="3"/>
  <c r="AY110" i="3"/>
  <c r="BA53" i="3"/>
  <c r="AY193" i="3"/>
  <c r="BA126" i="3"/>
  <c r="BB149" i="3"/>
  <c r="BA115" i="3"/>
  <c r="BA60" i="3"/>
  <c r="AY195" i="3"/>
  <c r="AY50" i="3"/>
  <c r="BA129" i="3"/>
  <c r="BB6" i="3"/>
  <c r="BB172" i="3"/>
  <c r="BB37" i="3"/>
  <c r="BA91" i="3"/>
  <c r="AY139" i="3"/>
  <c r="BA4" i="3"/>
  <c r="BA80" i="3"/>
  <c r="BA163" i="3"/>
  <c r="BB52" i="3"/>
  <c r="BA7" i="3"/>
  <c r="BA55" i="3"/>
  <c r="BA137" i="3"/>
  <c r="AY154" i="3"/>
  <c r="BB33" i="3"/>
  <c r="BB123" i="3"/>
  <c r="BA10" i="3"/>
  <c r="AY12" i="3"/>
  <c r="BB2" i="3"/>
  <c r="AY24" i="3"/>
  <c r="BA23" i="3"/>
  <c r="BA8" i="3"/>
  <c r="AY25" i="3"/>
  <c r="AY29" i="3"/>
  <c r="AY52" i="3"/>
  <c r="BA57" i="3"/>
  <c r="BA47" i="3"/>
  <c r="BA54" i="3"/>
  <c r="AY44" i="3"/>
  <c r="AY39" i="3"/>
  <c r="AY87" i="3"/>
  <c r="BA74" i="3"/>
  <c r="BA75" i="3"/>
  <c r="AY71" i="3"/>
  <c r="AY113" i="3"/>
  <c r="AY90" i="3"/>
  <c r="BA112" i="3"/>
  <c r="BA109" i="3"/>
  <c r="BA125" i="3"/>
  <c r="AY132" i="3"/>
  <c r="BA123" i="3"/>
  <c r="BA141" i="3"/>
  <c r="AY163" i="3"/>
  <c r="BA155" i="3"/>
  <c r="BA151" i="3"/>
  <c r="BA147" i="3"/>
  <c r="BA173" i="3"/>
  <c r="AY182" i="3"/>
  <c r="AY196" i="3"/>
  <c r="AY179" i="3"/>
  <c r="AY187" i="3"/>
  <c r="AY189" i="3"/>
  <c r="BB16" i="3"/>
  <c r="BB3" i="3"/>
  <c r="BB42" i="3"/>
  <c r="BB40" i="3"/>
  <c r="BB72" i="3"/>
  <c r="BB101" i="3"/>
  <c r="BB93" i="3"/>
  <c r="BB100" i="3"/>
  <c r="BB109" i="3"/>
  <c r="BB122" i="3"/>
  <c r="BB127" i="3"/>
  <c r="BB162" i="3"/>
  <c r="BB158" i="3"/>
  <c r="BB189" i="3"/>
  <c r="BA39" i="3"/>
  <c r="AY82" i="3"/>
  <c r="BA103" i="3"/>
  <c r="BA150" i="3"/>
  <c r="BB12" i="3"/>
  <c r="BB84" i="3"/>
  <c r="BB182" i="3"/>
  <c r="BA2" i="3"/>
  <c r="BA12" i="3"/>
  <c r="AY46" i="3"/>
  <c r="AY9" i="3"/>
  <c r="BA27" i="3"/>
  <c r="BA34" i="3"/>
  <c r="BA30" i="3"/>
  <c r="AY66" i="3"/>
  <c r="AY48" i="3"/>
  <c r="AY55" i="3"/>
  <c r="BA49" i="3"/>
  <c r="BA44" i="3"/>
  <c r="AY94" i="3"/>
  <c r="AY75" i="3"/>
  <c r="AY76" i="3"/>
  <c r="BA76" i="3"/>
  <c r="AY120" i="3"/>
  <c r="BA95" i="3"/>
  <c r="BA114" i="3"/>
  <c r="BA97" i="3"/>
  <c r="BA122" i="3"/>
  <c r="AY149" i="3"/>
  <c r="AY124" i="3"/>
  <c r="BA143" i="3"/>
  <c r="BA138" i="3"/>
  <c r="AY156" i="3"/>
  <c r="AY152" i="3"/>
  <c r="AY148" i="3"/>
  <c r="BA159" i="3"/>
  <c r="BA169" i="3"/>
  <c r="AY190" i="3"/>
  <c r="BA184" i="3"/>
  <c r="BA192" i="3"/>
  <c r="BA194" i="3"/>
  <c r="BB23" i="3"/>
  <c r="BB9" i="3"/>
  <c r="BB51" i="3"/>
  <c r="BB46" i="3"/>
  <c r="BB49" i="3"/>
  <c r="BB90" i="3"/>
  <c r="BB63" i="3"/>
  <c r="BB102" i="3"/>
  <c r="BB97" i="3"/>
  <c r="BB115" i="3"/>
  <c r="BB128" i="3"/>
  <c r="BB137" i="3"/>
  <c r="BB185" i="3"/>
  <c r="BB170" i="3"/>
  <c r="BA33" i="3"/>
  <c r="BA154" i="3"/>
  <c r="BB110" i="3"/>
  <c r="AY7" i="3"/>
  <c r="BA21" i="3"/>
  <c r="BA24" i="3"/>
  <c r="AY34" i="3"/>
  <c r="AY41" i="3"/>
  <c r="BA52" i="3"/>
  <c r="BA26" i="3"/>
  <c r="BA59" i="3"/>
  <c r="AY72" i="3"/>
  <c r="AY56" i="3"/>
  <c r="AY51" i="3"/>
  <c r="BA73" i="3"/>
  <c r="AY86" i="3"/>
  <c r="BA86" i="3"/>
  <c r="AY83" i="3"/>
  <c r="BA88" i="3"/>
  <c r="AY85" i="3"/>
  <c r="BA117" i="3"/>
  <c r="AY104" i="3"/>
  <c r="BA121" i="3"/>
  <c r="BA132" i="3"/>
  <c r="BA136" i="3"/>
  <c r="AY144" i="3"/>
  <c r="AY155" i="3"/>
  <c r="AY151" i="3"/>
  <c r="AY164" i="3"/>
  <c r="BA172" i="3"/>
  <c r="AY166" i="3"/>
  <c r="AY176" i="3"/>
  <c r="AY183" i="3"/>
  <c r="AY191" i="3"/>
  <c r="AY199" i="3"/>
  <c r="BB4" i="3"/>
  <c r="BB21" i="3"/>
  <c r="BB22" i="3"/>
  <c r="BB18" i="3"/>
  <c r="BB66" i="3"/>
  <c r="BB44" i="3"/>
  <c r="BB91" i="3"/>
  <c r="BB81" i="3"/>
  <c r="BB114" i="3"/>
  <c r="BB130" i="3"/>
  <c r="BB116" i="3"/>
  <c r="BB136" i="3"/>
  <c r="BB154" i="3"/>
  <c r="BB174" i="3"/>
  <c r="BB200" i="3"/>
  <c r="AY21" i="3"/>
  <c r="BA165" i="3"/>
  <c r="AY3" i="3"/>
  <c r="BA45" i="3"/>
  <c r="BA40" i="3"/>
  <c r="AY59" i="3"/>
  <c r="AY27" i="3"/>
  <c r="AY60" i="3"/>
  <c r="AY67" i="3"/>
  <c r="BA61" i="3"/>
  <c r="BA56" i="3"/>
  <c r="AY74" i="3"/>
  <c r="AY96" i="3"/>
  <c r="BA98" i="3"/>
  <c r="BA101" i="3"/>
  <c r="AY89" i="3"/>
  <c r="BA90" i="3"/>
  <c r="AY119" i="3"/>
  <c r="BA108" i="3"/>
  <c r="AY126" i="3"/>
  <c r="AY141" i="3"/>
  <c r="AY143" i="3"/>
  <c r="BA162" i="3"/>
  <c r="BA133" i="3"/>
  <c r="BA156" i="3"/>
  <c r="AY161" i="3"/>
  <c r="AY174" i="3"/>
  <c r="BA167" i="3"/>
  <c r="AY181" i="3"/>
  <c r="BA190" i="3"/>
  <c r="BA196" i="3"/>
  <c r="BA187" i="3"/>
  <c r="BB27" i="3"/>
  <c r="BB29" i="3"/>
  <c r="BB28" i="3"/>
  <c r="BB24" i="3"/>
  <c r="BB53" i="3"/>
  <c r="BB50" i="3"/>
  <c r="BB67" i="3"/>
  <c r="BB86" i="3"/>
  <c r="BB112" i="3"/>
  <c r="BB98" i="3"/>
  <c r="BB111" i="3"/>
  <c r="BB138" i="3"/>
  <c r="BB159" i="3"/>
  <c r="BB164" i="3"/>
  <c r="BB196" i="3"/>
  <c r="BA36" i="3"/>
  <c r="BA82" i="3"/>
  <c r="BA168" i="3"/>
  <c r="BA189" i="3"/>
  <c r="BB58" i="3"/>
  <c r="BB150" i="3"/>
  <c r="BA29" i="3"/>
  <c r="AY30" i="3"/>
  <c r="AY40" i="3"/>
  <c r="BA18" i="3"/>
  <c r="BA58" i="3"/>
  <c r="AY47" i="3"/>
  <c r="BA19" i="3"/>
  <c r="BA32" i="3"/>
  <c r="AY63" i="3"/>
  <c r="BA72" i="3"/>
  <c r="AY62" i="3"/>
  <c r="AY57" i="3"/>
  <c r="BA79" i="3"/>
  <c r="AY105" i="3"/>
  <c r="BA107" i="3"/>
  <c r="AY107" i="3"/>
  <c r="BA94" i="3"/>
  <c r="AY91" i="3"/>
  <c r="AY97" i="3"/>
  <c r="AY115" i="3"/>
  <c r="BA110" i="3"/>
  <c r="BA134" i="3"/>
  <c r="BA140" i="3"/>
  <c r="AY138" i="3"/>
  <c r="AY134" i="3"/>
  <c r="AY157" i="3"/>
  <c r="BA152" i="3"/>
  <c r="AY173" i="3"/>
  <c r="BA166" i="3"/>
  <c r="AY186" i="3"/>
  <c r="BA177" i="3"/>
  <c r="AY197" i="3"/>
  <c r="AY188" i="3"/>
  <c r="BB17" i="3"/>
  <c r="BB13" i="3"/>
  <c r="BB34" i="3"/>
  <c r="BB30" i="3"/>
  <c r="BB59" i="3"/>
  <c r="BB56" i="3"/>
  <c r="BB73" i="3"/>
  <c r="BB89" i="3"/>
  <c r="BB94" i="3"/>
  <c r="BB118" i="3"/>
  <c r="BB117" i="3"/>
  <c r="BB139" i="3"/>
  <c r="BB155" i="3"/>
  <c r="BB171" i="3"/>
  <c r="BB198" i="3"/>
  <c r="AY61" i="3"/>
  <c r="BA113" i="3"/>
  <c r="BA175" i="3"/>
  <c r="BB61" i="3"/>
  <c r="BA6" i="3"/>
  <c r="AY43" i="3"/>
  <c r="BA16" i="3"/>
  <c r="BA35" i="3"/>
  <c r="AY20" i="3"/>
  <c r="AY33" i="3"/>
  <c r="AY68" i="3"/>
  <c r="BA83" i="3"/>
  <c r="AY78" i="3"/>
  <c r="BA62" i="3"/>
  <c r="AY80" i="3"/>
  <c r="BA93" i="3"/>
  <c r="AY88" i="3"/>
  <c r="AY118" i="3"/>
  <c r="AY95" i="3"/>
  <c r="AY100" i="3"/>
  <c r="BA102" i="3"/>
  <c r="AY122" i="3"/>
  <c r="AY111" i="3"/>
  <c r="AY135" i="3"/>
  <c r="BA124" i="3"/>
  <c r="BA146" i="3"/>
  <c r="BA139" i="3"/>
  <c r="BA160" i="3"/>
  <c r="AY153" i="3"/>
  <c r="AY167" i="3"/>
  <c r="AY168" i="3"/>
  <c r="AY180" i="3"/>
  <c r="AY178" i="3"/>
  <c r="BA191" i="3"/>
  <c r="BA193" i="3"/>
  <c r="BB32" i="3"/>
  <c r="BB7" i="3"/>
  <c r="BB39" i="3"/>
  <c r="BB36" i="3"/>
  <c r="BB68" i="3"/>
  <c r="BB62" i="3"/>
  <c r="BB79" i="3"/>
  <c r="BB64" i="3"/>
  <c r="BB106" i="3"/>
  <c r="BB119" i="3"/>
  <c r="BB131" i="3"/>
  <c r="BB140" i="3"/>
  <c r="BB163" i="3"/>
  <c r="BB160" i="3"/>
  <c r="BB193" i="3"/>
  <c r="AY19" i="3"/>
  <c r="BA100" i="3"/>
  <c r="AY127" i="3"/>
  <c r="BA198" i="3"/>
  <c r="BB92" i="3"/>
  <c r="BA5" i="3"/>
  <c r="BA3" i="3"/>
  <c r="BA17" i="3"/>
  <c r="BA13" i="3"/>
  <c r="BA46" i="3"/>
  <c r="AY4" i="3"/>
  <c r="AY17" i="3"/>
  <c r="AY36" i="3"/>
  <c r="BA25" i="3"/>
  <c r="AY58" i="3"/>
  <c r="BA65" i="3"/>
  <c r="BA99" i="3"/>
  <c r="BA67" i="3"/>
  <c r="BA77" i="3"/>
  <c r="BA87" i="3"/>
  <c r="BA63" i="3"/>
  <c r="AY92" i="3"/>
  <c r="BA92" i="3"/>
  <c r="AY106" i="3"/>
  <c r="AY101" i="3"/>
  <c r="AY103" i="3"/>
  <c r="AY123" i="3"/>
  <c r="BA116" i="3"/>
  <c r="BA128" i="3"/>
  <c r="AY125" i="3"/>
  <c r="BA149" i="3"/>
  <c r="AY140" i="3"/>
  <c r="AY165" i="3"/>
  <c r="BA158" i="3"/>
  <c r="AY171" i="3"/>
  <c r="BA161" i="3"/>
  <c r="BA176" i="3"/>
  <c r="BA183" i="3"/>
  <c r="AY192" i="3"/>
  <c r="AY194" i="3"/>
  <c r="BB26" i="3"/>
  <c r="BB20" i="3"/>
  <c r="BB41" i="3"/>
  <c r="BB19" i="3"/>
  <c r="BB65" i="3"/>
  <c r="BB71" i="3"/>
  <c r="BB87" i="3"/>
  <c r="BB70" i="3"/>
  <c r="BB99" i="3"/>
  <c r="BB124" i="3"/>
  <c r="BB142" i="3"/>
  <c r="BB143" i="3"/>
  <c r="BB145" i="3"/>
  <c r="BB194" i="3"/>
  <c r="AY2" i="3"/>
  <c r="AY54" i="3"/>
  <c r="AY112" i="3"/>
  <c r="AY158" i="3"/>
  <c r="BB38" i="3"/>
  <c r="BB180" i="3"/>
  <c r="AY11" i="3"/>
  <c r="AY8" i="3"/>
  <c r="AY53" i="3"/>
  <c r="BA11" i="3"/>
  <c r="AY18" i="3"/>
  <c r="BA9" i="3"/>
  <c r="BA22" i="3"/>
  <c r="AY37" i="3"/>
  <c r="AY26" i="3"/>
  <c r="BA66" i="3"/>
  <c r="BA71" i="3"/>
  <c r="BA37" i="3"/>
  <c r="AY73" i="3"/>
  <c r="BA78" i="3"/>
  <c r="BA118" i="3"/>
  <c r="AY64" i="3"/>
  <c r="BA64" i="3"/>
  <c r="AY93" i="3"/>
  <c r="BA96" i="3"/>
  <c r="AY102" i="3"/>
  <c r="AY108" i="3"/>
  <c r="AY133" i="3"/>
  <c r="AY117" i="3"/>
  <c r="AY129" i="3"/>
  <c r="BA130" i="3"/>
  <c r="AY150" i="3"/>
  <c r="BA142" i="3"/>
  <c r="AY172" i="3"/>
  <c r="BA164" i="3"/>
  <c r="BA179" i="3"/>
  <c r="AY162" i="3"/>
  <c r="BA181" i="3"/>
  <c r="AY184" i="3"/>
  <c r="BA197" i="3"/>
  <c r="BA199" i="3"/>
  <c r="BB10" i="3"/>
  <c r="BB8" i="3"/>
  <c r="BB43" i="3"/>
  <c r="BB25" i="3"/>
  <c r="BB48" i="3"/>
  <c r="BB77" i="3"/>
  <c r="BB74" i="3"/>
  <c r="BB76" i="3"/>
  <c r="BB105" i="3"/>
  <c r="BB120" i="3"/>
  <c r="BB132" i="3"/>
  <c r="BB148" i="3"/>
  <c r="BB151" i="3"/>
  <c r="BB175" i="3"/>
  <c r="BA50" i="3"/>
  <c r="AY116" i="3"/>
  <c r="BA182" i="3"/>
  <c r="BB75" i="3"/>
  <c r="AY14" i="3"/>
  <c r="BA20" i="3"/>
  <c r="AY23" i="3"/>
  <c r="BA42" i="3"/>
  <c r="BA31" i="3"/>
  <c r="BA41" i="3"/>
  <c r="BA48" i="3"/>
  <c r="AY38" i="3"/>
  <c r="BA85" i="3"/>
  <c r="AY79" i="3"/>
  <c r="BA68" i="3"/>
  <c r="BA69" i="3"/>
  <c r="AY65" i="3"/>
  <c r="AY114" i="3"/>
  <c r="BA106" i="3"/>
  <c r="BA104" i="3"/>
  <c r="BA111" i="3"/>
  <c r="BA120" i="3"/>
  <c r="AY128" i="3"/>
  <c r="BA135" i="3"/>
  <c r="AY131" i="3"/>
  <c r="BA144" i="3"/>
  <c r="AY145" i="3"/>
  <c r="BA145" i="3"/>
  <c r="AY169" i="3"/>
  <c r="BA170" i="3"/>
  <c r="BA174" i="3"/>
  <c r="BA180" i="3"/>
  <c r="AY185" i="3"/>
  <c r="AY198" i="3"/>
  <c r="AY200" i="3"/>
  <c r="BB5" i="3"/>
  <c r="BB14" i="3"/>
  <c r="BB47" i="3"/>
  <c r="BB31" i="3"/>
  <c r="BB54" i="3"/>
  <c r="BB83" i="3"/>
  <c r="BB80" i="3"/>
  <c r="BB82" i="3"/>
  <c r="BB107" i="3"/>
  <c r="BB125" i="3"/>
  <c r="BB134" i="3"/>
  <c r="BB153" i="3"/>
  <c r="BB157" i="3"/>
  <c r="BB177" i="3"/>
  <c r="AY15" i="3"/>
  <c r="AY81" i="3"/>
  <c r="AY130" i="3"/>
  <c r="BA200" i="3"/>
  <c r="BB108" i="3"/>
  <c r="AY5" i="3"/>
  <c r="AY10" i="3"/>
  <c r="AY16" i="3"/>
  <c r="AY6" i="3"/>
  <c r="AY22" i="3"/>
  <c r="BA15" i="3"/>
  <c r="BA28" i="3"/>
  <c r="BA51" i="3"/>
  <c r="AY32" i="3"/>
  <c r="AY42" i="3"/>
  <c r="AY49" i="3"/>
  <c r="BA43" i="3"/>
  <c r="BA38" i="3"/>
  <c r="BA84" i="3"/>
  <c r="AY69" i="3"/>
  <c r="AY70" i="3"/>
  <c r="BA70" i="3"/>
  <c r="AY109" i="3"/>
  <c r="BA89" i="3"/>
  <c r="BA105" i="3"/>
  <c r="BA119" i="3"/>
  <c r="AY121" i="3"/>
  <c r="BA131" i="3"/>
  <c r="AY136" i="3"/>
  <c r="AY137" i="3"/>
  <c r="AY159" i="3"/>
  <c r="AY147" i="3"/>
  <c r="AY146" i="3"/>
  <c r="AY142" i="3"/>
  <c r="BA171" i="3"/>
  <c r="AY175" i="3"/>
  <c r="BA195" i="3"/>
  <c r="BA178" i="3"/>
  <c r="BA186" i="3"/>
  <c r="BA188" i="3"/>
  <c r="BB11" i="3"/>
  <c r="BB45" i="3"/>
  <c r="BB35" i="3"/>
  <c r="BB57" i="3"/>
  <c r="BB60" i="3"/>
  <c r="BB85" i="3"/>
  <c r="BB95" i="3"/>
  <c r="BB88" i="3"/>
  <c r="BB113" i="3"/>
  <c r="BB133" i="3"/>
  <c r="BB141" i="3"/>
  <c r="BB168" i="3"/>
  <c r="BB161" i="3"/>
  <c r="BJ179" i="3"/>
  <c r="BJ181" i="3"/>
  <c r="BJ45" i="3"/>
  <c r="BJ16" i="3"/>
  <c r="BJ84" i="3"/>
  <c r="BJ55" i="3"/>
  <c r="BJ17" i="3"/>
  <c r="BJ71" i="3"/>
  <c r="BJ170" i="3"/>
  <c r="BJ107" i="3"/>
  <c r="BJ6" i="3"/>
  <c r="BJ81" i="3"/>
  <c r="BJ52" i="3"/>
  <c r="BJ14" i="3"/>
  <c r="BJ120" i="3"/>
  <c r="BJ91" i="3"/>
  <c r="BJ53" i="3"/>
  <c r="BJ15" i="3"/>
  <c r="BJ37" i="3"/>
  <c r="BJ33" i="3"/>
  <c r="BJ4" i="3"/>
  <c r="BJ42" i="3"/>
  <c r="BJ13" i="3"/>
  <c r="BJ117" i="3"/>
  <c r="BJ88" i="3"/>
  <c r="BJ50" i="3"/>
  <c r="BJ156" i="3"/>
  <c r="BJ127" i="3"/>
  <c r="BJ89" i="3"/>
  <c r="BJ51" i="3"/>
  <c r="BJ22" i="3"/>
  <c r="BJ69" i="3"/>
  <c r="BJ40" i="3"/>
  <c r="BJ36" i="3"/>
  <c r="BJ7" i="3"/>
  <c r="BJ3" i="3"/>
  <c r="BJ78" i="3"/>
  <c r="BJ49" i="3"/>
  <c r="BJ11" i="3"/>
  <c r="BJ153" i="3"/>
  <c r="BJ124" i="3"/>
  <c r="BJ86" i="3"/>
  <c r="BJ192" i="3"/>
  <c r="BJ163" i="3"/>
  <c r="BJ125" i="3"/>
  <c r="BJ87" i="3"/>
  <c r="BJ58" i="3"/>
  <c r="BJ20" i="3"/>
  <c r="BJ18" i="3"/>
  <c r="BJ27" i="3"/>
  <c r="BJ105" i="3"/>
  <c r="BJ76" i="3"/>
  <c r="BJ38" i="3"/>
  <c r="BJ72" i="3"/>
  <c r="BJ43" i="3"/>
  <c r="BJ5" i="3"/>
  <c r="BJ39" i="3"/>
  <c r="BJ10" i="3"/>
  <c r="BJ114" i="3"/>
  <c r="BJ85" i="3"/>
  <c r="BJ47" i="3"/>
  <c r="BJ189" i="3"/>
  <c r="BJ160" i="3"/>
  <c r="BJ122" i="3"/>
  <c r="BJ199" i="3"/>
  <c r="BJ161" i="3"/>
  <c r="BJ123" i="3"/>
  <c r="BJ94" i="3"/>
  <c r="BJ56" i="3"/>
  <c r="BJ54" i="3"/>
  <c r="BJ25" i="3"/>
  <c r="BJ63" i="3"/>
  <c r="BJ34" i="3"/>
  <c r="BJ141" i="3"/>
  <c r="BJ112" i="3"/>
  <c r="BJ74" i="3"/>
  <c r="BJ108" i="3"/>
  <c r="BJ79" i="3"/>
  <c r="BJ41" i="3"/>
  <c r="BJ75" i="3"/>
  <c r="BJ46" i="3"/>
  <c r="BJ8" i="3"/>
  <c r="BJ150" i="3"/>
  <c r="BJ121" i="3"/>
  <c r="BJ83" i="3"/>
  <c r="BJ196" i="3"/>
  <c r="BJ158" i="3"/>
  <c r="BJ197" i="3"/>
  <c r="BJ159" i="3"/>
  <c r="BJ130" i="3"/>
  <c r="BJ92" i="3"/>
  <c r="BJ90" i="3"/>
  <c r="BJ61" i="3"/>
  <c r="BJ23" i="3"/>
  <c r="BJ24" i="3"/>
  <c r="BJ99" i="3"/>
  <c r="BJ70" i="3"/>
  <c r="BJ32" i="3"/>
  <c r="BJ177" i="3"/>
  <c r="BJ148" i="3"/>
  <c r="BJ110" i="3"/>
  <c r="BJ144" i="3"/>
  <c r="BJ115" i="3"/>
  <c r="BJ77" i="3"/>
  <c r="BJ111" i="3"/>
  <c r="BJ82" i="3"/>
  <c r="BJ44" i="3"/>
  <c r="BJ186" i="3"/>
  <c r="BJ157" i="3"/>
  <c r="BJ119" i="3"/>
  <c r="BJ194" i="3"/>
  <c r="BJ30" i="3"/>
  <c r="BJ195" i="3"/>
  <c r="BJ166" i="3"/>
  <c r="BJ128" i="3"/>
  <c r="BJ126" i="3"/>
  <c r="BJ97" i="3"/>
  <c r="BJ59" i="3"/>
  <c r="BJ21" i="3"/>
  <c r="BJ60" i="3"/>
  <c r="BJ31" i="3"/>
  <c r="BJ135" i="3"/>
  <c r="BJ106" i="3"/>
  <c r="BJ68" i="3"/>
  <c r="BJ184" i="3"/>
  <c r="BJ146" i="3"/>
  <c r="BJ180" i="3"/>
  <c r="BJ151" i="3"/>
  <c r="BJ113" i="3"/>
  <c r="BJ147" i="3"/>
  <c r="BJ118" i="3"/>
  <c r="BJ80" i="3"/>
  <c r="BJ193" i="3"/>
  <c r="BJ155" i="3"/>
  <c r="BJ138" i="3"/>
  <c r="BJ164" i="3"/>
  <c r="BJ162" i="3"/>
  <c r="BJ133" i="3"/>
  <c r="BJ95" i="3"/>
  <c r="BJ57" i="3"/>
  <c r="BJ28" i="3"/>
  <c r="BJ96" i="3"/>
  <c r="BJ67" i="3"/>
  <c r="BJ29" i="3"/>
  <c r="BJ171" i="3"/>
  <c r="BJ142" i="3"/>
  <c r="BJ104" i="3"/>
  <c r="BJ182" i="3"/>
  <c r="BJ187" i="3"/>
  <c r="BJ149" i="3"/>
  <c r="BJ183" i="3"/>
  <c r="BJ154" i="3"/>
  <c r="BJ116" i="3"/>
  <c r="BJ191" i="3"/>
  <c r="BJ200" i="3"/>
  <c r="BJ198" i="3"/>
  <c r="BJ169" i="3"/>
  <c r="BJ131" i="3"/>
  <c r="BJ93" i="3"/>
  <c r="BJ64" i="3"/>
  <c r="BJ26" i="3"/>
  <c r="BJ132" i="3"/>
  <c r="BJ103" i="3"/>
  <c r="BJ65" i="3"/>
  <c r="BJ178" i="3"/>
  <c r="BJ140" i="3"/>
  <c r="BB192" i="3"/>
  <c r="BJ185" i="3"/>
  <c r="BJ190" i="3"/>
  <c r="BJ152" i="3"/>
  <c r="BJ102" i="3"/>
  <c r="BJ167" i="3"/>
  <c r="BJ129" i="3"/>
  <c r="BJ100" i="3"/>
  <c r="BJ62" i="3"/>
  <c r="BJ168" i="3"/>
  <c r="BJ139" i="3"/>
  <c r="BJ101" i="3"/>
  <c r="BJ176" i="3"/>
  <c r="BJ109" i="3"/>
  <c r="BJ174" i="3"/>
  <c r="BJ188" i="3"/>
  <c r="BJ12" i="3"/>
  <c r="BJ35" i="3"/>
  <c r="BJ2" i="3"/>
  <c r="BJ165" i="3"/>
  <c r="BJ136" i="3"/>
  <c r="BJ98" i="3"/>
  <c r="BJ175" i="3"/>
  <c r="BB156" i="3"/>
  <c r="BB165" i="3"/>
  <c r="BB197" i="3"/>
  <c r="BB179" i="3"/>
  <c r="BB181" i="3"/>
  <c r="BB173" i="3"/>
  <c r="BB183" i="3"/>
  <c r="BB146" i="3"/>
  <c r="BB178" i="3"/>
  <c r="BB190" i="3"/>
  <c r="BB169" i="3"/>
  <c r="BB166" i="3"/>
  <c r="BB184" i="3"/>
  <c r="BB199" i="3"/>
  <c r="BB96" i="3"/>
  <c r="BB104" i="3"/>
  <c r="BB126" i="3"/>
  <c r="BB129" i="3"/>
  <c r="BB144" i="3"/>
  <c r="BB152" i="3"/>
  <c r="BB167" i="3"/>
  <c r="BB195" i="3"/>
  <c r="BB188" i="3"/>
  <c r="BB187" i="3"/>
  <c r="BB191" i="3"/>
  <c r="BI2" i="3"/>
  <c r="BI188" i="3"/>
  <c r="BI152" i="3"/>
  <c r="BI116" i="3"/>
  <c r="BI80" i="3"/>
  <c r="BI44" i="3"/>
  <c r="BI8" i="3"/>
  <c r="BI166" i="3"/>
  <c r="BI130" i="3"/>
  <c r="BI94" i="3"/>
  <c r="BI58" i="3"/>
  <c r="BI22" i="3"/>
  <c r="BI180" i="3"/>
  <c r="BI144" i="3"/>
  <c r="BI108" i="3"/>
  <c r="BI72" i="3"/>
  <c r="BI36" i="3"/>
  <c r="BI34" i="3"/>
  <c r="BI192" i="3"/>
  <c r="BI67" i="3"/>
  <c r="BI189" i="3"/>
  <c r="BI185" i="3"/>
  <c r="BI149" i="3"/>
  <c r="BI113" i="3"/>
  <c r="BI77" i="3"/>
  <c r="BI41" i="3"/>
  <c r="BI5" i="3"/>
  <c r="BI199" i="3"/>
  <c r="BI163" i="3"/>
  <c r="BI127" i="3"/>
  <c r="BI91" i="3"/>
  <c r="BI55" i="3"/>
  <c r="BI19" i="3"/>
  <c r="BI177" i="3"/>
  <c r="BI141" i="3"/>
  <c r="BI105" i="3"/>
  <c r="BI69" i="3"/>
  <c r="BI33" i="3"/>
  <c r="BI200" i="3"/>
  <c r="BI70" i="3"/>
  <c r="BI53" i="3"/>
  <c r="BI31" i="3"/>
  <c r="BI117" i="3"/>
  <c r="BI182" i="3"/>
  <c r="BI146" i="3"/>
  <c r="BI110" i="3"/>
  <c r="BI74" i="3"/>
  <c r="BI38" i="3"/>
  <c r="BI196" i="3"/>
  <c r="BI160" i="3"/>
  <c r="BI124" i="3"/>
  <c r="BI88" i="3"/>
  <c r="BI52" i="3"/>
  <c r="BI16" i="3"/>
  <c r="BI174" i="3"/>
  <c r="BI138" i="3"/>
  <c r="BI102" i="3"/>
  <c r="BI66" i="3"/>
  <c r="BI30" i="3"/>
  <c r="BI92" i="3"/>
  <c r="BI142" i="3"/>
  <c r="BI120" i="3"/>
  <c r="BI197" i="3"/>
  <c r="BI175" i="3"/>
  <c r="BI9" i="3"/>
  <c r="BI179" i="3"/>
  <c r="BI143" i="3"/>
  <c r="BI107" i="3"/>
  <c r="BI71" i="3"/>
  <c r="BI35" i="3"/>
  <c r="BI193" i="3"/>
  <c r="BI157" i="3"/>
  <c r="BI121" i="3"/>
  <c r="BI85" i="3"/>
  <c r="BI49" i="3"/>
  <c r="BI13" i="3"/>
  <c r="BI171" i="3"/>
  <c r="BI135" i="3"/>
  <c r="BI99" i="3"/>
  <c r="BI63" i="3"/>
  <c r="BI27" i="3"/>
  <c r="BI56" i="3"/>
  <c r="BI178" i="3"/>
  <c r="BI12" i="3"/>
  <c r="BI17" i="3"/>
  <c r="BI139" i="3"/>
  <c r="BI45" i="3"/>
  <c r="BI176" i="3"/>
  <c r="BI140" i="3"/>
  <c r="BI104" i="3"/>
  <c r="BI68" i="3"/>
  <c r="BI32" i="3"/>
  <c r="BI190" i="3"/>
  <c r="BI154" i="3"/>
  <c r="BI118" i="3"/>
  <c r="BI82" i="3"/>
  <c r="BI46" i="3"/>
  <c r="BI10" i="3"/>
  <c r="BI168" i="3"/>
  <c r="BI132" i="3"/>
  <c r="BI96" i="3"/>
  <c r="BI60" i="3"/>
  <c r="BI24" i="3"/>
  <c r="BI164" i="3"/>
  <c r="BI106" i="3"/>
  <c r="BI156" i="3"/>
  <c r="BI89" i="3"/>
  <c r="BI153" i="3"/>
  <c r="BI173" i="3"/>
  <c r="BI137" i="3"/>
  <c r="BI101" i="3"/>
  <c r="BI65" i="3"/>
  <c r="BI29" i="3"/>
  <c r="BI187" i="3"/>
  <c r="BI151" i="3"/>
  <c r="BI115" i="3"/>
  <c r="BI79" i="3"/>
  <c r="BI43" i="3"/>
  <c r="BI7" i="3"/>
  <c r="BI165" i="3"/>
  <c r="BI129" i="3"/>
  <c r="BI93" i="3"/>
  <c r="BI57" i="3"/>
  <c r="BI21" i="3"/>
  <c r="BI20" i="3"/>
  <c r="BI103" i="3"/>
  <c r="BI81" i="3"/>
  <c r="BI170" i="3"/>
  <c r="BI134" i="3"/>
  <c r="BI98" i="3"/>
  <c r="BI62" i="3"/>
  <c r="BI26" i="3"/>
  <c r="BI184" i="3"/>
  <c r="BI148" i="3"/>
  <c r="BI112" i="3"/>
  <c r="BI76" i="3"/>
  <c r="BI40" i="3"/>
  <c r="BI4" i="3"/>
  <c r="BI198" i="3"/>
  <c r="BI162" i="3"/>
  <c r="BI126" i="3"/>
  <c r="BI90" i="3"/>
  <c r="BI54" i="3"/>
  <c r="BI18" i="3"/>
  <c r="BI128" i="3"/>
  <c r="BI84" i="3"/>
  <c r="BI161" i="3"/>
  <c r="BI167" i="3"/>
  <c r="BI131" i="3"/>
  <c r="BI95" i="3"/>
  <c r="BI59" i="3"/>
  <c r="BI23" i="3"/>
  <c r="BI181" i="3"/>
  <c r="BI145" i="3"/>
  <c r="BI109" i="3"/>
  <c r="BI73" i="3"/>
  <c r="BI37" i="3"/>
  <c r="BI195" i="3"/>
  <c r="BI159" i="3"/>
  <c r="BI123" i="3"/>
  <c r="BI87" i="3"/>
  <c r="BI51" i="3"/>
  <c r="BI15" i="3"/>
  <c r="BI48" i="3"/>
  <c r="BI125" i="3"/>
  <c r="BI194" i="3"/>
  <c r="BI158" i="3"/>
  <c r="BI122" i="3"/>
  <c r="BI86" i="3"/>
  <c r="BI50" i="3"/>
  <c r="BI14" i="3"/>
  <c r="BI172" i="3"/>
  <c r="BI136" i="3"/>
  <c r="BI100" i="3"/>
  <c r="BI64" i="3"/>
  <c r="BI28" i="3"/>
  <c r="BI186" i="3"/>
  <c r="BI150" i="3"/>
  <c r="BI114" i="3"/>
  <c r="BI78" i="3"/>
  <c r="BI42" i="3"/>
  <c r="BI6" i="3"/>
  <c r="BI191" i="3"/>
  <c r="BI155" i="3"/>
  <c r="BI119" i="3"/>
  <c r="BI83" i="3"/>
  <c r="BI47" i="3"/>
  <c r="BI11" i="3"/>
  <c r="BI169" i="3"/>
  <c r="BI133" i="3"/>
  <c r="BI97" i="3"/>
  <c r="BI61" i="3"/>
  <c r="BI25" i="3"/>
  <c r="BI183" i="3"/>
  <c r="BI147" i="3"/>
  <c r="BI111" i="3"/>
  <c r="BI75" i="3"/>
  <c r="BI39" i="3"/>
  <c r="BI3" i="3"/>
  <c r="BR2" i="3"/>
  <c r="BZ2" i="3" l="1"/>
  <c r="DA2" i="3" s="1"/>
  <c r="BZ167" i="3"/>
  <c r="DA167" i="3" s="1"/>
  <c r="BZ45" i="3"/>
  <c r="DA45" i="3" s="1"/>
  <c r="BZ54" i="3"/>
  <c r="DA54" i="3" s="1"/>
  <c r="BZ94" i="3"/>
  <c r="DA94" i="3" s="1"/>
  <c r="BZ58" i="3"/>
  <c r="DA58" i="3" s="1"/>
  <c r="BZ161" i="3"/>
  <c r="DA161" i="3" s="1"/>
  <c r="BZ163" i="3"/>
  <c r="DA163" i="3" s="1"/>
  <c r="BZ44" i="3"/>
  <c r="DA44" i="3" s="1"/>
  <c r="BZ21" i="3"/>
  <c r="DA21" i="3" s="1"/>
  <c r="AZ2" i="3"/>
  <c r="BZ184" i="3"/>
  <c r="DA184" i="3" s="1"/>
  <c r="BZ175" i="3"/>
  <c r="DA175" i="3" s="1"/>
  <c r="BZ19" i="3"/>
  <c r="DA19" i="3" s="1"/>
  <c r="BZ98" i="3"/>
  <c r="DA98" i="3" s="1"/>
  <c r="BZ155" i="3"/>
  <c r="DA155" i="3" s="1"/>
  <c r="BZ197" i="3"/>
  <c r="DA197" i="3" s="1"/>
  <c r="BZ71" i="3"/>
  <c r="DA71" i="3" s="1"/>
  <c r="BZ153" i="3"/>
  <c r="DA153" i="3" s="1"/>
  <c r="BZ40" i="3"/>
  <c r="DA40" i="3" s="1"/>
  <c r="BZ7" i="3"/>
  <c r="DA7" i="3" s="1"/>
  <c r="BZ89" i="3"/>
  <c r="DA89" i="3" s="1"/>
  <c r="BZ102" i="3"/>
  <c r="DA102" i="3" s="1"/>
  <c r="BZ18" i="3"/>
  <c r="DA18" i="3" s="1"/>
  <c r="AZ167" i="3"/>
  <c r="AZ158" i="3"/>
  <c r="AZ172" i="3"/>
  <c r="AZ156" i="3"/>
  <c r="AZ142" i="3"/>
  <c r="AZ154" i="3"/>
  <c r="AZ138" i="3"/>
  <c r="AZ143" i="3"/>
  <c r="AZ124" i="3"/>
  <c r="AZ136" i="3"/>
  <c r="AZ145" i="3"/>
  <c r="AZ134" i="3"/>
  <c r="AZ112" i="3"/>
  <c r="AZ117" i="3"/>
  <c r="AZ148" i="3"/>
  <c r="AZ133" i="3"/>
  <c r="AZ125" i="3"/>
  <c r="AZ127" i="3"/>
  <c r="AZ99" i="3"/>
  <c r="AZ104" i="3"/>
  <c r="AZ113" i="3"/>
  <c r="AZ106" i="3"/>
  <c r="AZ96" i="3"/>
  <c r="AZ110" i="3"/>
  <c r="AZ77" i="3"/>
  <c r="AZ92" i="3"/>
  <c r="AZ82" i="3"/>
  <c r="AZ64" i="3"/>
  <c r="AZ75" i="3"/>
  <c r="AZ80" i="3"/>
  <c r="AZ87" i="3"/>
  <c r="AZ91" i="3"/>
  <c r="AZ78" i="3"/>
  <c r="BZ16" i="3"/>
  <c r="DA16" i="3" s="1"/>
  <c r="BZ186" i="3"/>
  <c r="DA186" i="3" s="1"/>
  <c r="BZ81" i="3"/>
  <c r="DA81" i="3" s="1"/>
  <c r="BZ103" i="3"/>
  <c r="DA103" i="3" s="1"/>
  <c r="BZ149" i="3"/>
  <c r="DA149" i="3" s="1"/>
  <c r="BZ96" i="3"/>
  <c r="DA96" i="3" s="1"/>
  <c r="BZ145" i="3"/>
  <c r="DA145" i="3" s="1"/>
  <c r="BZ138" i="3"/>
  <c r="DA138" i="3" s="1"/>
  <c r="BZ31" i="3"/>
  <c r="DA31" i="3" s="1"/>
  <c r="BZ70" i="3"/>
  <c r="DA70" i="3" s="1"/>
  <c r="BZ106" i="3"/>
  <c r="DA106" i="3" s="1"/>
  <c r="BZ80" i="3"/>
  <c r="DA80" i="3" s="1"/>
  <c r="BZ139" i="3"/>
  <c r="DA139" i="3" s="1"/>
  <c r="BZ46" i="3"/>
  <c r="DA46" i="3" s="1"/>
  <c r="BZ56" i="3"/>
  <c r="DA56" i="3" s="1"/>
  <c r="BZ159" i="3"/>
  <c r="DA159" i="3" s="1"/>
  <c r="BZ174" i="3"/>
  <c r="DA174" i="3" s="1"/>
  <c r="BZ99" i="3"/>
  <c r="DA99" i="3" s="1"/>
  <c r="BZ4" i="3"/>
  <c r="DA4" i="3" s="1"/>
  <c r="BZ181" i="3"/>
  <c r="DA181" i="3" s="1"/>
  <c r="BZ59" i="3"/>
  <c r="DA59" i="3" s="1"/>
  <c r="BZ75" i="3"/>
  <c r="DA75" i="3" s="1"/>
  <c r="BZ104" i="3"/>
  <c r="DA104" i="3" s="1"/>
  <c r="AZ200" i="3"/>
  <c r="AZ194" i="3"/>
  <c r="AZ188" i="3"/>
  <c r="AZ197" i="3"/>
  <c r="AZ191" i="3"/>
  <c r="AZ187" i="3"/>
  <c r="AZ185" i="3"/>
  <c r="AZ184" i="3"/>
  <c r="AZ177" i="3"/>
  <c r="AZ196" i="3"/>
  <c r="AZ186" i="3"/>
  <c r="AZ192" i="3"/>
  <c r="AZ171" i="3"/>
  <c r="AZ181" i="3"/>
  <c r="AZ176" i="3"/>
  <c r="AZ182" i="3"/>
  <c r="AZ175" i="3"/>
  <c r="AZ168" i="3"/>
  <c r="AZ166" i="3"/>
  <c r="AZ165" i="3"/>
  <c r="AZ173" i="3"/>
  <c r="AZ174" i="3"/>
  <c r="AZ169" i="3"/>
  <c r="AZ153" i="3"/>
  <c r="AZ147" i="3"/>
  <c r="AZ152" i="3"/>
  <c r="AZ157" i="3"/>
  <c r="AZ155" i="3"/>
  <c r="AZ163" i="3"/>
  <c r="AZ150" i="3"/>
  <c r="AZ144" i="3"/>
  <c r="AZ130" i="3"/>
  <c r="AZ140" i="3"/>
  <c r="AZ128" i="3"/>
  <c r="AZ141" i="3"/>
  <c r="AZ132" i="3"/>
  <c r="AZ131" i="3"/>
  <c r="AZ126" i="3"/>
  <c r="AZ121" i="3"/>
  <c r="AZ122" i="3"/>
  <c r="AZ120" i="3"/>
  <c r="AZ105" i="3"/>
  <c r="AZ115" i="3"/>
  <c r="AZ109" i="3"/>
  <c r="AZ107" i="3"/>
  <c r="AZ100" i="3"/>
  <c r="AZ93" i="3"/>
  <c r="AZ85" i="3"/>
  <c r="AZ65" i="3"/>
  <c r="AZ88" i="3"/>
  <c r="AZ76" i="3"/>
  <c r="AZ86" i="3"/>
  <c r="AZ69" i="3"/>
  <c r="AZ68" i="3"/>
  <c r="AZ79" i="3"/>
  <c r="AZ97" i="3"/>
  <c r="BZ119" i="3"/>
  <c r="DA119" i="3" s="1"/>
  <c r="BZ34" i="3"/>
  <c r="DA34" i="3" s="1"/>
  <c r="BZ114" i="3"/>
  <c r="DA114" i="3" s="1"/>
  <c r="BZ166" i="3"/>
  <c r="DA166" i="3" s="1"/>
  <c r="BZ112" i="3"/>
  <c r="DA112" i="3" s="1"/>
  <c r="BZ176" i="3"/>
  <c r="DA176" i="3" s="1"/>
  <c r="BZ13" i="3"/>
  <c r="DA13" i="3" s="1"/>
  <c r="BZ135" i="3"/>
  <c r="DA135" i="3" s="1"/>
  <c r="BZ164" i="3"/>
  <c r="DA164" i="3" s="1"/>
  <c r="BZ160" i="3"/>
  <c r="DA160" i="3" s="1"/>
  <c r="BZ24" i="3"/>
  <c r="DA24" i="3" s="1"/>
  <c r="BZ30" i="3"/>
  <c r="DA30" i="3" s="1"/>
  <c r="BZ177" i="3"/>
  <c r="DA177" i="3" s="1"/>
  <c r="BZ97" i="3"/>
  <c r="DA97" i="3" s="1"/>
  <c r="BZ156" i="3"/>
  <c r="DA156" i="3" s="1"/>
  <c r="BZ191" i="3"/>
  <c r="DA191" i="3" s="1"/>
  <c r="BZ157" i="3"/>
  <c r="DA157" i="3" s="1"/>
  <c r="BZ83" i="3"/>
  <c r="DA83" i="3" s="1"/>
  <c r="BZ111" i="3"/>
  <c r="DA111" i="3" s="1"/>
  <c r="BZ170" i="3"/>
  <c r="DA170" i="3" s="1"/>
  <c r="BZ193" i="3"/>
  <c r="DA193" i="3" s="1"/>
  <c r="BZ188" i="3"/>
  <c r="DA188" i="3" s="1"/>
  <c r="BZ144" i="3"/>
  <c r="DA144" i="3" s="1"/>
  <c r="BZ48" i="3"/>
  <c r="DA48" i="3" s="1"/>
  <c r="AZ72" i="3"/>
  <c r="AZ57" i="3"/>
  <c r="AZ51" i="3"/>
  <c r="AZ45" i="3"/>
  <c r="AZ56" i="3"/>
  <c r="AZ50" i="3"/>
  <c r="AZ67" i="3"/>
  <c r="AZ102" i="3"/>
  <c r="AZ55" i="3"/>
  <c r="AZ63" i="3"/>
  <c r="AZ60" i="3"/>
  <c r="AZ54" i="3"/>
  <c r="AZ53" i="3"/>
  <c r="AZ47" i="3"/>
  <c r="AZ66" i="3"/>
  <c r="AZ32" i="3"/>
  <c r="AZ20" i="3"/>
  <c r="AZ44" i="3"/>
  <c r="AZ31" i="3"/>
  <c r="AZ19" i="3"/>
  <c r="AZ52" i="3"/>
  <c r="AZ38" i="3"/>
  <c r="AZ37" i="3"/>
  <c r="AZ36" i="3"/>
  <c r="AZ29" i="3"/>
  <c r="AZ23" i="3"/>
  <c r="AZ43" i="3"/>
  <c r="AZ40" i="3"/>
  <c r="AZ46" i="3"/>
  <c r="AZ10" i="3"/>
  <c r="AZ4" i="3"/>
  <c r="AZ33" i="3"/>
  <c r="AZ15" i="3"/>
  <c r="AZ3" i="3"/>
  <c r="AZ22" i="3"/>
  <c r="AZ18" i="3"/>
  <c r="AZ34" i="3"/>
  <c r="AZ14" i="3"/>
  <c r="AZ58" i="3"/>
  <c r="AZ13" i="3"/>
  <c r="AZ7" i="3"/>
  <c r="AZ21" i="3"/>
  <c r="AZ12" i="3"/>
  <c r="AZ6" i="3"/>
  <c r="AZ30" i="3"/>
  <c r="AZ11" i="3"/>
  <c r="AZ5" i="3"/>
  <c r="BZ93" i="3"/>
  <c r="DA93" i="3" s="1"/>
  <c r="BZ150" i="3"/>
  <c r="DA150" i="3" s="1"/>
  <c r="BZ77" i="3"/>
  <c r="DA77" i="3" s="1"/>
  <c r="BZ147" i="3"/>
  <c r="DA147" i="3" s="1"/>
  <c r="BZ118" i="3"/>
  <c r="DA118" i="3" s="1"/>
  <c r="BZ194" i="3"/>
  <c r="DA194" i="3" s="1"/>
  <c r="BZ25" i="3"/>
  <c r="DA25" i="3" s="1"/>
  <c r="BZ52" i="3"/>
  <c r="DA52" i="3" s="1"/>
  <c r="BZ65" i="3"/>
  <c r="DA65" i="3" s="1"/>
  <c r="BZ124" i="3"/>
  <c r="DA124" i="3" s="1"/>
  <c r="BZ121" i="3"/>
  <c r="DA121" i="3" s="1"/>
  <c r="BZ179" i="3"/>
  <c r="DA179" i="3" s="1"/>
  <c r="BZ195" i="3"/>
  <c r="DA195" i="3" s="1"/>
  <c r="BZ84" i="3"/>
  <c r="DA84" i="3" s="1"/>
  <c r="BZ132" i="3"/>
  <c r="DA132" i="3" s="1"/>
  <c r="BZ26" i="3"/>
  <c r="DA26" i="3" s="1"/>
  <c r="BZ190" i="3"/>
  <c r="DA190" i="3" s="1"/>
  <c r="BZ105" i="3"/>
  <c r="DA105" i="3" s="1"/>
  <c r="BZ51" i="3"/>
  <c r="DA51" i="3" s="1"/>
  <c r="BZ29" i="3"/>
  <c r="DA29" i="3" s="1"/>
  <c r="BZ130" i="3"/>
  <c r="DA130" i="3" s="1"/>
  <c r="BZ152" i="3"/>
  <c r="DA152" i="3" s="1"/>
  <c r="BZ49" i="3"/>
  <c r="DA49" i="3" s="1"/>
  <c r="BZ69" i="3"/>
  <c r="DA69" i="3" s="1"/>
  <c r="BZ107" i="3"/>
  <c r="DA107" i="3" s="1"/>
  <c r="BZ6" i="3"/>
  <c r="DA6" i="3" s="1"/>
  <c r="BZ173" i="3"/>
  <c r="DA173" i="3" s="1"/>
  <c r="BZ85" i="3"/>
  <c r="DA85" i="3" s="1"/>
  <c r="BZ78" i="3"/>
  <c r="DA78" i="3" s="1"/>
  <c r="BZ74" i="3"/>
  <c r="DA74" i="3" s="1"/>
  <c r="BZ113" i="3"/>
  <c r="DA113" i="3" s="1"/>
  <c r="BZ108" i="3"/>
  <c r="DA108" i="3" s="1"/>
  <c r="BZ72" i="3"/>
  <c r="DA72" i="3" s="1"/>
  <c r="BZ101" i="3"/>
  <c r="DA101" i="3" s="1"/>
  <c r="BZ151" i="3"/>
  <c r="DA151" i="3" s="1"/>
  <c r="BZ180" i="3"/>
  <c r="DA180" i="3" s="1"/>
  <c r="BZ140" i="3"/>
  <c r="DA140" i="3" s="1"/>
  <c r="BZ116" i="3"/>
  <c r="DA116" i="3" s="1"/>
  <c r="BZ20" i="3"/>
  <c r="DA20" i="3" s="1"/>
  <c r="BZ187" i="3"/>
  <c r="DA187" i="3" s="1"/>
  <c r="BZ90" i="3"/>
  <c r="DA90" i="3" s="1"/>
  <c r="BZ198" i="3"/>
  <c r="DA198" i="3" s="1"/>
  <c r="BZ64" i="3"/>
  <c r="DA64" i="3" s="1"/>
  <c r="BZ39" i="3"/>
  <c r="DA39" i="3" s="1"/>
  <c r="BZ57" i="3"/>
  <c r="DA57" i="3" s="1"/>
  <c r="BZ178" i="3"/>
  <c r="DA178" i="3" s="1"/>
  <c r="BZ120" i="3"/>
  <c r="DA120" i="3" s="1"/>
  <c r="BZ14" i="3"/>
  <c r="DA14" i="3" s="1"/>
  <c r="BZ126" i="3"/>
  <c r="DA126" i="3" s="1"/>
  <c r="BZ123" i="3"/>
  <c r="DA123" i="3" s="1"/>
  <c r="BZ162" i="3"/>
  <c r="DA162" i="3" s="1"/>
  <c r="BZ146" i="3"/>
  <c r="DA146" i="3" s="1"/>
  <c r="BZ136" i="3"/>
  <c r="DA136" i="3" s="1"/>
  <c r="BZ36" i="3"/>
  <c r="DA36" i="3" s="1"/>
  <c r="BZ200" i="3"/>
  <c r="DA200" i="3" s="1"/>
  <c r="BZ128" i="3"/>
  <c r="DA128" i="3" s="1"/>
  <c r="BZ148" i="3"/>
  <c r="DA148" i="3" s="1"/>
  <c r="BZ32" i="3"/>
  <c r="DA32" i="3" s="1"/>
  <c r="BZ11" i="3"/>
  <c r="DA11" i="3" s="1"/>
  <c r="BZ110" i="3"/>
  <c r="DA110" i="3" s="1"/>
  <c r="BZ17" i="3"/>
  <c r="DA17" i="3" s="1"/>
  <c r="BZ172" i="3"/>
  <c r="DA172" i="3" s="1"/>
  <c r="BZ125" i="3"/>
  <c r="DA125" i="3" s="1"/>
  <c r="BZ82" i="3"/>
  <c r="DA82" i="3" s="1"/>
  <c r="BZ55" i="3"/>
  <c r="DA55" i="3" s="1"/>
  <c r="BZ141" i="3"/>
  <c r="DA141" i="3" s="1"/>
  <c r="BZ115" i="3"/>
  <c r="DA115" i="3" s="1"/>
  <c r="BZ10" i="3"/>
  <c r="DA10" i="3" s="1"/>
  <c r="BZ185" i="3"/>
  <c r="DA185" i="3" s="1"/>
  <c r="BZ129" i="3"/>
  <c r="DA129" i="3" s="1"/>
  <c r="BZ92" i="3"/>
  <c r="DA92" i="3" s="1"/>
  <c r="BZ109" i="3"/>
  <c r="DA109" i="3" s="1"/>
  <c r="BZ100" i="3"/>
  <c r="DA100" i="3" s="1"/>
  <c r="BZ62" i="3"/>
  <c r="DA62" i="3" s="1"/>
  <c r="BZ8" i="3"/>
  <c r="DA8" i="3" s="1"/>
  <c r="BZ86" i="3"/>
  <c r="DA86" i="3" s="1"/>
  <c r="BZ137" i="3"/>
  <c r="DA137" i="3" s="1"/>
  <c r="BZ66" i="3"/>
  <c r="DA66" i="3" s="1"/>
  <c r="BZ117" i="3"/>
  <c r="DA117" i="3" s="1"/>
  <c r="BZ79" i="3"/>
  <c r="DA79" i="3" s="1"/>
  <c r="BZ33" i="3"/>
  <c r="DA33" i="3" s="1"/>
  <c r="BZ5" i="3"/>
  <c r="DA5" i="3" s="1"/>
  <c r="BZ127" i="3"/>
  <c r="DA127" i="3" s="1"/>
  <c r="BZ168" i="3"/>
  <c r="DA168" i="3" s="1"/>
  <c r="BZ22" i="3"/>
  <c r="DA22" i="3" s="1"/>
  <c r="BZ154" i="3"/>
  <c r="DA154" i="3" s="1"/>
  <c r="BZ27" i="3"/>
  <c r="DA27" i="3" s="1"/>
  <c r="BZ37" i="3"/>
  <c r="DA37" i="3" s="1"/>
  <c r="BZ35" i="3"/>
  <c r="DA35" i="3" s="1"/>
  <c r="BZ38" i="3"/>
  <c r="DA38" i="3" s="1"/>
  <c r="BZ43" i="3"/>
  <c r="DA43" i="3" s="1"/>
  <c r="BZ61" i="3"/>
  <c r="DA61" i="3" s="1"/>
  <c r="BZ53" i="3"/>
  <c r="DA53" i="3" s="1"/>
  <c r="BZ87" i="3"/>
  <c r="DA87" i="3" s="1"/>
  <c r="BZ91" i="3"/>
  <c r="DA91" i="3" s="1"/>
  <c r="BZ189" i="3"/>
  <c r="DA189" i="3" s="1"/>
  <c r="BZ50" i="3"/>
  <c r="DA50" i="3" s="1"/>
  <c r="BZ134" i="3"/>
  <c r="DA134" i="3" s="1"/>
  <c r="BZ9" i="3"/>
  <c r="DA9" i="3" s="1"/>
  <c r="BZ95" i="3"/>
  <c r="DA95" i="3" s="1"/>
  <c r="BZ169" i="3"/>
  <c r="DA169" i="3" s="1"/>
  <c r="BZ165" i="3"/>
  <c r="DA165" i="3" s="1"/>
  <c r="AZ27" i="3"/>
  <c r="AZ17" i="3"/>
  <c r="AZ25" i="3"/>
  <c r="AZ49" i="3"/>
  <c r="AZ90" i="3"/>
  <c r="AZ70" i="3"/>
  <c r="AZ95" i="3"/>
  <c r="AZ114" i="3"/>
  <c r="AZ118" i="3"/>
  <c r="AZ149" i="3"/>
  <c r="AZ146" i="3"/>
  <c r="AZ178" i="3"/>
  <c r="AZ183" i="3"/>
  <c r="BZ171" i="3"/>
  <c r="DA171" i="3" s="1"/>
  <c r="BZ67" i="3"/>
  <c r="DA67" i="3" s="1"/>
  <c r="BZ183" i="3"/>
  <c r="DA183" i="3" s="1"/>
  <c r="BZ47" i="3"/>
  <c r="DA47" i="3" s="1"/>
  <c r="BZ182" i="3"/>
  <c r="DA182" i="3" s="1"/>
  <c r="BZ15" i="3"/>
  <c r="DA15" i="3" s="1"/>
  <c r="BZ23" i="3"/>
  <c r="DA23" i="3" s="1"/>
  <c r="BZ196" i="3"/>
  <c r="DA196" i="3" s="1"/>
  <c r="BZ42" i="3"/>
  <c r="DA42" i="3" s="1"/>
  <c r="BZ60" i="3"/>
  <c r="DA60" i="3" s="1"/>
  <c r="BZ76" i="3"/>
  <c r="DA76" i="3" s="1"/>
  <c r="BZ131" i="3"/>
  <c r="DA131" i="3" s="1"/>
  <c r="BZ192" i="3"/>
  <c r="DA192" i="3" s="1"/>
  <c r="BZ133" i="3"/>
  <c r="DA133" i="3" s="1"/>
  <c r="BZ12" i="3"/>
  <c r="DA12" i="3" s="1"/>
  <c r="AZ16" i="3"/>
  <c r="AZ8" i="3"/>
  <c r="AZ42" i="3"/>
  <c r="AZ41" i="3"/>
  <c r="AZ62" i="3"/>
  <c r="AZ74" i="3"/>
  <c r="AZ71" i="3"/>
  <c r="AZ98" i="3"/>
  <c r="AZ116" i="3"/>
  <c r="AZ135" i="3"/>
  <c r="AZ139" i="3"/>
  <c r="AZ162" i="3"/>
  <c r="AZ195" i="3"/>
  <c r="AZ198" i="3"/>
  <c r="BZ158" i="3"/>
  <c r="DA158" i="3" s="1"/>
  <c r="BZ41" i="3"/>
  <c r="DA41" i="3" s="1"/>
  <c r="BZ28" i="3"/>
  <c r="DA28" i="3" s="1"/>
  <c r="BZ122" i="3"/>
  <c r="DA122" i="3" s="1"/>
  <c r="BZ63" i="3"/>
  <c r="DA63" i="3" s="1"/>
  <c r="BZ73" i="3"/>
  <c r="DA73" i="3" s="1"/>
  <c r="AZ28" i="3"/>
  <c r="AZ9" i="3"/>
  <c r="AZ35" i="3"/>
  <c r="AZ26" i="3"/>
  <c r="AZ61" i="3"/>
  <c r="AZ84" i="3"/>
  <c r="AZ81" i="3"/>
  <c r="AZ83" i="3"/>
  <c r="AZ108" i="3"/>
  <c r="AZ123" i="3"/>
  <c r="AZ137" i="3"/>
  <c r="AZ151" i="3"/>
  <c r="AZ160" i="3"/>
  <c r="AZ170" i="3"/>
  <c r="AZ180" i="3"/>
  <c r="AZ179" i="3"/>
  <c r="AZ193" i="3"/>
  <c r="BZ142" i="3"/>
  <c r="DA142" i="3" s="1"/>
  <c r="BZ199" i="3"/>
  <c r="DA199" i="3" s="1"/>
  <c r="BZ3" i="3"/>
  <c r="DA3" i="3" s="1"/>
  <c r="BZ88" i="3"/>
  <c r="DA88" i="3" s="1"/>
  <c r="BZ68" i="3"/>
  <c r="DA68" i="3" s="1"/>
  <c r="BZ143" i="3"/>
  <c r="DA143" i="3" s="1"/>
  <c r="AZ39" i="3"/>
  <c r="AZ24" i="3"/>
  <c r="AZ48" i="3"/>
  <c r="AZ101" i="3"/>
  <c r="AZ59" i="3"/>
  <c r="AZ73" i="3"/>
  <c r="AZ94" i="3"/>
  <c r="AZ89" i="3"/>
  <c r="AZ103" i="3"/>
  <c r="AZ119" i="3"/>
  <c r="AZ111" i="3"/>
  <c r="AZ129" i="3"/>
  <c r="AZ159" i="3"/>
  <c r="AZ164" i="3"/>
  <c r="AZ161" i="3"/>
  <c r="AZ190" i="3"/>
  <c r="AZ199" i="3"/>
  <c r="AZ189" i="3"/>
  <c r="CG200" i="3"/>
  <c r="DG200" i="3" s="1"/>
  <c r="CG188" i="3"/>
  <c r="DG188" i="3" s="1"/>
  <c r="CG176" i="3"/>
  <c r="CG195" i="3"/>
  <c r="DG195" i="3" s="1"/>
  <c r="CG183" i="3"/>
  <c r="DG183" i="3" s="1"/>
  <c r="CG171" i="3"/>
  <c r="CG159" i="3"/>
  <c r="DG159" i="3" s="1"/>
  <c r="CG147" i="3"/>
  <c r="DG147" i="3" s="1"/>
  <c r="CG135" i="3"/>
  <c r="DG135" i="3" s="1"/>
  <c r="CG123" i="3"/>
  <c r="DG123" i="3" s="1"/>
  <c r="CG111" i="3"/>
  <c r="DG111" i="3" s="1"/>
  <c r="CG99" i="3"/>
  <c r="DG99" i="3" s="1"/>
  <c r="CG87" i="3"/>
  <c r="DG87" i="3" s="1"/>
  <c r="CG75" i="3"/>
  <c r="CG63" i="3"/>
  <c r="DG63" i="3" s="1"/>
  <c r="CG51" i="3"/>
  <c r="CG39" i="3"/>
  <c r="DG39" i="3" s="1"/>
  <c r="CG27" i="3"/>
  <c r="DG27" i="3" s="1"/>
  <c r="CG15" i="3"/>
  <c r="DG15" i="3" s="1"/>
  <c r="CG3" i="3"/>
  <c r="DG3" i="3" s="1"/>
  <c r="CG190" i="3"/>
  <c r="DG190" i="3" s="1"/>
  <c r="CG178" i="3"/>
  <c r="DG178" i="3" s="1"/>
  <c r="CG166" i="3"/>
  <c r="DG166" i="3" s="1"/>
  <c r="CG154" i="3"/>
  <c r="DG154" i="3" s="1"/>
  <c r="CG142" i="3"/>
  <c r="DG142" i="3" s="1"/>
  <c r="CG130" i="3"/>
  <c r="CG118" i="3"/>
  <c r="DG118" i="3" s="1"/>
  <c r="CG106" i="3"/>
  <c r="CG94" i="3"/>
  <c r="DG94" i="3" s="1"/>
  <c r="CG82" i="3"/>
  <c r="DG82" i="3" s="1"/>
  <c r="CG70" i="3"/>
  <c r="DG70" i="3" s="1"/>
  <c r="CG58" i="3"/>
  <c r="DG58" i="3" s="1"/>
  <c r="CG46" i="3"/>
  <c r="DG46" i="3" s="1"/>
  <c r="CG34" i="3"/>
  <c r="DG34" i="3" s="1"/>
  <c r="CG22" i="3"/>
  <c r="DG22" i="3" s="1"/>
  <c r="CG10" i="3"/>
  <c r="DG10" i="3" s="1"/>
  <c r="CG169" i="3"/>
  <c r="DG169" i="3" s="1"/>
  <c r="CG197" i="3"/>
  <c r="CG185" i="3"/>
  <c r="CG173" i="3"/>
  <c r="DG173" i="3" s="1"/>
  <c r="CG161" i="3"/>
  <c r="DG161" i="3" s="1"/>
  <c r="CG149" i="3"/>
  <c r="DG149" i="3" s="1"/>
  <c r="CG137" i="3"/>
  <c r="DG137" i="3" s="1"/>
  <c r="CG125" i="3"/>
  <c r="DG125" i="3" s="1"/>
  <c r="CG113" i="3"/>
  <c r="DG113" i="3" s="1"/>
  <c r="CG101" i="3"/>
  <c r="DG101" i="3" s="1"/>
  <c r="CG89" i="3"/>
  <c r="DG89" i="3" s="1"/>
  <c r="CG77" i="3"/>
  <c r="DG77" i="3" s="1"/>
  <c r="CG65" i="3"/>
  <c r="DG65" i="3" s="1"/>
  <c r="CG53" i="3"/>
  <c r="DG53" i="3" s="1"/>
  <c r="CG41" i="3"/>
  <c r="DG41" i="3" s="1"/>
  <c r="CG29" i="3"/>
  <c r="DG29" i="3" s="1"/>
  <c r="CG17" i="3"/>
  <c r="CG5" i="3"/>
  <c r="DG5" i="3" s="1"/>
  <c r="CG192" i="3"/>
  <c r="DG192" i="3" s="1"/>
  <c r="CG180" i="3"/>
  <c r="DG180" i="3" s="1"/>
  <c r="CG168" i="3"/>
  <c r="DG168" i="3" s="1"/>
  <c r="CG156" i="3"/>
  <c r="DG156" i="3" s="1"/>
  <c r="CG144" i="3"/>
  <c r="CG132" i="3"/>
  <c r="DG132" i="3" s="1"/>
  <c r="CG120" i="3"/>
  <c r="DG120" i="3" s="1"/>
  <c r="CG108" i="3"/>
  <c r="CG96" i="3"/>
  <c r="DG96" i="3" s="1"/>
  <c r="CG84" i="3"/>
  <c r="DG84" i="3" s="1"/>
  <c r="CG72" i="3"/>
  <c r="DG72" i="3" s="1"/>
  <c r="CG60" i="3"/>
  <c r="DG60" i="3" s="1"/>
  <c r="CG48" i="3"/>
  <c r="DG48" i="3" s="1"/>
  <c r="CG36" i="3"/>
  <c r="DG36" i="3" s="1"/>
  <c r="CG24" i="3"/>
  <c r="DG24" i="3" s="1"/>
  <c r="CG12" i="3"/>
  <c r="DG12" i="3" s="1"/>
  <c r="CG199" i="3"/>
  <c r="DG199" i="3" s="1"/>
  <c r="CG187" i="3"/>
  <c r="DG187" i="3" s="1"/>
  <c r="CG175" i="3"/>
  <c r="DG175" i="3" s="1"/>
  <c r="CG163" i="3"/>
  <c r="DG163" i="3" s="1"/>
  <c r="CG151" i="3"/>
  <c r="DG151" i="3" s="1"/>
  <c r="CG139" i="3"/>
  <c r="CG127" i="3"/>
  <c r="DG127" i="3" s="1"/>
  <c r="CG115" i="3"/>
  <c r="DG115" i="3" s="1"/>
  <c r="CG103" i="3"/>
  <c r="DG103" i="3" s="1"/>
  <c r="CG91" i="3"/>
  <c r="DG91" i="3" s="1"/>
  <c r="CG79" i="3"/>
  <c r="DG79" i="3" s="1"/>
  <c r="CG67" i="3"/>
  <c r="DG67" i="3" s="1"/>
  <c r="CG55" i="3"/>
  <c r="DG55" i="3" s="1"/>
  <c r="CG43" i="3"/>
  <c r="DG43" i="3" s="1"/>
  <c r="CG31" i="3"/>
  <c r="DG31" i="3" s="1"/>
  <c r="CG19" i="3"/>
  <c r="DG19" i="3" s="1"/>
  <c r="CG7" i="3"/>
  <c r="DG7" i="3" s="1"/>
  <c r="CG194" i="3"/>
  <c r="DG194" i="3" s="1"/>
  <c r="CG182" i="3"/>
  <c r="DG182" i="3" s="1"/>
  <c r="CG170" i="3"/>
  <c r="DG170" i="3" s="1"/>
  <c r="CG158" i="3"/>
  <c r="DG158" i="3" s="1"/>
  <c r="CG146" i="3"/>
  <c r="DG146" i="3" s="1"/>
  <c r="CG134" i="3"/>
  <c r="DG134" i="3" s="1"/>
  <c r="CG122" i="3"/>
  <c r="DG122" i="3" s="1"/>
  <c r="CG110" i="3"/>
  <c r="DG110" i="3" s="1"/>
  <c r="CG98" i="3"/>
  <c r="DG98" i="3" s="1"/>
  <c r="CG86" i="3"/>
  <c r="DG86" i="3" s="1"/>
  <c r="CG74" i="3"/>
  <c r="DG74" i="3" s="1"/>
  <c r="CG62" i="3"/>
  <c r="DG62" i="3" s="1"/>
  <c r="CG50" i="3"/>
  <c r="CG38" i="3"/>
  <c r="CG26" i="3"/>
  <c r="DG26" i="3" s="1"/>
  <c r="CG14" i="3"/>
  <c r="DG14" i="3" s="1"/>
  <c r="CG189" i="3"/>
  <c r="DG189" i="3" s="1"/>
  <c r="CG177" i="3"/>
  <c r="DG177" i="3" s="1"/>
  <c r="CG165" i="3"/>
  <c r="DG165" i="3" s="1"/>
  <c r="CG153" i="3"/>
  <c r="DG153" i="3" s="1"/>
  <c r="CG141" i="3"/>
  <c r="DG141" i="3" s="1"/>
  <c r="CG129" i="3"/>
  <c r="DG129" i="3" s="1"/>
  <c r="CG117" i="3"/>
  <c r="DG117" i="3" s="1"/>
  <c r="CG105" i="3"/>
  <c r="DG105" i="3" s="1"/>
  <c r="CG93" i="3"/>
  <c r="CG81" i="3"/>
  <c r="DG81" i="3" s="1"/>
  <c r="CG69" i="3"/>
  <c r="DG69" i="3" s="1"/>
  <c r="CG57" i="3"/>
  <c r="DG57" i="3" s="1"/>
  <c r="CG45" i="3"/>
  <c r="DG45" i="3" s="1"/>
  <c r="CG33" i="3"/>
  <c r="DG33" i="3" s="1"/>
  <c r="CG21" i="3"/>
  <c r="DG21" i="3" s="1"/>
  <c r="CG9" i="3"/>
  <c r="DG9" i="3" s="1"/>
  <c r="CG196" i="3"/>
  <c r="DG196" i="3" s="1"/>
  <c r="CG184" i="3"/>
  <c r="DG184" i="3" s="1"/>
  <c r="CG172" i="3"/>
  <c r="DG172" i="3" s="1"/>
  <c r="CG160" i="3"/>
  <c r="DG160" i="3" s="1"/>
  <c r="CG148" i="3"/>
  <c r="DG148" i="3" s="1"/>
  <c r="CG136" i="3"/>
  <c r="DG136" i="3" s="1"/>
  <c r="CG124" i="3"/>
  <c r="DG124" i="3" s="1"/>
  <c r="CG112" i="3"/>
  <c r="DG112" i="3" s="1"/>
  <c r="CG100" i="3"/>
  <c r="DG100" i="3" s="1"/>
  <c r="CG88" i="3"/>
  <c r="DG88" i="3" s="1"/>
  <c r="CG76" i="3"/>
  <c r="DG76" i="3" s="1"/>
  <c r="CG64" i="3"/>
  <c r="DG64" i="3" s="1"/>
  <c r="CG52" i="3"/>
  <c r="DG52" i="3" s="1"/>
  <c r="CG40" i="3"/>
  <c r="DG40" i="3" s="1"/>
  <c r="CG28" i="3"/>
  <c r="DG28" i="3" s="1"/>
  <c r="CG16" i="3"/>
  <c r="DG16" i="3" s="1"/>
  <c r="CG4" i="3"/>
  <c r="DG4" i="3" s="1"/>
  <c r="CG181" i="3"/>
  <c r="DG181" i="3" s="1"/>
  <c r="CG191" i="3"/>
  <c r="DG191" i="3" s="1"/>
  <c r="CG179" i="3"/>
  <c r="DG179" i="3" s="1"/>
  <c r="CG167" i="3"/>
  <c r="DG167" i="3" s="1"/>
  <c r="CG155" i="3"/>
  <c r="DG155" i="3" s="1"/>
  <c r="CG143" i="3"/>
  <c r="DG143" i="3" s="1"/>
  <c r="CG131" i="3"/>
  <c r="DG131" i="3" s="1"/>
  <c r="CG119" i="3"/>
  <c r="DG119" i="3" s="1"/>
  <c r="CG107" i="3"/>
  <c r="DG107" i="3" s="1"/>
  <c r="CG95" i="3"/>
  <c r="CG83" i="3"/>
  <c r="DG83" i="3" s="1"/>
  <c r="CG71" i="3"/>
  <c r="DG71" i="3" s="1"/>
  <c r="CG59" i="3"/>
  <c r="DG59" i="3" s="1"/>
  <c r="CG47" i="3"/>
  <c r="DG47" i="3" s="1"/>
  <c r="CG35" i="3"/>
  <c r="DG35" i="3" s="1"/>
  <c r="CG23" i="3"/>
  <c r="DG23" i="3" s="1"/>
  <c r="CG11" i="3"/>
  <c r="DG11" i="3" s="1"/>
  <c r="CG193" i="3"/>
  <c r="DG193" i="3" s="1"/>
  <c r="CG198" i="3"/>
  <c r="DG198" i="3" s="1"/>
  <c r="CG186" i="3"/>
  <c r="DG186" i="3" s="1"/>
  <c r="CG174" i="3"/>
  <c r="DG174" i="3" s="1"/>
  <c r="CG162" i="3"/>
  <c r="DG162" i="3" s="1"/>
  <c r="CG150" i="3"/>
  <c r="DG150" i="3" s="1"/>
  <c r="CG138" i="3"/>
  <c r="DG138" i="3" s="1"/>
  <c r="CG126" i="3"/>
  <c r="DG126" i="3" s="1"/>
  <c r="CG114" i="3"/>
  <c r="CG102" i="3"/>
  <c r="DG102" i="3" s="1"/>
  <c r="CG90" i="3"/>
  <c r="DG90" i="3" s="1"/>
  <c r="CG78" i="3"/>
  <c r="DG78" i="3" s="1"/>
  <c r="CG66" i="3"/>
  <c r="DG66" i="3" s="1"/>
  <c r="CG54" i="3"/>
  <c r="CG42" i="3"/>
  <c r="DG42" i="3" s="1"/>
  <c r="CG30" i="3"/>
  <c r="DG30" i="3" s="1"/>
  <c r="CG18" i="3"/>
  <c r="DG18" i="3" s="1"/>
  <c r="CG6" i="3"/>
  <c r="DG6" i="3" s="1"/>
  <c r="CG140" i="3"/>
  <c r="DG140" i="3" s="1"/>
  <c r="CG68" i="3"/>
  <c r="DG68" i="3" s="1"/>
  <c r="CG109" i="3"/>
  <c r="DG109" i="3" s="1"/>
  <c r="CG37" i="3"/>
  <c r="DG37" i="3" s="1"/>
  <c r="CG25" i="3"/>
  <c r="DG25" i="3" s="1"/>
  <c r="CG152" i="3"/>
  <c r="DG152" i="3" s="1"/>
  <c r="CG80" i="3"/>
  <c r="DG80" i="3" s="1"/>
  <c r="CG8" i="3"/>
  <c r="DG8" i="3" s="1"/>
  <c r="CG121" i="3"/>
  <c r="DG121" i="3" s="1"/>
  <c r="CG49" i="3"/>
  <c r="DG49" i="3" s="1"/>
  <c r="CG92" i="3"/>
  <c r="DG92" i="3" s="1"/>
  <c r="CG20" i="3"/>
  <c r="DG20" i="3" s="1"/>
  <c r="CG164" i="3"/>
  <c r="DG164" i="3" s="1"/>
  <c r="CG133" i="3"/>
  <c r="DG133" i="3" s="1"/>
  <c r="CG61" i="3"/>
  <c r="DG61" i="3" s="1"/>
  <c r="CG104" i="3"/>
  <c r="DG104" i="3" s="1"/>
  <c r="CG32" i="3"/>
  <c r="DG32" i="3" s="1"/>
  <c r="CG97" i="3"/>
  <c r="DG97" i="3" s="1"/>
  <c r="CG145" i="3"/>
  <c r="DG145" i="3" s="1"/>
  <c r="CG73" i="3"/>
  <c r="DG73" i="3" s="1"/>
  <c r="CG116" i="3"/>
  <c r="DG116" i="3" s="1"/>
  <c r="CG44" i="3"/>
  <c r="DG44" i="3" s="1"/>
  <c r="CG157" i="3"/>
  <c r="DG157" i="3" s="1"/>
  <c r="CG85" i="3"/>
  <c r="DG85" i="3" s="1"/>
  <c r="CG13" i="3"/>
  <c r="DG13" i="3" s="1"/>
  <c r="CG128" i="3"/>
  <c r="DG128" i="3" s="1"/>
  <c r="CG56" i="3"/>
  <c r="DG56" i="3" s="1"/>
  <c r="CM2" i="3"/>
  <c r="CT2" i="3" s="1"/>
  <c r="CM200" i="3"/>
  <c r="CT200" i="3" s="1"/>
  <c r="CM188" i="3"/>
  <c r="CT188" i="3" s="1"/>
  <c r="CM176" i="3"/>
  <c r="CT176" i="3" s="1"/>
  <c r="CM164" i="3"/>
  <c r="CT164" i="3" s="1"/>
  <c r="CM152" i="3"/>
  <c r="CT152" i="3" s="1"/>
  <c r="CM140" i="3"/>
  <c r="CT140" i="3" s="1"/>
  <c r="CM128" i="3"/>
  <c r="CT128" i="3" s="1"/>
  <c r="CM116" i="3"/>
  <c r="CT116" i="3" s="1"/>
  <c r="CM104" i="3"/>
  <c r="CT104" i="3" s="1"/>
  <c r="CM92" i="3"/>
  <c r="CT92" i="3" s="1"/>
  <c r="CM80" i="3"/>
  <c r="CT80" i="3" s="1"/>
  <c r="CM68" i="3"/>
  <c r="CT68" i="3" s="1"/>
  <c r="CM56" i="3"/>
  <c r="CT56" i="3" s="1"/>
  <c r="CM44" i="3"/>
  <c r="CT44" i="3" s="1"/>
  <c r="CM32" i="3"/>
  <c r="CT32" i="3" s="1"/>
  <c r="CM20" i="3"/>
  <c r="CT20" i="3" s="1"/>
  <c r="CM8" i="3"/>
  <c r="CT8" i="3" s="1"/>
  <c r="CM195" i="3"/>
  <c r="CT195" i="3" s="1"/>
  <c r="CM183" i="3"/>
  <c r="CT183" i="3" s="1"/>
  <c r="CM171" i="3"/>
  <c r="CT171" i="3" s="1"/>
  <c r="CM159" i="3"/>
  <c r="CT159" i="3" s="1"/>
  <c r="CM147" i="3"/>
  <c r="CT147" i="3" s="1"/>
  <c r="CM135" i="3"/>
  <c r="CT135" i="3" s="1"/>
  <c r="CM123" i="3"/>
  <c r="CT123" i="3" s="1"/>
  <c r="CM111" i="3"/>
  <c r="CT111" i="3" s="1"/>
  <c r="CM99" i="3"/>
  <c r="CT99" i="3" s="1"/>
  <c r="CM87" i="3"/>
  <c r="CT87" i="3" s="1"/>
  <c r="CM75" i="3"/>
  <c r="CT75" i="3" s="1"/>
  <c r="CM63" i="3"/>
  <c r="CT63" i="3" s="1"/>
  <c r="CM51" i="3"/>
  <c r="CT51" i="3" s="1"/>
  <c r="CM39" i="3"/>
  <c r="CT39" i="3" s="1"/>
  <c r="CM27" i="3"/>
  <c r="CT27" i="3" s="1"/>
  <c r="CM15" i="3"/>
  <c r="CT15" i="3" s="1"/>
  <c r="CM3" i="3"/>
  <c r="CT3" i="3" s="1"/>
  <c r="CM190" i="3"/>
  <c r="CT190" i="3" s="1"/>
  <c r="CM178" i="3"/>
  <c r="CT178" i="3" s="1"/>
  <c r="CM166" i="3"/>
  <c r="CT166" i="3" s="1"/>
  <c r="CM154" i="3"/>
  <c r="CT154" i="3" s="1"/>
  <c r="CM142" i="3"/>
  <c r="CT142" i="3" s="1"/>
  <c r="CM130" i="3"/>
  <c r="CT130" i="3" s="1"/>
  <c r="CM118" i="3"/>
  <c r="CT118" i="3" s="1"/>
  <c r="CM106" i="3"/>
  <c r="CT106" i="3" s="1"/>
  <c r="CM94" i="3"/>
  <c r="CT94" i="3" s="1"/>
  <c r="CM82" i="3"/>
  <c r="CT82" i="3" s="1"/>
  <c r="CM70" i="3"/>
  <c r="CT70" i="3" s="1"/>
  <c r="CM58" i="3"/>
  <c r="CT58" i="3" s="1"/>
  <c r="CM46" i="3"/>
  <c r="CT46" i="3" s="1"/>
  <c r="CM34" i="3"/>
  <c r="CT34" i="3" s="1"/>
  <c r="CM22" i="3"/>
  <c r="CT22" i="3" s="1"/>
  <c r="CM10" i="3"/>
  <c r="CT10" i="3" s="1"/>
  <c r="CM197" i="3"/>
  <c r="CT197" i="3" s="1"/>
  <c r="CM185" i="3"/>
  <c r="CT185" i="3" s="1"/>
  <c r="CM173" i="3"/>
  <c r="CT173" i="3" s="1"/>
  <c r="CM161" i="3"/>
  <c r="CT161" i="3" s="1"/>
  <c r="CM149" i="3"/>
  <c r="CT149" i="3" s="1"/>
  <c r="CM137" i="3"/>
  <c r="CT137" i="3" s="1"/>
  <c r="CM125" i="3"/>
  <c r="CT125" i="3" s="1"/>
  <c r="CM113" i="3"/>
  <c r="CT113" i="3" s="1"/>
  <c r="CM101" i="3"/>
  <c r="CT101" i="3" s="1"/>
  <c r="CM89" i="3"/>
  <c r="CT89" i="3" s="1"/>
  <c r="CM77" i="3"/>
  <c r="CT77" i="3" s="1"/>
  <c r="CM65" i="3"/>
  <c r="CT65" i="3" s="1"/>
  <c r="CM53" i="3"/>
  <c r="CT53" i="3" s="1"/>
  <c r="CM41" i="3"/>
  <c r="CT41" i="3" s="1"/>
  <c r="CM29" i="3"/>
  <c r="CT29" i="3" s="1"/>
  <c r="CM17" i="3"/>
  <c r="CT17" i="3" s="1"/>
  <c r="CM5" i="3"/>
  <c r="CT5" i="3" s="1"/>
  <c r="CM192" i="3"/>
  <c r="CT192" i="3" s="1"/>
  <c r="CM180" i="3"/>
  <c r="CT180" i="3" s="1"/>
  <c r="CM168" i="3"/>
  <c r="CT168" i="3" s="1"/>
  <c r="CM156" i="3"/>
  <c r="CT156" i="3" s="1"/>
  <c r="CM144" i="3"/>
  <c r="CT144" i="3" s="1"/>
  <c r="CM132" i="3"/>
  <c r="CT132" i="3" s="1"/>
  <c r="CM120" i="3"/>
  <c r="CT120" i="3" s="1"/>
  <c r="CM108" i="3"/>
  <c r="CT108" i="3" s="1"/>
  <c r="CM96" i="3"/>
  <c r="CT96" i="3" s="1"/>
  <c r="CM84" i="3"/>
  <c r="CT84" i="3" s="1"/>
  <c r="CM72" i="3"/>
  <c r="CT72" i="3" s="1"/>
  <c r="CM60" i="3"/>
  <c r="CT60" i="3" s="1"/>
  <c r="CM48" i="3"/>
  <c r="CT48" i="3" s="1"/>
  <c r="CM36" i="3"/>
  <c r="CT36" i="3" s="1"/>
  <c r="CM24" i="3"/>
  <c r="CT24" i="3" s="1"/>
  <c r="CM12" i="3"/>
  <c r="CT12" i="3" s="1"/>
  <c r="CM199" i="3"/>
  <c r="CT199" i="3" s="1"/>
  <c r="CM187" i="3"/>
  <c r="CT187" i="3" s="1"/>
  <c r="CM175" i="3"/>
  <c r="CT175" i="3" s="1"/>
  <c r="CM163" i="3"/>
  <c r="CT163" i="3" s="1"/>
  <c r="CM151" i="3"/>
  <c r="CT151" i="3" s="1"/>
  <c r="CM139" i="3"/>
  <c r="CT139" i="3" s="1"/>
  <c r="CM127" i="3"/>
  <c r="CT127" i="3" s="1"/>
  <c r="CM115" i="3"/>
  <c r="CT115" i="3" s="1"/>
  <c r="CM103" i="3"/>
  <c r="CT103" i="3" s="1"/>
  <c r="CM91" i="3"/>
  <c r="CT91" i="3" s="1"/>
  <c r="CM79" i="3"/>
  <c r="CT79" i="3" s="1"/>
  <c r="CM67" i="3"/>
  <c r="CT67" i="3" s="1"/>
  <c r="CM55" i="3"/>
  <c r="CT55" i="3" s="1"/>
  <c r="CM43" i="3"/>
  <c r="CT43" i="3" s="1"/>
  <c r="CM31" i="3"/>
  <c r="CT31" i="3" s="1"/>
  <c r="CM19" i="3"/>
  <c r="CT19" i="3" s="1"/>
  <c r="CM7" i="3"/>
  <c r="CT7" i="3" s="1"/>
  <c r="CM194" i="3"/>
  <c r="CT194" i="3" s="1"/>
  <c r="CM182" i="3"/>
  <c r="CT182" i="3" s="1"/>
  <c r="CM170" i="3"/>
  <c r="CT170" i="3" s="1"/>
  <c r="CM158" i="3"/>
  <c r="CT158" i="3" s="1"/>
  <c r="CM146" i="3"/>
  <c r="CT146" i="3" s="1"/>
  <c r="CM134" i="3"/>
  <c r="CT134" i="3" s="1"/>
  <c r="CM122" i="3"/>
  <c r="CT122" i="3" s="1"/>
  <c r="CM110" i="3"/>
  <c r="CT110" i="3" s="1"/>
  <c r="CM98" i="3"/>
  <c r="CT98" i="3" s="1"/>
  <c r="CM86" i="3"/>
  <c r="CT86" i="3" s="1"/>
  <c r="CM74" i="3"/>
  <c r="CT74" i="3" s="1"/>
  <c r="CM62" i="3"/>
  <c r="CT62" i="3" s="1"/>
  <c r="CM50" i="3"/>
  <c r="CT50" i="3" s="1"/>
  <c r="CM38" i="3"/>
  <c r="CT38" i="3" s="1"/>
  <c r="CM26" i="3"/>
  <c r="CT26" i="3" s="1"/>
  <c r="CM14" i="3"/>
  <c r="CT14" i="3" s="1"/>
  <c r="CM193" i="3"/>
  <c r="CT193" i="3" s="1"/>
  <c r="CM189" i="3"/>
  <c r="CT189" i="3" s="1"/>
  <c r="CM177" i="3"/>
  <c r="CT177" i="3" s="1"/>
  <c r="CM165" i="3"/>
  <c r="CT165" i="3" s="1"/>
  <c r="CM153" i="3"/>
  <c r="CT153" i="3" s="1"/>
  <c r="CM141" i="3"/>
  <c r="CT141" i="3" s="1"/>
  <c r="CM129" i="3"/>
  <c r="CT129" i="3" s="1"/>
  <c r="CM117" i="3"/>
  <c r="CT117" i="3" s="1"/>
  <c r="CM105" i="3"/>
  <c r="CT105" i="3" s="1"/>
  <c r="CM93" i="3"/>
  <c r="CT93" i="3" s="1"/>
  <c r="CM81" i="3"/>
  <c r="CT81" i="3" s="1"/>
  <c r="CM69" i="3"/>
  <c r="CT69" i="3" s="1"/>
  <c r="CM57" i="3"/>
  <c r="CT57" i="3" s="1"/>
  <c r="CM45" i="3"/>
  <c r="CT45" i="3" s="1"/>
  <c r="CM33" i="3"/>
  <c r="CT33" i="3" s="1"/>
  <c r="CM21" i="3"/>
  <c r="CT21" i="3" s="1"/>
  <c r="CM9" i="3"/>
  <c r="CT9" i="3" s="1"/>
  <c r="CM196" i="3"/>
  <c r="CT196" i="3" s="1"/>
  <c r="CM184" i="3"/>
  <c r="CT184" i="3" s="1"/>
  <c r="CM172" i="3"/>
  <c r="CT172" i="3" s="1"/>
  <c r="CM160" i="3"/>
  <c r="CT160" i="3" s="1"/>
  <c r="CM148" i="3"/>
  <c r="CT148" i="3" s="1"/>
  <c r="CM136" i="3"/>
  <c r="CT136" i="3" s="1"/>
  <c r="CM124" i="3"/>
  <c r="CT124" i="3" s="1"/>
  <c r="CM112" i="3"/>
  <c r="CT112" i="3" s="1"/>
  <c r="CM100" i="3"/>
  <c r="CT100" i="3" s="1"/>
  <c r="CM88" i="3"/>
  <c r="CT88" i="3" s="1"/>
  <c r="CM76" i="3"/>
  <c r="CT76" i="3" s="1"/>
  <c r="CM64" i="3"/>
  <c r="CT64" i="3" s="1"/>
  <c r="CM52" i="3"/>
  <c r="CT52" i="3" s="1"/>
  <c r="CM40" i="3"/>
  <c r="CT40" i="3" s="1"/>
  <c r="CM28" i="3"/>
  <c r="CT28" i="3" s="1"/>
  <c r="CM16" i="3"/>
  <c r="CT16" i="3" s="1"/>
  <c r="CM4" i="3"/>
  <c r="CT4" i="3" s="1"/>
  <c r="CM191" i="3"/>
  <c r="CT191" i="3" s="1"/>
  <c r="CM179" i="3"/>
  <c r="CT179" i="3" s="1"/>
  <c r="CM167" i="3"/>
  <c r="CT167" i="3" s="1"/>
  <c r="CM155" i="3"/>
  <c r="CT155" i="3" s="1"/>
  <c r="CM143" i="3"/>
  <c r="CT143" i="3" s="1"/>
  <c r="CM131" i="3"/>
  <c r="CT131" i="3" s="1"/>
  <c r="CM119" i="3"/>
  <c r="CT119" i="3" s="1"/>
  <c r="CM107" i="3"/>
  <c r="CT107" i="3" s="1"/>
  <c r="CM95" i="3"/>
  <c r="CT95" i="3" s="1"/>
  <c r="CM83" i="3"/>
  <c r="CT83" i="3" s="1"/>
  <c r="CM71" i="3"/>
  <c r="CT71" i="3" s="1"/>
  <c r="CM59" i="3"/>
  <c r="CT59" i="3" s="1"/>
  <c r="CM47" i="3"/>
  <c r="CT47" i="3" s="1"/>
  <c r="CM35" i="3"/>
  <c r="CT35" i="3" s="1"/>
  <c r="CM23" i="3"/>
  <c r="CT23" i="3" s="1"/>
  <c r="CM11" i="3"/>
  <c r="CT11" i="3" s="1"/>
  <c r="CM169" i="3"/>
  <c r="CT169" i="3" s="1"/>
  <c r="CM198" i="3"/>
  <c r="CT198" i="3" s="1"/>
  <c r="CM186" i="3"/>
  <c r="CT186" i="3" s="1"/>
  <c r="CM174" i="3"/>
  <c r="CT174" i="3" s="1"/>
  <c r="CM162" i="3"/>
  <c r="CT162" i="3" s="1"/>
  <c r="CM150" i="3"/>
  <c r="CT150" i="3" s="1"/>
  <c r="CM138" i="3"/>
  <c r="CT138" i="3" s="1"/>
  <c r="CM126" i="3"/>
  <c r="CT126" i="3" s="1"/>
  <c r="CM114" i="3"/>
  <c r="CT114" i="3" s="1"/>
  <c r="CM102" i="3"/>
  <c r="CT102" i="3" s="1"/>
  <c r="CM90" i="3"/>
  <c r="CT90" i="3" s="1"/>
  <c r="CM78" i="3"/>
  <c r="CT78" i="3" s="1"/>
  <c r="CM66" i="3"/>
  <c r="CT66" i="3" s="1"/>
  <c r="CM54" i="3"/>
  <c r="CT54" i="3" s="1"/>
  <c r="CM42" i="3"/>
  <c r="CT42" i="3" s="1"/>
  <c r="CM30" i="3"/>
  <c r="CT30" i="3" s="1"/>
  <c r="CM18" i="3"/>
  <c r="CT18" i="3" s="1"/>
  <c r="CM6" i="3"/>
  <c r="CT6" i="3" s="1"/>
  <c r="CM37" i="3"/>
  <c r="CT37" i="3" s="1"/>
  <c r="CM121" i="3"/>
  <c r="CT121" i="3" s="1"/>
  <c r="CM181" i="3"/>
  <c r="CT181" i="3" s="1"/>
  <c r="CM61" i="3"/>
  <c r="CT61" i="3" s="1"/>
  <c r="CM145" i="3"/>
  <c r="CT145" i="3" s="1"/>
  <c r="CM85" i="3"/>
  <c r="CT85" i="3" s="1"/>
  <c r="CM25" i="3"/>
  <c r="CT25" i="3" s="1"/>
  <c r="CM109" i="3"/>
  <c r="CT109" i="3" s="1"/>
  <c r="CM49" i="3"/>
  <c r="CT49" i="3" s="1"/>
  <c r="CM133" i="3"/>
  <c r="CT133" i="3" s="1"/>
  <c r="CM73" i="3"/>
  <c r="CT73" i="3" s="1"/>
  <c r="CM97" i="3"/>
  <c r="CT97" i="3" s="1"/>
  <c r="CM157" i="3"/>
  <c r="CT157" i="3" s="1"/>
  <c r="CM13" i="3"/>
  <c r="CT13" i="3" s="1"/>
  <c r="BJ137" i="3"/>
  <c r="BJ19" i="3"/>
  <c r="BJ143" i="3"/>
  <c r="BJ172" i="3"/>
  <c r="BJ66" i="3"/>
  <c r="BJ9" i="3"/>
  <c r="BJ134" i="3"/>
  <c r="BJ73" i="3"/>
  <c r="BJ173" i="3"/>
  <c r="BJ145" i="3"/>
  <c r="BJ48" i="3"/>
  <c r="CG2" i="3"/>
  <c r="DG2" i="3" s="1"/>
  <c r="DG185" i="3"/>
  <c r="DG139" i="3"/>
  <c r="DG114" i="3"/>
  <c r="DG17" i="3"/>
  <c r="DG93" i="3"/>
  <c r="DG95" i="3"/>
  <c r="DG144" i="3"/>
  <c r="DG51" i="3"/>
  <c r="DG75" i="3"/>
  <c r="DG171" i="3"/>
  <c r="DG50" i="3"/>
  <c r="DG197" i="3"/>
  <c r="DG108" i="3"/>
  <c r="DG54" i="3"/>
  <c r="DG176" i="3"/>
  <c r="DG38" i="3"/>
  <c r="DG106" i="3"/>
  <c r="DG130" i="3"/>
  <c r="AW47" i="3" l="1"/>
  <c r="AV18" i="3"/>
  <c r="AV3" i="3"/>
  <c r="AU18" i="3"/>
  <c r="AX28" i="3"/>
  <c r="AV14" i="3"/>
  <c r="AU55" i="3"/>
  <c r="AU21" i="3"/>
  <c r="AV4" i="3"/>
  <c r="AV13" i="3"/>
  <c r="AU15" i="3"/>
  <c r="AW7" i="3"/>
  <c r="AW8" i="3"/>
  <c r="AV24" i="3"/>
  <c r="AX8" i="3"/>
  <c r="AU27" i="3"/>
  <c r="AX29" i="3"/>
  <c r="AV8" i="3"/>
  <c r="AX23" i="3"/>
  <c r="AW13" i="3"/>
  <c r="AV19" i="3"/>
  <c r="AU10" i="3"/>
  <c r="AW26" i="3"/>
  <c r="AV15" i="3"/>
  <c r="AV9" i="3"/>
  <c r="AW14" i="3"/>
  <c r="AU20" i="3"/>
  <c r="AU43" i="3"/>
  <c r="AU26" i="3"/>
  <c r="AX13" i="3"/>
  <c r="AV29" i="3"/>
  <c r="AW19" i="3"/>
  <c r="AU8" i="3"/>
  <c r="AW23" i="3"/>
  <c r="AX15" i="3"/>
  <c r="AV20" i="3"/>
  <c r="AX14" i="3"/>
  <c r="AV26" i="3"/>
  <c r="AX41" i="3"/>
  <c r="AX19" i="3"/>
  <c r="AX7" i="3"/>
  <c r="AU14" i="3"/>
  <c r="AU7" i="3"/>
  <c r="AU111" i="3"/>
  <c r="AV96" i="3"/>
  <c r="AU95" i="3"/>
  <c r="AW94" i="3"/>
  <c r="AX102" i="3"/>
  <c r="AW101" i="3"/>
  <c r="AV90" i="3"/>
  <c r="AV79" i="3"/>
  <c r="AX72" i="3"/>
  <c r="AX66" i="3"/>
  <c r="AW78" i="3"/>
  <c r="AV84" i="3"/>
  <c r="AV72" i="3"/>
  <c r="AX88" i="3"/>
  <c r="AW77" i="3"/>
  <c r="AW65" i="3"/>
  <c r="AW89" i="3"/>
  <c r="AX82" i="3"/>
  <c r="AX70" i="3"/>
  <c r="AU83" i="3"/>
  <c r="AU71" i="3"/>
  <c r="AW95" i="3"/>
  <c r="AV82" i="3"/>
  <c r="AV70" i="3"/>
  <c r="AV93" i="3"/>
  <c r="AX64" i="3"/>
  <c r="AV63" i="3"/>
  <c r="AU63" i="3"/>
  <c r="AV5" i="3"/>
  <c r="AW25" i="3"/>
  <c r="AW60" i="3"/>
  <c r="AV98" i="3"/>
  <c r="AX84" i="3"/>
  <c r="AV73" i="3"/>
  <c r="AU90" i="3"/>
  <c r="AU79" i="3"/>
  <c r="AU67" i="3"/>
  <c r="AX83" i="3"/>
  <c r="AX71" i="3"/>
  <c r="AX65" i="3"/>
  <c r="AU84" i="3"/>
  <c r="AU72" i="3"/>
  <c r="AW107" i="3"/>
  <c r="AW88" i="3"/>
  <c r="AV77" i="3"/>
  <c r="AX95" i="3"/>
  <c r="AV88" i="3"/>
  <c r="AW76" i="3"/>
  <c r="AX96" i="3"/>
  <c r="AX86" i="3"/>
  <c r="AX75" i="3"/>
  <c r="AU96" i="3"/>
  <c r="AU82" i="3"/>
  <c r="AX59" i="3"/>
  <c r="AW59" i="3"/>
  <c r="AU32" i="3"/>
  <c r="AW38" i="3"/>
  <c r="AV45" i="3"/>
  <c r="AW4" i="3"/>
  <c r="AU17" i="3"/>
  <c r="AW109" i="3"/>
  <c r="AV87" i="3"/>
  <c r="AX78" i="3"/>
  <c r="AX85" i="3"/>
  <c r="AU73" i="3"/>
  <c r="AW66" i="3"/>
  <c r="AV78" i="3"/>
  <c r="AX92" i="3"/>
  <c r="AV85" i="3"/>
  <c r="AU78" i="3"/>
  <c r="AW71" i="3"/>
  <c r="AU98" i="3"/>
  <c r="AU85" i="3"/>
  <c r="AV71" i="3"/>
  <c r="AU89" i="3"/>
  <c r="AW82" i="3"/>
  <c r="AV109" i="3"/>
  <c r="AW93" i="3"/>
  <c r="AX81" i="3"/>
  <c r="AX104" i="3"/>
  <c r="AW81" i="3"/>
  <c r="AW63" i="3"/>
  <c r="AX31" i="3"/>
  <c r="AX38" i="3"/>
  <c r="AU54" i="3"/>
  <c r="AV17" i="3"/>
  <c r="AU5" i="3"/>
  <c r="AX103" i="3"/>
  <c r="AV67" i="3"/>
  <c r="AW84" i="3"/>
  <c r="AW72" i="3"/>
  <c r="AW85" i="3"/>
  <c r="AX77" i="3"/>
  <c r="AV66" i="3"/>
  <c r="AX89" i="3"/>
  <c r="AW83" i="3"/>
  <c r="AU66" i="3"/>
  <c r="AV92" i="3"/>
  <c r="AV83" i="3"/>
  <c r="AX76" i="3"/>
  <c r="AX93" i="3"/>
  <c r="AU77" i="3"/>
  <c r="AW70" i="3"/>
  <c r="AU88" i="3"/>
  <c r="AV76" i="3"/>
  <c r="AX69" i="3"/>
  <c r="AV86" i="3"/>
  <c r="AU76" i="3"/>
  <c r="AV32" i="3"/>
  <c r="AV54" i="3"/>
  <c r="AW31" i="3"/>
  <c r="AV42" i="3"/>
  <c r="AW10" i="3"/>
  <c r="AX9" i="3"/>
  <c r="AW75" i="3"/>
  <c r="AU70" i="3"/>
  <c r="AU86" i="3"/>
  <c r="AV81" i="3"/>
  <c r="AX80" i="3"/>
  <c r="AW100" i="3"/>
  <c r="AU81" i="3"/>
  <c r="AW80" i="3"/>
  <c r="AV94" i="3"/>
  <c r="AX91" i="3"/>
  <c r="AX87" i="3"/>
  <c r="AV80" i="3"/>
  <c r="AX79" i="3"/>
  <c r="AV74" i="3"/>
  <c r="AX73" i="3"/>
  <c r="AV68" i="3"/>
  <c r="AV75" i="3"/>
  <c r="AW64" i="3"/>
  <c r="AV59" i="3"/>
  <c r="AX58" i="3"/>
  <c r="AV53" i="3"/>
  <c r="AX52" i="3"/>
  <c r="AV47" i="3"/>
  <c r="AX46" i="3"/>
  <c r="AV41" i="3"/>
  <c r="AX40" i="3"/>
  <c r="AU75" i="3"/>
  <c r="AV64" i="3"/>
  <c r="AU59" i="3"/>
  <c r="AW58" i="3"/>
  <c r="AU53" i="3"/>
  <c r="AW52" i="3"/>
  <c r="AU47" i="3"/>
  <c r="AW46" i="3"/>
  <c r="AU41" i="3"/>
  <c r="AX32" i="3"/>
  <c r="AV27" i="3"/>
  <c r="AX26" i="3"/>
  <c r="AV21" i="3"/>
  <c r="AX20" i="3"/>
  <c r="AV44" i="3"/>
  <c r="AU33" i="3"/>
  <c r="AW32" i="3"/>
  <c r="AW54" i="3"/>
  <c r="AX4" i="3"/>
  <c r="AU11" i="3"/>
  <c r="AV10" i="3"/>
  <c r="AU132" i="3"/>
  <c r="AU126" i="3"/>
  <c r="AX143" i="3"/>
  <c r="AU133" i="3"/>
  <c r="AX130" i="3"/>
  <c r="AV138" i="3"/>
  <c r="AU131" i="3"/>
  <c r="AV151" i="3"/>
  <c r="AX136" i="3"/>
  <c r="AV130" i="3"/>
  <c r="AU151" i="3"/>
  <c r="AV136" i="3"/>
  <c r="AX135" i="3"/>
  <c r="AU129" i="3"/>
  <c r="AX144" i="3"/>
  <c r="AU135" i="3"/>
  <c r="AU124" i="3"/>
  <c r="AU123" i="3"/>
  <c r="AV120" i="3"/>
  <c r="AV114" i="3"/>
  <c r="AX113" i="3"/>
  <c r="AX107" i="3"/>
  <c r="AX134" i="3"/>
  <c r="AV119" i="3"/>
  <c r="AV113" i="3"/>
  <c r="AV107" i="3"/>
  <c r="AU119" i="3"/>
  <c r="AU113" i="3"/>
  <c r="AW112" i="3"/>
  <c r="AX117" i="3"/>
  <c r="AX141" i="3"/>
  <c r="AU118" i="3"/>
  <c r="AU128" i="3"/>
  <c r="AX121" i="3"/>
  <c r="AU130" i="3"/>
  <c r="AW123" i="3"/>
  <c r="AU125" i="3"/>
  <c r="AU121" i="3"/>
  <c r="AU100" i="3"/>
  <c r="AV115" i="3"/>
  <c r="AU105" i="3"/>
  <c r="AW98" i="3"/>
  <c r="AX111" i="3"/>
  <c r="AW111" i="3"/>
  <c r="AW120" i="3"/>
  <c r="AU109" i="3"/>
  <c r="AW137" i="3"/>
  <c r="AW131" i="3"/>
  <c r="AW125" i="3"/>
  <c r="AW138" i="3"/>
  <c r="AV137" i="3"/>
  <c r="AV131" i="3"/>
  <c r="AV125" i="3"/>
  <c r="AU137" i="3"/>
  <c r="AW130" i="3"/>
  <c r="AU138" i="3"/>
  <c r="AX129" i="3"/>
  <c r="AW150" i="3"/>
  <c r="AW136" i="3"/>
  <c r="AV135" i="3"/>
  <c r="AW128" i="3"/>
  <c r="AV192" i="3"/>
  <c r="AW127" i="3"/>
  <c r="AU122" i="3"/>
  <c r="AX119" i="3"/>
  <c r="AV108" i="3"/>
  <c r="AW144" i="3"/>
  <c r="AX132" i="3"/>
  <c r="AX118" i="3"/>
  <c r="AX112" i="3"/>
  <c r="AU134" i="3"/>
  <c r="AW118" i="3"/>
  <c r="AX128" i="3"/>
  <c r="AW148" i="3"/>
  <c r="AX126" i="3"/>
  <c r="AU112" i="3"/>
  <c r="AX116" i="3"/>
  <c r="AX115" i="3"/>
  <c r="AW124" i="3"/>
  <c r="AX99" i="3"/>
  <c r="AU106" i="3"/>
  <c r="AW99" i="3"/>
  <c r="AW104" i="3"/>
  <c r="AU115" i="3"/>
  <c r="AU117" i="3"/>
  <c r="AW108" i="3"/>
  <c r="AV110" i="3"/>
  <c r="AV102" i="3"/>
  <c r="AW134" i="3"/>
  <c r="AV118" i="3"/>
  <c r="AV128" i="3"/>
  <c r="AW117" i="3"/>
  <c r="AV117" i="3"/>
  <c r="AV116" i="3"/>
  <c r="AV129" i="3"/>
  <c r="AV100" i="3"/>
  <c r="AV123" i="3"/>
  <c r="AW105" i="3"/>
  <c r="AW115" i="3"/>
  <c r="AU99" i="3"/>
  <c r="AW119" i="3"/>
  <c r="AX109" i="3"/>
  <c r="AW116" i="3"/>
  <c r="AU107" i="3"/>
  <c r="AW40" i="3"/>
  <c r="AU64" i="3"/>
  <c r="AV58" i="3"/>
  <c r="AX57" i="3"/>
  <c r="AV52" i="3"/>
  <c r="AX51" i="3"/>
  <c r="AV46" i="3"/>
  <c r="AX45" i="3"/>
  <c r="AW73" i="3"/>
  <c r="AU62" i="3"/>
  <c r="AW61" i="3"/>
  <c r="AU56" i="3"/>
  <c r="AW55" i="3"/>
  <c r="AU50" i="3"/>
  <c r="AW49" i="3"/>
  <c r="AU44" i="3"/>
  <c r="AW43" i="3"/>
  <c r="AU80" i="3"/>
  <c r="AV69" i="3"/>
  <c r="AX68" i="3"/>
  <c r="AU65" i="3"/>
  <c r="AX63" i="3"/>
  <c r="AV61" i="3"/>
  <c r="AX60" i="3"/>
  <c r="AV55" i="3"/>
  <c r="AX54" i="3"/>
  <c r="AV49" i="3"/>
  <c r="AX48" i="3"/>
  <c r="AV43" i="3"/>
  <c r="AX42" i="3"/>
  <c r="AW87" i="3"/>
  <c r="AU68" i="3"/>
  <c r="AX53" i="3"/>
  <c r="AX49" i="3"/>
  <c r="AU48" i="3"/>
  <c r="AU39" i="3"/>
  <c r="AU35" i="3"/>
  <c r="AW34" i="3"/>
  <c r="AU29" i="3"/>
  <c r="AW28" i="3"/>
  <c r="AU23" i="3"/>
  <c r="AW22" i="3"/>
  <c r="AW53" i="3"/>
  <c r="AV50" i="3"/>
  <c r="AU49" i="3"/>
  <c r="AV34" i="3"/>
  <c r="AX33" i="3"/>
  <c r="AV28" i="3"/>
  <c r="AX27" i="3"/>
  <c r="AV22" i="3"/>
  <c r="AX21" i="3"/>
  <c r="AV16" i="3"/>
  <c r="AU34" i="3"/>
  <c r="AW33" i="3"/>
  <c r="AU28" i="3"/>
  <c r="AW27" i="3"/>
  <c r="AU22" i="3"/>
  <c r="AW21" i="3"/>
  <c r="AU69" i="3"/>
  <c r="AU61" i="3"/>
  <c r="AX44" i="3"/>
  <c r="AV33" i="3"/>
  <c r="AV169" i="3"/>
  <c r="AV142" i="3"/>
  <c r="AW147" i="3"/>
  <c r="AX158" i="3"/>
  <c r="AW164" i="3"/>
  <c r="AW152" i="3"/>
  <c r="AW173" i="3"/>
  <c r="AU152" i="3"/>
  <c r="AV160" i="3"/>
  <c r="AV144" i="3"/>
  <c r="AW146" i="3"/>
  <c r="AX131" i="3"/>
  <c r="AW172" i="3"/>
  <c r="AU158" i="3"/>
  <c r="AU143" i="3"/>
  <c r="AV147" i="3"/>
  <c r="AW132" i="3"/>
  <c r="AX137" i="3"/>
  <c r="AX125" i="3"/>
  <c r="AX174" i="3"/>
  <c r="AV176" i="3"/>
  <c r="AU164" i="3"/>
  <c r="AW163" i="3"/>
  <c r="AV163" i="3"/>
  <c r="AV170" i="3"/>
  <c r="AU159" i="3"/>
  <c r="AU170" i="3"/>
  <c r="AV148" i="3"/>
  <c r="AX161" i="3"/>
  <c r="AU148" i="3"/>
  <c r="AV161" i="3"/>
  <c r="AW166" i="3"/>
  <c r="AW158" i="3"/>
  <c r="AW165" i="3"/>
  <c r="AV158" i="3"/>
  <c r="AU166" i="3"/>
  <c r="AW157" i="3"/>
  <c r="AU136" i="3"/>
  <c r="AU157" i="3"/>
  <c r="AU146" i="3"/>
  <c r="AW126" i="3"/>
  <c r="AW133" i="3"/>
  <c r="AU139" i="3"/>
  <c r="AW169" i="3"/>
  <c r="AW154" i="3"/>
  <c r="AV154" i="3"/>
  <c r="AX147" i="3"/>
  <c r="AW153" i="3"/>
  <c r="AX164" i="3"/>
  <c r="AX152" i="3"/>
  <c r="AU161" i="3"/>
  <c r="AV166" i="3"/>
  <c r="AX160" i="3"/>
  <c r="AV165" i="3"/>
  <c r="AV157" i="3"/>
  <c r="AW135" i="3"/>
  <c r="AV141" i="3"/>
  <c r="AU127" i="3"/>
  <c r="AV139" i="3"/>
  <c r="AV126" i="3"/>
  <c r="AV133" i="3"/>
  <c r="AX162" i="3"/>
  <c r="AV159" i="3"/>
  <c r="AV155" i="3"/>
  <c r="AX154" i="3"/>
  <c r="AV149" i="3"/>
  <c r="AX148" i="3"/>
  <c r="AV143" i="3"/>
  <c r="AX142" i="3"/>
  <c r="AU167" i="3"/>
  <c r="AU155" i="3"/>
  <c r="AX169" i="3"/>
  <c r="AX153" i="3"/>
  <c r="AU154" i="3"/>
  <c r="AU142" i="3"/>
  <c r="AV153" i="3"/>
  <c r="AX165" i="3"/>
  <c r="AU153" i="3"/>
  <c r="AV164" i="3"/>
  <c r="AX157" i="3"/>
  <c r="AW160" i="3"/>
  <c r="AW151" i="3"/>
  <c r="AW141" i="3"/>
  <c r="AX145" i="3"/>
  <c r="AX133" i="3"/>
  <c r="AV156" i="3"/>
  <c r="AV132" i="3"/>
  <c r="AX138" i="3"/>
  <c r="AW122" i="3"/>
  <c r="AV121" i="3"/>
  <c r="AX120" i="3"/>
  <c r="AX127" i="3"/>
  <c r="AX114" i="3"/>
  <c r="AV112" i="3"/>
  <c r="AX106" i="3"/>
  <c r="AV101" i="3"/>
  <c r="AX100" i="3"/>
  <c r="AV127" i="3"/>
  <c r="AX124" i="3"/>
  <c r="AX122" i="3"/>
  <c r="AW114" i="3"/>
  <c r="AW129" i="3"/>
  <c r="AV124" i="3"/>
  <c r="AX123" i="3"/>
  <c r="AV122" i="3"/>
  <c r="AW121" i="3"/>
  <c r="AU114" i="3"/>
  <c r="AV106" i="3"/>
  <c r="AX105" i="3"/>
  <c r="AU4" i="3"/>
  <c r="AU13" i="3"/>
  <c r="AV23" i="3"/>
  <c r="AW68" i="3"/>
  <c r="AU179" i="3"/>
  <c r="AU198" i="3"/>
  <c r="AX196" i="3"/>
  <c r="AX186" i="3"/>
  <c r="AW182" i="3"/>
  <c r="AX179" i="3"/>
  <c r="AV173" i="3"/>
  <c r="AV167" i="3"/>
  <c r="AV172" i="3"/>
  <c r="AX193" i="3"/>
  <c r="AX177" i="3"/>
  <c r="AW171" i="3"/>
  <c r="AX181" i="3"/>
  <c r="AX176" i="3"/>
  <c r="AW181" i="3"/>
  <c r="AV177" i="3"/>
  <c r="AV183" i="3"/>
  <c r="AU188" i="3"/>
  <c r="AV182" i="3"/>
  <c r="AU182" i="3"/>
  <c r="AV179" i="3"/>
  <c r="AX178" i="3"/>
  <c r="AV185" i="3"/>
  <c r="AW184" i="3"/>
  <c r="AW178" i="3"/>
  <c r="AV198" i="3"/>
  <c r="AX191" i="3"/>
  <c r="AU184" i="3"/>
  <c r="AW183" i="3"/>
  <c r="AW191" i="3"/>
  <c r="AX190" i="3"/>
  <c r="AV191" i="3"/>
  <c r="AU183" i="3"/>
  <c r="AU192" i="3"/>
  <c r="AU178" i="3"/>
  <c r="AX172" i="3"/>
  <c r="AU173" i="3"/>
  <c r="AX171" i="3"/>
  <c r="AV180" i="3"/>
  <c r="AU172" i="3"/>
  <c r="AW186" i="3"/>
  <c r="AW177" i="3"/>
  <c r="AV186" i="3"/>
  <c r="AX183" i="3"/>
  <c r="AW176" i="3"/>
  <c r="AV188" i="3"/>
  <c r="AX182" i="3"/>
  <c r="AV184" i="3"/>
  <c r="AU176" i="3"/>
  <c r="AV175" i="3"/>
  <c r="AX140" i="3"/>
  <c r="AU165" i="3"/>
  <c r="AU160" i="3"/>
  <c r="AX155" i="3"/>
  <c r="AU147" i="3"/>
  <c r="AW145" i="3"/>
  <c r="AW142" i="3"/>
  <c r="AU141" i="3"/>
  <c r="AW140" i="3"/>
  <c r="AV145" i="3"/>
  <c r="AV140" i="3"/>
  <c r="AX139" i="3"/>
  <c r="AV134" i="3"/>
  <c r="AX163" i="3"/>
  <c r="AX159" i="3"/>
  <c r="AU145" i="3"/>
  <c r="AU140" i="3"/>
  <c r="AW139" i="3"/>
  <c r="AV152" i="3"/>
  <c r="AX150" i="3"/>
  <c r="AX146" i="3"/>
  <c r="AW174" i="3"/>
  <c r="AX156" i="3"/>
  <c r="AV150" i="3"/>
  <c r="AX149" i="3"/>
  <c r="AV146" i="3"/>
  <c r="AW156" i="3"/>
  <c r="AX151" i="3"/>
  <c r="AU149" i="3"/>
  <c r="AX101" i="3"/>
  <c r="AX110" i="3"/>
  <c r="AX97" i="3"/>
  <c r="AU93" i="3"/>
  <c r="AW92" i="3"/>
  <c r="AU87" i="3"/>
  <c r="AW86" i="3"/>
  <c r="AW110" i="3"/>
  <c r="AU110" i="3"/>
  <c r="AV105" i="3"/>
  <c r="AV104" i="3"/>
  <c r="AW103" i="3"/>
  <c r="AW102" i="3"/>
  <c r="AU101" i="3"/>
  <c r="AV97" i="3"/>
  <c r="AU92" i="3"/>
  <c r="AW91" i="3"/>
  <c r="AX108" i="3"/>
  <c r="AU104" i="3"/>
  <c r="AV103" i="3"/>
  <c r="AU102" i="3"/>
  <c r="AV99" i="3"/>
  <c r="AU97" i="3"/>
  <c r="AV91" i="3"/>
  <c r="AU108" i="3"/>
  <c r="AU103" i="3"/>
  <c r="AU91" i="3"/>
  <c r="AW90" i="3"/>
  <c r="AW106" i="3"/>
  <c r="AV111" i="3"/>
  <c r="AX98" i="3"/>
  <c r="AW96" i="3"/>
  <c r="AV95" i="3"/>
  <c r="AX94" i="3"/>
  <c r="AV89" i="3"/>
  <c r="AU120" i="3"/>
  <c r="AU116" i="3"/>
  <c r="AW113" i="3"/>
  <c r="AU58" i="3"/>
  <c r="AW57" i="3"/>
  <c r="AU52" i="3"/>
  <c r="AW51" i="3"/>
  <c r="AU46" i="3"/>
  <c r="AW45" i="3"/>
  <c r="AU40" i="3"/>
  <c r="AW39" i="3"/>
  <c r="AX62" i="3"/>
  <c r="AV57" i="3"/>
  <c r="AX56" i="3"/>
  <c r="AV51" i="3"/>
  <c r="AX50" i="3"/>
  <c r="AW97" i="3"/>
  <c r="AX74" i="3"/>
  <c r="AX67" i="3"/>
  <c r="AW62" i="3"/>
  <c r="AU57" i="3"/>
  <c r="AW56" i="3"/>
  <c r="AU51" i="3"/>
  <c r="AW50" i="3"/>
  <c r="AU45" i="3"/>
  <c r="AW44" i="3"/>
  <c r="AU94" i="3"/>
  <c r="AX90" i="3"/>
  <c r="AW74" i="3"/>
  <c r="AW67" i="3"/>
  <c r="AV62" i="3"/>
  <c r="AX61" i="3"/>
  <c r="AV56" i="3"/>
  <c r="AX55" i="3"/>
  <c r="AW79" i="3"/>
  <c r="AU74" i="3"/>
  <c r="AW69" i="3"/>
  <c r="AV65" i="3"/>
  <c r="AU38" i="3"/>
  <c r="AX22" i="3"/>
  <c r="AX18" i="3"/>
  <c r="AW20" i="3"/>
  <c r="AU9" i="3"/>
  <c r="AV7" i="3"/>
  <c r="AX3" i="3"/>
  <c r="AX6" i="3"/>
  <c r="AX16" i="3"/>
  <c r="AW3" i="3"/>
  <c r="AW15" i="3"/>
  <c r="AV39" i="3"/>
  <c r="AV37" i="3"/>
  <c r="AX34" i="3"/>
  <c r="AU3" i="3"/>
  <c r="AU60" i="3"/>
  <c r="AW12" i="3"/>
  <c r="AX12" i="3"/>
  <c r="AW9" i="3"/>
  <c r="AW6" i="3"/>
  <c r="AU2" i="3"/>
  <c r="CC131" i="3" s="1"/>
  <c r="DC131" i="3" s="1"/>
  <c r="AV2" i="3"/>
  <c r="CD179" i="3" s="1"/>
  <c r="DD179" i="3" s="1"/>
  <c r="AW2" i="3"/>
  <c r="CE145" i="3" s="1"/>
  <c r="DE145" i="3" s="1"/>
  <c r="AX2" i="3"/>
  <c r="CF116" i="3" s="1"/>
  <c r="DF116" i="3" s="1"/>
  <c r="AU197" i="3"/>
  <c r="AW196" i="3"/>
  <c r="AU191" i="3"/>
  <c r="AW190" i="3"/>
  <c r="AV196" i="3"/>
  <c r="AX195" i="3"/>
  <c r="AV190" i="3"/>
  <c r="AX189" i="3"/>
  <c r="AU196" i="3"/>
  <c r="AW195" i="3"/>
  <c r="AU190" i="3"/>
  <c r="AW189" i="3"/>
  <c r="AX200" i="3"/>
  <c r="AV195" i="3"/>
  <c r="AX194" i="3"/>
  <c r="AV189" i="3"/>
  <c r="AX188" i="3"/>
  <c r="AW200" i="3"/>
  <c r="AU195" i="3"/>
  <c r="AW194" i="3"/>
  <c r="AU189" i="3"/>
  <c r="AW188" i="3"/>
  <c r="AV200" i="3"/>
  <c r="AX199" i="3"/>
  <c r="AV194" i="3"/>
  <c r="AU200" i="3"/>
  <c r="AW199" i="3"/>
  <c r="AU194" i="3"/>
  <c r="AW193" i="3"/>
  <c r="AV199" i="3"/>
  <c r="AX198" i="3"/>
  <c r="AV193" i="3"/>
  <c r="AX192" i="3"/>
  <c r="AU199" i="3"/>
  <c r="AW198" i="3"/>
  <c r="AU193" i="3"/>
  <c r="AW192" i="3"/>
  <c r="AU186" i="3"/>
  <c r="AV181" i="3"/>
  <c r="AX180" i="3"/>
  <c r="AX197" i="3"/>
  <c r="AX187" i="3"/>
  <c r="AU181" i="3"/>
  <c r="AW180" i="3"/>
  <c r="AW197" i="3"/>
  <c r="AW187" i="3"/>
  <c r="AV197" i="3"/>
  <c r="AV187" i="3"/>
  <c r="AX185" i="3"/>
  <c r="AU180" i="3"/>
  <c r="AW179" i="3"/>
  <c r="AU187" i="3"/>
  <c r="AW185" i="3"/>
  <c r="AX184" i="3"/>
  <c r="AU169" i="3"/>
  <c r="AX168" i="3"/>
  <c r="AU163" i="3"/>
  <c r="AW162" i="3"/>
  <c r="AX175" i="3"/>
  <c r="AW168" i="3"/>
  <c r="AV178" i="3"/>
  <c r="AW175" i="3"/>
  <c r="AV168" i="3"/>
  <c r="AU162" i="3"/>
  <c r="AW161" i="3"/>
  <c r="AU175" i="3"/>
  <c r="AU168" i="3"/>
  <c r="AX166" i="3"/>
  <c r="AU177" i="3"/>
  <c r="AV171" i="3"/>
  <c r="AX170" i="3"/>
  <c r="AX173" i="3"/>
  <c r="AU171" i="3"/>
  <c r="AW170" i="3"/>
  <c r="AU185" i="3"/>
  <c r="AV174" i="3"/>
  <c r="AX167" i="3"/>
  <c r="AW159" i="3"/>
  <c r="AU156" i="3"/>
  <c r="AW155" i="3"/>
  <c r="AU150" i="3"/>
  <c r="AW149" i="3"/>
  <c r="AU144" i="3"/>
  <c r="AW143" i="3"/>
  <c r="AU174" i="3"/>
  <c r="AW167" i="3"/>
  <c r="AV162" i="3"/>
  <c r="AX37" i="3"/>
  <c r="AX36" i="3"/>
  <c r="AV31" i="3"/>
  <c r="AX30" i="3"/>
  <c r="AV25" i="3"/>
  <c r="AX24" i="3"/>
  <c r="AX47" i="3"/>
  <c r="AW42" i="3"/>
  <c r="AV38" i="3"/>
  <c r="AW37" i="3"/>
  <c r="AW36" i="3"/>
  <c r="AU31" i="3"/>
  <c r="AW30" i="3"/>
  <c r="AU25" i="3"/>
  <c r="AW24" i="3"/>
  <c r="AU19" i="3"/>
  <c r="AW18" i="3"/>
  <c r="AV60" i="3"/>
  <c r="AW48" i="3"/>
  <c r="AX43" i="3"/>
  <c r="AU42" i="3"/>
  <c r="AW41" i="3"/>
  <c r="AV40" i="3"/>
  <c r="AX39" i="3"/>
  <c r="AU37" i="3"/>
  <c r="AU36" i="3"/>
  <c r="AW35" i="3"/>
  <c r="AU30" i="3"/>
  <c r="AW29" i="3"/>
  <c r="AU24" i="3"/>
  <c r="AV30" i="3"/>
  <c r="AW16" i="3"/>
  <c r="AV12" i="3"/>
  <c r="AX11" i="3"/>
  <c r="AV6" i="3"/>
  <c r="AX5" i="3"/>
  <c r="AV48" i="3"/>
  <c r="AV36" i="3"/>
  <c r="AX35" i="3"/>
  <c r="AX17" i="3"/>
  <c r="AU16" i="3"/>
  <c r="AU12" i="3"/>
  <c r="AW11" i="3"/>
  <c r="AU6" i="3"/>
  <c r="AW5" i="3"/>
  <c r="AV35" i="3"/>
  <c r="AX25" i="3"/>
  <c r="AW17" i="3"/>
  <c r="AV11" i="3"/>
  <c r="AX10" i="3"/>
  <c r="CC128" i="3"/>
  <c r="DC128" i="3" s="1"/>
  <c r="CC94" i="3"/>
  <c r="DC94" i="3" s="1"/>
  <c r="CC161" i="3"/>
  <c r="DC161" i="3" s="1"/>
  <c r="CC163" i="3"/>
  <c r="DC163" i="3" s="1"/>
  <c r="CC76" i="3"/>
  <c r="DC76" i="3" s="1"/>
  <c r="CJ179" i="3"/>
  <c r="CQ179" i="3" s="1"/>
  <c r="CJ30" i="3"/>
  <c r="CQ30" i="3" s="1"/>
  <c r="CJ133" i="3"/>
  <c r="CQ133" i="3" s="1"/>
  <c r="CJ73" i="3"/>
  <c r="CQ73" i="3" s="1"/>
  <c r="CJ44" i="3"/>
  <c r="CQ44" i="3" s="1"/>
  <c r="CJ8" i="3"/>
  <c r="CQ8" i="3" s="1"/>
  <c r="CJ195" i="3"/>
  <c r="CQ195" i="3" s="1"/>
  <c r="CJ46" i="3"/>
  <c r="CQ46" i="3" s="1"/>
  <c r="CJ10" i="3"/>
  <c r="CQ10" i="3" s="1"/>
  <c r="CJ197" i="3"/>
  <c r="CQ197" i="3" s="1"/>
  <c r="CJ180" i="3"/>
  <c r="CQ180" i="3" s="1"/>
  <c r="CJ60" i="3"/>
  <c r="CQ60" i="3" s="1"/>
  <c r="CJ48" i="3"/>
  <c r="CQ48" i="3" s="1"/>
  <c r="CJ31" i="3"/>
  <c r="CQ31" i="3" s="1"/>
  <c r="CJ182" i="3"/>
  <c r="CQ182" i="3" s="1"/>
  <c r="CJ122" i="3"/>
  <c r="CQ122" i="3" s="1"/>
  <c r="CJ69" i="3"/>
  <c r="CQ69" i="3" s="1"/>
  <c r="CJ45" i="3"/>
  <c r="CQ45" i="3" s="1"/>
  <c r="CJ33" i="3"/>
  <c r="CQ33" i="3" s="1"/>
  <c r="CI160" i="3"/>
  <c r="CP160" i="3" s="1"/>
  <c r="CI136" i="3"/>
  <c r="CP136" i="3" s="1"/>
  <c r="CI124" i="3"/>
  <c r="CP124" i="3" s="1"/>
  <c r="CI112" i="3"/>
  <c r="CP112" i="3" s="1"/>
  <c r="CI88" i="3"/>
  <c r="CP88" i="3" s="1"/>
  <c r="CI76" i="3"/>
  <c r="CP76" i="3" s="1"/>
  <c r="CI16" i="3"/>
  <c r="CP16" i="3" s="1"/>
  <c r="CI191" i="3"/>
  <c r="CP191" i="3" s="1"/>
  <c r="CI167" i="3"/>
  <c r="CP167" i="3" s="1"/>
  <c r="CI155" i="3"/>
  <c r="CP155" i="3" s="1"/>
  <c r="CI143" i="3"/>
  <c r="CP143" i="3" s="1"/>
  <c r="CI131" i="3"/>
  <c r="CP131" i="3" s="1"/>
  <c r="CI71" i="3"/>
  <c r="CP71" i="3" s="1"/>
  <c r="CI47" i="3"/>
  <c r="CP47" i="3" s="1"/>
  <c r="CI23" i="3"/>
  <c r="CP23" i="3" s="1"/>
  <c r="CI11" i="3"/>
  <c r="CP11" i="3" s="1"/>
  <c r="CI198" i="3"/>
  <c r="CP198" i="3" s="1"/>
  <c r="CI186" i="3"/>
  <c r="CP186" i="3" s="1"/>
  <c r="CI102" i="3"/>
  <c r="CP102" i="3" s="1"/>
  <c r="CI90" i="3"/>
  <c r="CP90" i="3" s="1"/>
  <c r="CI78" i="3"/>
  <c r="CP78" i="3" s="1"/>
  <c r="CI66" i="3"/>
  <c r="CP66" i="3" s="1"/>
  <c r="CI54" i="3"/>
  <c r="CP54" i="3" s="1"/>
  <c r="CI42" i="3"/>
  <c r="CP42" i="3" s="1"/>
  <c r="CI157" i="3"/>
  <c r="CP157" i="3" s="1"/>
  <c r="CI145" i="3"/>
  <c r="CP145" i="3" s="1"/>
  <c r="CI133" i="3"/>
  <c r="CP133" i="3" s="1"/>
  <c r="CI121" i="3"/>
  <c r="CP121" i="3" s="1"/>
  <c r="CI97" i="3"/>
  <c r="CP97" i="3" s="1"/>
  <c r="CI37" i="3"/>
  <c r="CP37" i="3" s="1"/>
  <c r="CI13" i="3"/>
  <c r="CP13" i="3" s="1"/>
  <c r="CI200" i="3"/>
  <c r="CP200" i="3" s="1"/>
  <c r="CI188" i="3"/>
  <c r="CP188" i="3" s="1"/>
  <c r="CI176" i="3"/>
  <c r="CP176" i="3" s="1"/>
  <c r="CI152" i="3"/>
  <c r="CP152" i="3" s="1"/>
  <c r="CI92" i="3"/>
  <c r="CP92" i="3" s="1"/>
  <c r="CI68" i="3"/>
  <c r="CP68" i="3" s="1"/>
  <c r="CI56" i="3"/>
  <c r="CP56" i="3" s="1"/>
  <c r="CI32" i="3"/>
  <c r="CP32" i="3" s="1"/>
  <c r="CI20" i="3"/>
  <c r="CP20" i="3" s="1"/>
  <c r="CI8" i="3"/>
  <c r="CP8" i="3" s="1"/>
  <c r="CI147" i="3"/>
  <c r="CP147" i="3" s="1"/>
  <c r="CI123" i="3"/>
  <c r="CP123" i="3" s="1"/>
  <c r="CI111" i="3"/>
  <c r="CP111" i="3" s="1"/>
  <c r="CI87" i="3"/>
  <c r="CP87" i="3" s="1"/>
  <c r="CI75" i="3"/>
  <c r="CP75" i="3" s="1"/>
  <c r="CI63" i="3"/>
  <c r="CP63" i="3" s="1"/>
  <c r="CI3" i="3"/>
  <c r="CP3" i="3" s="1"/>
  <c r="CI166" i="3"/>
  <c r="CP166" i="3" s="1"/>
  <c r="CI154" i="3"/>
  <c r="CP154" i="3" s="1"/>
  <c r="CI142" i="3"/>
  <c r="CP142" i="3" s="1"/>
  <c r="CI130" i="3"/>
  <c r="CP130" i="3" s="1"/>
  <c r="CI118" i="3"/>
  <c r="CP118" i="3" s="1"/>
  <c r="CI58" i="3"/>
  <c r="CP58" i="3" s="1"/>
  <c r="CI22" i="3"/>
  <c r="CP22" i="3" s="1"/>
  <c r="CI10" i="3"/>
  <c r="CP10" i="3" s="1"/>
  <c r="CI197" i="3"/>
  <c r="CP197" i="3" s="1"/>
  <c r="CI185" i="3"/>
  <c r="CP185" i="3" s="1"/>
  <c r="CI113" i="3"/>
  <c r="CP113" i="3" s="1"/>
  <c r="CI89" i="3"/>
  <c r="CP89" i="3" s="1"/>
  <c r="CI77" i="3"/>
  <c r="CP77" i="3" s="1"/>
  <c r="CI65" i="3"/>
  <c r="CP65" i="3" s="1"/>
  <c r="CI53" i="3"/>
  <c r="CP53" i="3" s="1"/>
  <c r="CI41" i="3"/>
  <c r="CP41" i="3" s="1"/>
  <c r="CI168" i="3"/>
  <c r="CP168" i="3" s="1"/>
  <c r="CI144" i="3"/>
  <c r="CP144" i="3" s="1"/>
  <c r="CI132" i="3"/>
  <c r="CP132" i="3" s="1"/>
  <c r="CI120" i="3"/>
  <c r="CP120" i="3" s="1"/>
  <c r="CI108" i="3"/>
  <c r="CP108" i="3" s="1"/>
  <c r="CI96" i="3"/>
  <c r="CP96" i="3" s="1"/>
  <c r="CI84" i="3"/>
  <c r="CP84" i="3" s="1"/>
  <c r="CI48" i="3"/>
  <c r="CP48" i="3" s="1"/>
  <c r="CI24" i="3"/>
  <c r="CP24" i="3" s="1"/>
  <c r="CI12" i="3"/>
  <c r="CP12" i="3" s="1"/>
  <c r="CI199" i="3"/>
  <c r="CP199" i="3" s="1"/>
  <c r="CI175" i="3"/>
  <c r="CP175" i="3" s="1"/>
  <c r="CI163" i="3"/>
  <c r="CP163" i="3" s="1"/>
  <c r="CI151" i="3"/>
  <c r="CP151" i="3" s="1"/>
  <c r="CI139" i="3"/>
  <c r="CP139" i="3" s="1"/>
  <c r="CI103" i="3"/>
  <c r="CP103" i="3" s="1"/>
  <c r="CI79" i="3"/>
  <c r="CP79" i="3" s="1"/>
  <c r="CI67" i="3"/>
  <c r="CP67" i="3" s="1"/>
  <c r="CI55" i="3"/>
  <c r="CP55" i="3" s="1"/>
  <c r="CI43" i="3"/>
  <c r="CP43" i="3" s="1"/>
  <c r="CI31" i="3"/>
  <c r="CP31" i="3" s="1"/>
  <c r="CI19" i="3"/>
  <c r="CP19" i="3" s="1"/>
  <c r="CI194" i="3"/>
  <c r="CP194" i="3" s="1"/>
  <c r="CI158" i="3"/>
  <c r="CP158" i="3" s="1"/>
  <c r="CI134" i="3"/>
  <c r="CP134" i="3" s="1"/>
  <c r="CI122" i="3"/>
  <c r="CP122" i="3" s="1"/>
  <c r="CI110" i="3"/>
  <c r="CP110" i="3" s="1"/>
  <c r="CI98" i="3"/>
  <c r="CP98" i="3" s="1"/>
  <c r="CI86" i="3"/>
  <c r="CP86" i="3" s="1"/>
  <c r="CI74" i="3"/>
  <c r="CP74" i="3" s="1"/>
  <c r="CI62" i="3"/>
  <c r="CP62" i="3" s="1"/>
  <c r="CI50" i="3"/>
  <c r="CP50" i="3" s="1"/>
  <c r="CI14" i="3"/>
  <c r="CP14" i="3" s="1"/>
  <c r="CI9" i="3"/>
  <c r="CP9" i="3" s="1"/>
  <c r="CI93" i="3"/>
  <c r="CP93" i="3" s="1"/>
  <c r="CI33" i="3"/>
  <c r="CP33" i="3" s="1"/>
  <c r="CI117" i="3"/>
  <c r="CP117" i="3" s="1"/>
  <c r="CI177" i="3"/>
  <c r="CP177" i="3" s="1"/>
  <c r="CI57" i="3"/>
  <c r="CP57" i="3" s="1"/>
  <c r="CI141" i="3"/>
  <c r="CP141" i="3" s="1"/>
  <c r="CI165" i="3"/>
  <c r="CP165" i="3" s="1"/>
  <c r="CI105" i="3"/>
  <c r="CP105" i="3" s="1"/>
  <c r="CI45" i="3"/>
  <c r="CP45" i="3" s="1"/>
  <c r="CI129" i="3"/>
  <c r="CP129" i="3" s="1"/>
  <c r="CC2" i="3"/>
  <c r="DC2" i="3" s="1"/>
  <c r="CC47" i="3" l="1"/>
  <c r="DC47" i="3" s="1"/>
  <c r="CJ57" i="3"/>
  <c r="CQ57" i="3" s="1"/>
  <c r="CJ19" i="3"/>
  <c r="CQ19" i="3" s="1"/>
  <c r="CJ84" i="3"/>
  <c r="CQ84" i="3" s="1"/>
  <c r="CJ22" i="3"/>
  <c r="CQ22" i="3" s="1"/>
  <c r="CJ32" i="3"/>
  <c r="CQ32" i="3" s="1"/>
  <c r="CJ193" i="3"/>
  <c r="CQ193" i="3" s="1"/>
  <c r="CJ16" i="3"/>
  <c r="CQ16" i="3" s="1"/>
  <c r="CJ93" i="3"/>
  <c r="CQ93" i="3" s="1"/>
  <c r="CJ55" i="3"/>
  <c r="CQ55" i="3" s="1"/>
  <c r="CJ192" i="3"/>
  <c r="CQ192" i="3" s="1"/>
  <c r="CJ94" i="3"/>
  <c r="CQ94" i="3" s="1"/>
  <c r="CJ56" i="3"/>
  <c r="CQ56" i="3" s="1"/>
  <c r="CJ78" i="3"/>
  <c r="CQ78" i="3" s="1"/>
  <c r="CJ160" i="3"/>
  <c r="CQ160" i="3" s="1"/>
  <c r="CJ141" i="3"/>
  <c r="CQ141" i="3" s="1"/>
  <c r="CJ67" i="3"/>
  <c r="CQ67" i="3" s="1"/>
  <c r="CJ5" i="3"/>
  <c r="CQ5" i="3" s="1"/>
  <c r="CJ166" i="3"/>
  <c r="CQ166" i="3" s="1"/>
  <c r="CJ68" i="3"/>
  <c r="CQ68" i="3" s="1"/>
  <c r="CJ90" i="3"/>
  <c r="CQ90" i="3" s="1"/>
  <c r="CI173" i="3"/>
  <c r="CP173" i="3" s="1"/>
  <c r="CI178" i="3"/>
  <c r="CP178" i="3" s="1"/>
  <c r="CI44" i="3"/>
  <c r="CP44" i="3" s="1"/>
  <c r="CI109" i="3"/>
  <c r="CP109" i="3" s="1"/>
  <c r="CI126" i="3"/>
  <c r="CP126" i="3" s="1"/>
  <c r="CI179" i="3"/>
  <c r="CP179" i="3" s="1"/>
  <c r="CJ76" i="3"/>
  <c r="CQ76" i="3" s="1"/>
  <c r="CJ196" i="3"/>
  <c r="CQ196" i="3" s="1"/>
  <c r="CJ79" i="3"/>
  <c r="CQ79" i="3" s="1"/>
  <c r="CJ17" i="3"/>
  <c r="CQ17" i="3" s="1"/>
  <c r="CJ178" i="3"/>
  <c r="CQ178" i="3" s="1"/>
  <c r="CJ92" i="3"/>
  <c r="CQ92" i="3" s="1"/>
  <c r="CJ102" i="3"/>
  <c r="CQ102" i="3" s="1"/>
  <c r="CC11" i="3"/>
  <c r="DC11" i="3" s="1"/>
  <c r="CJ136" i="3"/>
  <c r="CQ136" i="3" s="1"/>
  <c r="CJ14" i="3"/>
  <c r="CQ14" i="3" s="1"/>
  <c r="CJ103" i="3"/>
  <c r="CQ103" i="3" s="1"/>
  <c r="CJ3" i="3"/>
  <c r="CQ3" i="3" s="1"/>
  <c r="CJ200" i="3"/>
  <c r="CQ200" i="3" s="1"/>
  <c r="CJ138" i="3"/>
  <c r="CQ138" i="3" s="1"/>
  <c r="CJ29" i="3"/>
  <c r="CQ29" i="3" s="1"/>
  <c r="CJ52" i="3"/>
  <c r="CQ52" i="3" s="1"/>
  <c r="CJ26" i="3"/>
  <c r="CQ26" i="3" s="1"/>
  <c r="CJ187" i="3"/>
  <c r="CQ187" i="3" s="1"/>
  <c r="CJ53" i="3"/>
  <c r="CQ53" i="3" s="1"/>
  <c r="CJ39" i="3"/>
  <c r="CQ39" i="3" s="1"/>
  <c r="CJ13" i="3"/>
  <c r="CQ13" i="3" s="1"/>
  <c r="CJ47" i="3"/>
  <c r="CQ47" i="3" s="1"/>
  <c r="CJ112" i="3"/>
  <c r="CQ112" i="3" s="1"/>
  <c r="CJ50" i="3"/>
  <c r="CQ50" i="3" s="1"/>
  <c r="CJ12" i="3"/>
  <c r="CQ12" i="3" s="1"/>
  <c r="CJ89" i="3"/>
  <c r="CQ89" i="3" s="1"/>
  <c r="CJ51" i="3"/>
  <c r="CQ51" i="3" s="1"/>
  <c r="CJ25" i="3"/>
  <c r="CQ25" i="3" s="1"/>
  <c r="CJ71" i="3"/>
  <c r="CQ71" i="3" s="1"/>
  <c r="CJ24" i="3"/>
  <c r="CQ24" i="3" s="1"/>
  <c r="CJ83" i="3"/>
  <c r="CQ83" i="3" s="1"/>
  <c r="CJ4" i="3"/>
  <c r="CQ4" i="3" s="1"/>
  <c r="CJ74" i="3"/>
  <c r="CQ74" i="3" s="1"/>
  <c r="CJ161" i="3"/>
  <c r="CQ161" i="3" s="1"/>
  <c r="CJ63" i="3"/>
  <c r="CQ63" i="3" s="1"/>
  <c r="CJ37" i="3"/>
  <c r="CQ37" i="3" s="1"/>
  <c r="CD2" i="3"/>
  <c r="DD2" i="3" s="1"/>
  <c r="CI153" i="3"/>
  <c r="CP153" i="3" s="1"/>
  <c r="CI7" i="3"/>
  <c r="CP7" i="3" s="1"/>
  <c r="CI187" i="3"/>
  <c r="CP187" i="3" s="1"/>
  <c r="CI29" i="3"/>
  <c r="CP29" i="3" s="1"/>
  <c r="CI34" i="3"/>
  <c r="CP34" i="3" s="1"/>
  <c r="CI99" i="3"/>
  <c r="CP99" i="3" s="1"/>
  <c r="CI164" i="3"/>
  <c r="CP164" i="3" s="1"/>
  <c r="CI181" i="3"/>
  <c r="CP181" i="3" s="1"/>
  <c r="CI35" i="3"/>
  <c r="CP35" i="3" s="1"/>
  <c r="CI100" i="3"/>
  <c r="CP100" i="3" s="1"/>
  <c r="CJ21" i="3"/>
  <c r="CQ21" i="3" s="1"/>
  <c r="CJ98" i="3"/>
  <c r="CQ98" i="3" s="1"/>
  <c r="CJ36" i="3"/>
  <c r="CQ36" i="3" s="1"/>
  <c r="CJ173" i="3"/>
  <c r="CQ173" i="3" s="1"/>
  <c r="CJ99" i="3"/>
  <c r="CQ99" i="3" s="1"/>
  <c r="CJ49" i="3"/>
  <c r="CQ49" i="3" s="1"/>
  <c r="CJ119" i="3"/>
  <c r="CQ119" i="3" s="1"/>
  <c r="CJ6" i="3"/>
  <c r="CQ6" i="3" s="1"/>
  <c r="CJ59" i="3"/>
  <c r="CQ59" i="3" s="1"/>
  <c r="CC175" i="3"/>
  <c r="DC175" i="3" s="1"/>
  <c r="CI156" i="3"/>
  <c r="CP156" i="3" s="1"/>
  <c r="CI101" i="3"/>
  <c r="CP101" i="3" s="1"/>
  <c r="CI46" i="3"/>
  <c r="CP46" i="3" s="1"/>
  <c r="CI190" i="3"/>
  <c r="CP190" i="3" s="1"/>
  <c r="CI135" i="3"/>
  <c r="CP135" i="3" s="1"/>
  <c r="CI80" i="3"/>
  <c r="CP80" i="3" s="1"/>
  <c r="CI25" i="3"/>
  <c r="CP25" i="3" s="1"/>
  <c r="CI169" i="3"/>
  <c r="CP169" i="3" s="1"/>
  <c r="CI114" i="3"/>
  <c r="CP114" i="3" s="1"/>
  <c r="CI59" i="3"/>
  <c r="CP59" i="3" s="1"/>
  <c r="CI4" i="3"/>
  <c r="CP4" i="3" s="1"/>
  <c r="CI148" i="3"/>
  <c r="CP148" i="3" s="1"/>
  <c r="CJ28" i="3"/>
  <c r="CQ28" i="3" s="1"/>
  <c r="CJ105" i="3"/>
  <c r="CQ105" i="3" s="1"/>
  <c r="CJ110" i="3"/>
  <c r="CQ110" i="3" s="1"/>
  <c r="CJ91" i="3"/>
  <c r="CQ91" i="3" s="1"/>
  <c r="CJ72" i="3"/>
  <c r="CQ72" i="3" s="1"/>
  <c r="CJ65" i="3"/>
  <c r="CQ65" i="3" s="1"/>
  <c r="CJ82" i="3"/>
  <c r="CQ82" i="3" s="1"/>
  <c r="CJ87" i="3"/>
  <c r="CQ87" i="3" s="1"/>
  <c r="CJ80" i="3"/>
  <c r="CQ80" i="3" s="1"/>
  <c r="CJ121" i="3"/>
  <c r="CQ121" i="3" s="1"/>
  <c r="CJ126" i="3"/>
  <c r="CQ126" i="3" s="1"/>
  <c r="CK9" i="3"/>
  <c r="CR9" i="3" s="1"/>
  <c r="CC35" i="3"/>
  <c r="DC35" i="3" s="1"/>
  <c r="CI21" i="3"/>
  <c r="CP21" i="3" s="1"/>
  <c r="CI189" i="3"/>
  <c r="CP189" i="3" s="1"/>
  <c r="CI146" i="3"/>
  <c r="CP146" i="3" s="1"/>
  <c r="CI91" i="3"/>
  <c r="CP91" i="3" s="1"/>
  <c r="CI36" i="3"/>
  <c r="CP36" i="3" s="1"/>
  <c r="CI180" i="3"/>
  <c r="CP180" i="3" s="1"/>
  <c r="CI125" i="3"/>
  <c r="CP125" i="3" s="1"/>
  <c r="CI70" i="3"/>
  <c r="CP70" i="3" s="1"/>
  <c r="CI15" i="3"/>
  <c r="CP15" i="3" s="1"/>
  <c r="CI159" i="3"/>
  <c r="CP159" i="3" s="1"/>
  <c r="CI104" i="3"/>
  <c r="CP104" i="3" s="1"/>
  <c r="CI49" i="3"/>
  <c r="CP49" i="3" s="1"/>
  <c r="CI193" i="3"/>
  <c r="CP193" i="3" s="1"/>
  <c r="CI138" i="3"/>
  <c r="CP138" i="3" s="1"/>
  <c r="CI83" i="3"/>
  <c r="CP83" i="3" s="1"/>
  <c r="CI28" i="3"/>
  <c r="CP28" i="3" s="1"/>
  <c r="CI172" i="3"/>
  <c r="CP172" i="3" s="1"/>
  <c r="CJ148" i="3"/>
  <c r="CQ148" i="3" s="1"/>
  <c r="CJ153" i="3"/>
  <c r="CQ153" i="3" s="1"/>
  <c r="CJ134" i="3"/>
  <c r="CQ134" i="3" s="1"/>
  <c r="CJ115" i="3"/>
  <c r="CQ115" i="3" s="1"/>
  <c r="CJ108" i="3"/>
  <c r="CQ108" i="3" s="1"/>
  <c r="CJ101" i="3"/>
  <c r="CQ101" i="3" s="1"/>
  <c r="CJ106" i="3"/>
  <c r="CQ106" i="3" s="1"/>
  <c r="CJ111" i="3"/>
  <c r="CQ111" i="3" s="1"/>
  <c r="CJ116" i="3"/>
  <c r="CQ116" i="3" s="1"/>
  <c r="CJ145" i="3"/>
  <c r="CQ145" i="3" s="1"/>
  <c r="CJ150" i="3"/>
  <c r="CQ150" i="3" s="1"/>
  <c r="CC64" i="3"/>
  <c r="DC64" i="3" s="1"/>
  <c r="CD91" i="3"/>
  <c r="DD91" i="3" s="1"/>
  <c r="CI137" i="3"/>
  <c r="CP137" i="3" s="1"/>
  <c r="CI82" i="3"/>
  <c r="CP82" i="3" s="1"/>
  <c r="CI27" i="3"/>
  <c r="CP27" i="3" s="1"/>
  <c r="CI171" i="3"/>
  <c r="CP171" i="3" s="1"/>
  <c r="CI116" i="3"/>
  <c r="CP116" i="3" s="1"/>
  <c r="CI61" i="3"/>
  <c r="CP61" i="3" s="1"/>
  <c r="CI6" i="3"/>
  <c r="CP6" i="3" s="1"/>
  <c r="CI150" i="3"/>
  <c r="CP150" i="3" s="1"/>
  <c r="CI95" i="3"/>
  <c r="CP95" i="3" s="1"/>
  <c r="CI40" i="3"/>
  <c r="CP40" i="3" s="1"/>
  <c r="CI184" i="3"/>
  <c r="CP184" i="3" s="1"/>
  <c r="CJ40" i="3"/>
  <c r="CQ40" i="3" s="1"/>
  <c r="CJ165" i="3"/>
  <c r="CQ165" i="3" s="1"/>
  <c r="CJ146" i="3"/>
  <c r="CQ146" i="3" s="1"/>
  <c r="CJ127" i="3"/>
  <c r="CQ127" i="3" s="1"/>
  <c r="CJ132" i="3"/>
  <c r="CQ132" i="3" s="1"/>
  <c r="CJ125" i="3"/>
  <c r="CQ125" i="3" s="1"/>
  <c r="CJ118" i="3"/>
  <c r="CQ118" i="3" s="1"/>
  <c r="CJ123" i="3"/>
  <c r="CQ123" i="3" s="1"/>
  <c r="CJ152" i="3"/>
  <c r="CQ152" i="3" s="1"/>
  <c r="CJ157" i="3"/>
  <c r="CQ157" i="3" s="1"/>
  <c r="CJ162" i="3"/>
  <c r="CQ162" i="3" s="1"/>
  <c r="CC153" i="3"/>
  <c r="DC153" i="3" s="1"/>
  <c r="CI69" i="3"/>
  <c r="CP69" i="3" s="1"/>
  <c r="CI115" i="3"/>
  <c r="CP115" i="3" s="1"/>
  <c r="CI5" i="3"/>
  <c r="CP5" i="3" s="1"/>
  <c r="CI94" i="3"/>
  <c r="CP94" i="3" s="1"/>
  <c r="CI183" i="3"/>
  <c r="CP183" i="3" s="1"/>
  <c r="CI128" i="3"/>
  <c r="CP128" i="3" s="1"/>
  <c r="CI18" i="3"/>
  <c r="CP18" i="3" s="1"/>
  <c r="CI162" i="3"/>
  <c r="CP162" i="3" s="1"/>
  <c r="CI107" i="3"/>
  <c r="CP107" i="3" s="1"/>
  <c r="CI52" i="3"/>
  <c r="CP52" i="3" s="1"/>
  <c r="CI196" i="3"/>
  <c r="CP196" i="3" s="1"/>
  <c r="CJ124" i="3"/>
  <c r="CQ124" i="3" s="1"/>
  <c r="CJ177" i="3"/>
  <c r="CQ177" i="3" s="1"/>
  <c r="CJ158" i="3"/>
  <c r="CQ158" i="3" s="1"/>
  <c r="CJ139" i="3"/>
  <c r="CQ139" i="3" s="1"/>
  <c r="CJ144" i="3"/>
  <c r="CQ144" i="3" s="1"/>
  <c r="CJ137" i="3"/>
  <c r="CQ137" i="3" s="1"/>
  <c r="CJ142" i="3"/>
  <c r="CQ142" i="3" s="1"/>
  <c r="CJ135" i="3"/>
  <c r="CQ135" i="3" s="1"/>
  <c r="CJ176" i="3"/>
  <c r="CQ176" i="3" s="1"/>
  <c r="CJ169" i="3"/>
  <c r="CQ169" i="3" s="1"/>
  <c r="CJ172" i="3"/>
  <c r="CQ172" i="3" s="1"/>
  <c r="CC40" i="3"/>
  <c r="DC40" i="3" s="1"/>
  <c r="CI192" i="3"/>
  <c r="CP192" i="3" s="1"/>
  <c r="CI26" i="3"/>
  <c r="CP26" i="3" s="1"/>
  <c r="CI170" i="3"/>
  <c r="CP170" i="3" s="1"/>
  <c r="CI60" i="3"/>
  <c r="CP60" i="3" s="1"/>
  <c r="CI149" i="3"/>
  <c r="CP149" i="3" s="1"/>
  <c r="CI39" i="3"/>
  <c r="CP39" i="3" s="1"/>
  <c r="CI73" i="3"/>
  <c r="CP73" i="3" s="1"/>
  <c r="CI81" i="3"/>
  <c r="CP81" i="3" s="1"/>
  <c r="CI38" i="3"/>
  <c r="CP38" i="3" s="1"/>
  <c r="CI182" i="3"/>
  <c r="CP182" i="3" s="1"/>
  <c r="CI127" i="3"/>
  <c r="CP127" i="3" s="1"/>
  <c r="CI72" i="3"/>
  <c r="CP72" i="3" s="1"/>
  <c r="CI17" i="3"/>
  <c r="CP17" i="3" s="1"/>
  <c r="CI161" i="3"/>
  <c r="CP161" i="3" s="1"/>
  <c r="CI106" i="3"/>
  <c r="CP106" i="3" s="1"/>
  <c r="CI51" i="3"/>
  <c r="CP51" i="3" s="1"/>
  <c r="CI195" i="3"/>
  <c r="CP195" i="3" s="1"/>
  <c r="CI140" i="3"/>
  <c r="CP140" i="3" s="1"/>
  <c r="CI85" i="3"/>
  <c r="CP85" i="3" s="1"/>
  <c r="CI30" i="3"/>
  <c r="CP30" i="3" s="1"/>
  <c r="CI174" i="3"/>
  <c r="CP174" i="3" s="1"/>
  <c r="CI119" i="3"/>
  <c r="CP119" i="3" s="1"/>
  <c r="CI64" i="3"/>
  <c r="CP64" i="3" s="1"/>
  <c r="CI2" i="3"/>
  <c r="CP2" i="3" s="1"/>
  <c r="CJ9" i="3"/>
  <c r="CQ9" i="3" s="1"/>
  <c r="CJ189" i="3"/>
  <c r="CQ189" i="3" s="1"/>
  <c r="CJ170" i="3"/>
  <c r="CQ170" i="3" s="1"/>
  <c r="CJ175" i="3"/>
  <c r="CQ175" i="3" s="1"/>
  <c r="CJ168" i="3"/>
  <c r="CQ168" i="3" s="1"/>
  <c r="CJ149" i="3"/>
  <c r="CQ149" i="3" s="1"/>
  <c r="CJ154" i="3"/>
  <c r="CQ154" i="3" s="1"/>
  <c r="CJ159" i="3"/>
  <c r="CQ159" i="3" s="1"/>
  <c r="CJ188" i="3"/>
  <c r="CQ188" i="3" s="1"/>
  <c r="CJ181" i="3"/>
  <c r="CQ181" i="3" s="1"/>
  <c r="CJ35" i="3"/>
  <c r="CQ35" i="3" s="1"/>
  <c r="CC38" i="3"/>
  <c r="DC38" i="3" s="1"/>
  <c r="CK178" i="3"/>
  <c r="CR178" i="3" s="1"/>
  <c r="CK107" i="3"/>
  <c r="CR107" i="3" s="1"/>
  <c r="CC124" i="3"/>
  <c r="DC124" i="3" s="1"/>
  <c r="CC80" i="3"/>
  <c r="DC80" i="3" s="1"/>
  <c r="CK134" i="3"/>
  <c r="CR134" i="3" s="1"/>
  <c r="CC164" i="3"/>
  <c r="DC164" i="3" s="1"/>
  <c r="CK132" i="3"/>
  <c r="CR132" i="3" s="1"/>
  <c r="CK145" i="3"/>
  <c r="CR145" i="3" s="1"/>
  <c r="CC100" i="3"/>
  <c r="DC100" i="3" s="1"/>
  <c r="CC187" i="3"/>
  <c r="DC187" i="3" s="1"/>
  <c r="CC129" i="3"/>
  <c r="DC129" i="3" s="1"/>
  <c r="CC199" i="3"/>
  <c r="DC199" i="3" s="1"/>
  <c r="CJ95" i="3"/>
  <c r="CQ95" i="3" s="1"/>
  <c r="CC88" i="3"/>
  <c r="DC88" i="3" s="1"/>
  <c r="CC65" i="3"/>
  <c r="DC65" i="3" s="1"/>
  <c r="CJ114" i="3"/>
  <c r="CQ114" i="3" s="1"/>
  <c r="CJ107" i="3"/>
  <c r="CQ107" i="3" s="1"/>
  <c r="CC160" i="3"/>
  <c r="DC160" i="3" s="1"/>
  <c r="CC149" i="3"/>
  <c r="DC149" i="3" s="1"/>
  <c r="CK131" i="3"/>
  <c r="CR131" i="3" s="1"/>
  <c r="CK110" i="3"/>
  <c r="CR110" i="3" s="1"/>
  <c r="CK188" i="3"/>
  <c r="CR188" i="3" s="1"/>
  <c r="CK100" i="3"/>
  <c r="CR100" i="3" s="1"/>
  <c r="CK72" i="3"/>
  <c r="CR72" i="3" s="1"/>
  <c r="CK154" i="3"/>
  <c r="CR154" i="3" s="1"/>
  <c r="CK47" i="3"/>
  <c r="CR47" i="3" s="1"/>
  <c r="CK196" i="3"/>
  <c r="CR196" i="3" s="1"/>
  <c r="CK122" i="3"/>
  <c r="CR122" i="3" s="1"/>
  <c r="CK120" i="3"/>
  <c r="CR120" i="3" s="1"/>
  <c r="CK166" i="3"/>
  <c r="CR166" i="3" s="1"/>
  <c r="CK121" i="3"/>
  <c r="CR121" i="3" s="1"/>
  <c r="CK23" i="3"/>
  <c r="CR23" i="3" s="1"/>
  <c r="CK21" i="3"/>
  <c r="CR21" i="3" s="1"/>
  <c r="CK194" i="3"/>
  <c r="CR194" i="3" s="1"/>
  <c r="CK5" i="3"/>
  <c r="CR5" i="3" s="1"/>
  <c r="CK27" i="3"/>
  <c r="CR27" i="3" s="1"/>
  <c r="CK157" i="3"/>
  <c r="CR157" i="3" s="1"/>
  <c r="CE2" i="3"/>
  <c r="DE2" i="3" s="1"/>
  <c r="CK35" i="3"/>
  <c r="CR35" i="3" s="1"/>
  <c r="CK33" i="3"/>
  <c r="CR33" i="3" s="1"/>
  <c r="CK31" i="3"/>
  <c r="CR31" i="3" s="1"/>
  <c r="CK17" i="3"/>
  <c r="CR17" i="3" s="1"/>
  <c r="CK63" i="3"/>
  <c r="CR63" i="3" s="1"/>
  <c r="CK169" i="3"/>
  <c r="CR169" i="3" s="1"/>
  <c r="CD16" i="3"/>
  <c r="DD16" i="3" s="1"/>
  <c r="CK95" i="3"/>
  <c r="CR95" i="3" s="1"/>
  <c r="CK81" i="3"/>
  <c r="CR81" i="3" s="1"/>
  <c r="CK91" i="3"/>
  <c r="CR91" i="3" s="1"/>
  <c r="CK29" i="3"/>
  <c r="CR29" i="3" s="1"/>
  <c r="CK159" i="3"/>
  <c r="CR159" i="3" s="1"/>
  <c r="CK6" i="3"/>
  <c r="CR6" i="3" s="1"/>
  <c r="CD136" i="3"/>
  <c r="DD136" i="3" s="1"/>
  <c r="CK4" i="3"/>
  <c r="CR4" i="3" s="1"/>
  <c r="CK115" i="3"/>
  <c r="CR115" i="3" s="1"/>
  <c r="CK183" i="3"/>
  <c r="CR183" i="3" s="1"/>
  <c r="CK18" i="3"/>
  <c r="CR18" i="3" s="1"/>
  <c r="CJ88" i="3"/>
  <c r="CQ88" i="3" s="1"/>
  <c r="CJ81" i="3"/>
  <c r="CQ81" i="3" s="1"/>
  <c r="CJ38" i="3"/>
  <c r="CQ38" i="3" s="1"/>
  <c r="CJ194" i="3"/>
  <c r="CQ194" i="3" s="1"/>
  <c r="CJ163" i="3"/>
  <c r="CQ163" i="3" s="1"/>
  <c r="CJ120" i="3"/>
  <c r="CQ120" i="3" s="1"/>
  <c r="CJ77" i="3"/>
  <c r="CQ77" i="3" s="1"/>
  <c r="CJ34" i="3"/>
  <c r="CQ34" i="3" s="1"/>
  <c r="CJ190" i="3"/>
  <c r="CQ190" i="3" s="1"/>
  <c r="CJ147" i="3"/>
  <c r="CQ147" i="3" s="1"/>
  <c r="CJ104" i="3"/>
  <c r="CQ104" i="3" s="1"/>
  <c r="CJ61" i="3"/>
  <c r="CQ61" i="3" s="1"/>
  <c r="CJ18" i="3"/>
  <c r="CQ18" i="3" s="1"/>
  <c r="CJ174" i="3"/>
  <c r="CQ174" i="3" s="1"/>
  <c r="CJ155" i="3"/>
  <c r="CQ155" i="3" s="1"/>
  <c r="CK16" i="3"/>
  <c r="CR16" i="3" s="1"/>
  <c r="CK117" i="3"/>
  <c r="CR117" i="3" s="1"/>
  <c r="CK127" i="3"/>
  <c r="CR127" i="3" s="1"/>
  <c r="CK89" i="3"/>
  <c r="CR89" i="3" s="1"/>
  <c r="CK195" i="3"/>
  <c r="CR195" i="3" s="1"/>
  <c r="CK42" i="3"/>
  <c r="CR42" i="3" s="1"/>
  <c r="CC26" i="3"/>
  <c r="DC26" i="3" s="1"/>
  <c r="CC106" i="3"/>
  <c r="DC106" i="3" s="1"/>
  <c r="CD99" i="3"/>
  <c r="DD99" i="3" s="1"/>
  <c r="CK28" i="3"/>
  <c r="CR28" i="3" s="1"/>
  <c r="CK165" i="3"/>
  <c r="CR165" i="3" s="1"/>
  <c r="CK139" i="3"/>
  <c r="CR139" i="3" s="1"/>
  <c r="CK101" i="3"/>
  <c r="CR101" i="3" s="1"/>
  <c r="CK68" i="3"/>
  <c r="CR68" i="3" s="1"/>
  <c r="CK126" i="3"/>
  <c r="CR126" i="3" s="1"/>
  <c r="CK65" i="3"/>
  <c r="CR65" i="3" s="1"/>
  <c r="CJ58" i="3"/>
  <c r="CQ58" i="3" s="1"/>
  <c r="CJ15" i="3"/>
  <c r="CQ15" i="3" s="1"/>
  <c r="CJ171" i="3"/>
  <c r="CQ171" i="3" s="1"/>
  <c r="CJ128" i="3"/>
  <c r="CQ128" i="3" s="1"/>
  <c r="CJ85" i="3"/>
  <c r="CQ85" i="3" s="1"/>
  <c r="CJ42" i="3"/>
  <c r="CQ42" i="3" s="1"/>
  <c r="CJ11" i="3"/>
  <c r="CQ11" i="3" s="1"/>
  <c r="CJ191" i="3"/>
  <c r="CQ191" i="3" s="1"/>
  <c r="CK40" i="3"/>
  <c r="CR40" i="3" s="1"/>
  <c r="CK62" i="3"/>
  <c r="CR62" i="3" s="1"/>
  <c r="CK199" i="3"/>
  <c r="CR199" i="3" s="1"/>
  <c r="CK46" i="3"/>
  <c r="CR46" i="3" s="1"/>
  <c r="CK80" i="3"/>
  <c r="CR80" i="3" s="1"/>
  <c r="CC50" i="3"/>
  <c r="DC50" i="3" s="1"/>
  <c r="CC92" i="3"/>
  <c r="DC92" i="3" s="1"/>
  <c r="CK93" i="3"/>
  <c r="CR93" i="3" s="1"/>
  <c r="CJ64" i="3"/>
  <c r="CQ64" i="3" s="1"/>
  <c r="CJ129" i="3"/>
  <c r="CQ129" i="3" s="1"/>
  <c r="CJ86" i="3"/>
  <c r="CQ86" i="3" s="1"/>
  <c r="CJ43" i="3"/>
  <c r="CQ43" i="3" s="1"/>
  <c r="CJ199" i="3"/>
  <c r="CQ199" i="3" s="1"/>
  <c r="CJ156" i="3"/>
  <c r="CQ156" i="3" s="1"/>
  <c r="CJ113" i="3"/>
  <c r="CQ113" i="3" s="1"/>
  <c r="CJ70" i="3"/>
  <c r="CQ70" i="3" s="1"/>
  <c r="CJ27" i="3"/>
  <c r="CQ27" i="3" s="1"/>
  <c r="CJ183" i="3"/>
  <c r="CQ183" i="3" s="1"/>
  <c r="CJ140" i="3"/>
  <c r="CQ140" i="3" s="1"/>
  <c r="CJ97" i="3"/>
  <c r="CQ97" i="3" s="1"/>
  <c r="CJ66" i="3"/>
  <c r="CQ66" i="3" s="1"/>
  <c r="CJ23" i="3"/>
  <c r="CQ23" i="3" s="1"/>
  <c r="CJ2" i="3"/>
  <c r="CQ2" i="3" s="1"/>
  <c r="CK52" i="3"/>
  <c r="CR52" i="3" s="1"/>
  <c r="CK74" i="3"/>
  <c r="CR74" i="3" s="1"/>
  <c r="CK24" i="3"/>
  <c r="CR24" i="3" s="1"/>
  <c r="CK58" i="3"/>
  <c r="CR58" i="3" s="1"/>
  <c r="CK116" i="3"/>
  <c r="CR116" i="3" s="1"/>
  <c r="CC57" i="3"/>
  <c r="DC57" i="3" s="1"/>
  <c r="CC79" i="3"/>
  <c r="DC79" i="3" s="1"/>
  <c r="CC104" i="3"/>
  <c r="DC104" i="3" s="1"/>
  <c r="CK71" i="3"/>
  <c r="CR71" i="3" s="1"/>
  <c r="CU71" i="3" s="1"/>
  <c r="CK64" i="3"/>
  <c r="CR64" i="3" s="1"/>
  <c r="CK86" i="3"/>
  <c r="CR86" i="3" s="1"/>
  <c r="CK60" i="3"/>
  <c r="CR60" i="3" s="1"/>
  <c r="CK70" i="3"/>
  <c r="CR70" i="3" s="1"/>
  <c r="CK152" i="3"/>
  <c r="CR152" i="3" s="1"/>
  <c r="CC36" i="3"/>
  <c r="DC36" i="3" s="1"/>
  <c r="CC166" i="3"/>
  <c r="DC166" i="3" s="1"/>
  <c r="CC73" i="3"/>
  <c r="DC73" i="3" s="1"/>
  <c r="CK105" i="3"/>
  <c r="CR105" i="3" s="1"/>
  <c r="CK182" i="3"/>
  <c r="CR182" i="3" s="1"/>
  <c r="CK36" i="3"/>
  <c r="CR36" i="3" s="1"/>
  <c r="CK77" i="3"/>
  <c r="CR77" i="3" s="1"/>
  <c r="CK190" i="3"/>
  <c r="CR190" i="3" s="1"/>
  <c r="CK140" i="3"/>
  <c r="CR140" i="3" s="1"/>
  <c r="CK30" i="3"/>
  <c r="CR30" i="3" s="1"/>
  <c r="CC33" i="3"/>
  <c r="DC33" i="3" s="1"/>
  <c r="CC62" i="3"/>
  <c r="DC62" i="3" s="1"/>
  <c r="CC48" i="3"/>
  <c r="DC48" i="3" s="1"/>
  <c r="CC178" i="3"/>
  <c r="DC178" i="3" s="1"/>
  <c r="CC85" i="3"/>
  <c r="DC85" i="3" s="1"/>
  <c r="CD22" i="3"/>
  <c r="DD22" i="3" s="1"/>
  <c r="CC105" i="3"/>
  <c r="DC105" i="3" s="1"/>
  <c r="CC146" i="3"/>
  <c r="DC146" i="3" s="1"/>
  <c r="CC180" i="3"/>
  <c r="DC180" i="3" s="1"/>
  <c r="CC190" i="3"/>
  <c r="DC190" i="3" s="1"/>
  <c r="CC6" i="3"/>
  <c r="DC6" i="3" s="1"/>
  <c r="CC158" i="3"/>
  <c r="DC158" i="3" s="1"/>
  <c r="CC192" i="3"/>
  <c r="DC192" i="3" s="1"/>
  <c r="CC15" i="3"/>
  <c r="DC15" i="3" s="1"/>
  <c r="CC18" i="3"/>
  <c r="DC18" i="3" s="1"/>
  <c r="CK167" i="3"/>
  <c r="CR167" i="3" s="1"/>
  <c r="CK124" i="3"/>
  <c r="CR124" i="3" s="1"/>
  <c r="CK177" i="3"/>
  <c r="CR177" i="3" s="1"/>
  <c r="CK43" i="3"/>
  <c r="CR43" i="3" s="1"/>
  <c r="CK84" i="3"/>
  <c r="CR84" i="3" s="1"/>
  <c r="CK161" i="3"/>
  <c r="CR161" i="3" s="1"/>
  <c r="CK99" i="3"/>
  <c r="CR99" i="3" s="1"/>
  <c r="CK200" i="3"/>
  <c r="CR200" i="3" s="1"/>
  <c r="CK174" i="3"/>
  <c r="CR174" i="3" s="1"/>
  <c r="CC136" i="3"/>
  <c r="DC136" i="3" s="1"/>
  <c r="CC182" i="3"/>
  <c r="DC182" i="3" s="1"/>
  <c r="CC5" i="3"/>
  <c r="DC5" i="3" s="1"/>
  <c r="CC75" i="3"/>
  <c r="DC75" i="3" s="1"/>
  <c r="CC54" i="3"/>
  <c r="DC54" i="3" s="1"/>
  <c r="CK83" i="3"/>
  <c r="CR83" i="3" s="1"/>
  <c r="CK160" i="3"/>
  <c r="CR160" i="3" s="1"/>
  <c r="CK189" i="3"/>
  <c r="CR189" i="3" s="1"/>
  <c r="CK67" i="3"/>
  <c r="CR67" i="3" s="1"/>
  <c r="CK96" i="3"/>
  <c r="CR96" i="3" s="1"/>
  <c r="CK22" i="3"/>
  <c r="CR22" i="3" s="1"/>
  <c r="CK135" i="3"/>
  <c r="CR135" i="3" s="1"/>
  <c r="CK13" i="3"/>
  <c r="CR13" i="3" s="1"/>
  <c r="CK186" i="3"/>
  <c r="CR186" i="3" s="1"/>
  <c r="CC165" i="3"/>
  <c r="DC165" i="3" s="1"/>
  <c r="CC194" i="3"/>
  <c r="DC194" i="3" s="1"/>
  <c r="CC17" i="3"/>
  <c r="DC17" i="3" s="1"/>
  <c r="CC135" i="3"/>
  <c r="DC135" i="3" s="1"/>
  <c r="CC162" i="3"/>
  <c r="DC162" i="3" s="1"/>
  <c r="CJ186" i="3"/>
  <c r="CQ186" i="3" s="1"/>
  <c r="CJ143" i="3"/>
  <c r="CQ143" i="3" s="1"/>
  <c r="CK59" i="3"/>
  <c r="CR59" i="3" s="1"/>
  <c r="CK184" i="3"/>
  <c r="CR184" i="3" s="1"/>
  <c r="CK26" i="3"/>
  <c r="CR26" i="3" s="1"/>
  <c r="CK79" i="3"/>
  <c r="CR79" i="3" s="1"/>
  <c r="CK108" i="3"/>
  <c r="CR108" i="3" s="1"/>
  <c r="CK34" i="3"/>
  <c r="CR34" i="3" s="1"/>
  <c r="CK147" i="3"/>
  <c r="CR147" i="3" s="1"/>
  <c r="CK97" i="3"/>
  <c r="CR97" i="3" s="1"/>
  <c r="CK2" i="3"/>
  <c r="CR2" i="3" s="1"/>
  <c r="CC52" i="3"/>
  <c r="DC52" i="3" s="1"/>
  <c r="CC67" i="3"/>
  <c r="DC67" i="3" s="1"/>
  <c r="CC29" i="3"/>
  <c r="DC29" i="3" s="1"/>
  <c r="CC68" i="3"/>
  <c r="DC68" i="3" s="1"/>
  <c r="CC174" i="3"/>
  <c r="DC174" i="3" s="1"/>
  <c r="CK173" i="3"/>
  <c r="CR173" i="3" s="1"/>
  <c r="CK39" i="3"/>
  <c r="CR39" i="3" s="1"/>
  <c r="CK128" i="3"/>
  <c r="CR128" i="3" s="1"/>
  <c r="CK181" i="3"/>
  <c r="CR181" i="3" s="1"/>
  <c r="CK53" i="3"/>
  <c r="CR53" i="3" s="1"/>
  <c r="CK82" i="3"/>
  <c r="CR82" i="3" s="1"/>
  <c r="CK171" i="3"/>
  <c r="CR171" i="3" s="1"/>
  <c r="CK37" i="3"/>
  <c r="CR37" i="3" s="1"/>
  <c r="CK138" i="3"/>
  <c r="CR138" i="3" s="1"/>
  <c r="CD169" i="3"/>
  <c r="DD169" i="3" s="1"/>
  <c r="CC170" i="3"/>
  <c r="DC170" i="3" s="1"/>
  <c r="CC24" i="3"/>
  <c r="DC24" i="3" s="1"/>
  <c r="CC137" i="3"/>
  <c r="DC137" i="3" s="1"/>
  <c r="CC27" i="3"/>
  <c r="DC27" i="3" s="1"/>
  <c r="CC61" i="3"/>
  <c r="DC61" i="3" s="1"/>
  <c r="CC23" i="3"/>
  <c r="DC23" i="3" s="1"/>
  <c r="CD78" i="3"/>
  <c r="DD78" i="3" s="1"/>
  <c r="CD138" i="3"/>
  <c r="DD138" i="3" s="1"/>
  <c r="CC19" i="3"/>
  <c r="DC19" i="3" s="1"/>
  <c r="CC60" i="3"/>
  <c r="DC60" i="3" s="1"/>
  <c r="CC197" i="3"/>
  <c r="DC197" i="3" s="1"/>
  <c r="CC147" i="3"/>
  <c r="DC147" i="3" s="1"/>
  <c r="CC109" i="3"/>
  <c r="DC109" i="3" s="1"/>
  <c r="CC83" i="3"/>
  <c r="DC83" i="3" s="1"/>
  <c r="CK136" i="3"/>
  <c r="CR136" i="3" s="1"/>
  <c r="CK141" i="3"/>
  <c r="CR141" i="3" s="1"/>
  <c r="CK146" i="3"/>
  <c r="CR146" i="3" s="1"/>
  <c r="CK151" i="3"/>
  <c r="CR151" i="3" s="1"/>
  <c r="CK180" i="3"/>
  <c r="CR180" i="3" s="1"/>
  <c r="CK197" i="3"/>
  <c r="CR197" i="3" s="1"/>
  <c r="CK3" i="3"/>
  <c r="CR3" i="3" s="1"/>
  <c r="CK32" i="3"/>
  <c r="CR32" i="3" s="1"/>
  <c r="CK49" i="3"/>
  <c r="CR49" i="3" s="1"/>
  <c r="CK102" i="3"/>
  <c r="CR102" i="3" s="1"/>
  <c r="CC45" i="3"/>
  <c r="DC45" i="3" s="1"/>
  <c r="CC112" i="3"/>
  <c r="DC112" i="3" s="1"/>
  <c r="CC31" i="3"/>
  <c r="DC31" i="3" s="1"/>
  <c r="CC120" i="3"/>
  <c r="DC120" i="3" s="1"/>
  <c r="CC22" i="3"/>
  <c r="DC22" i="3" s="1"/>
  <c r="CC195" i="3"/>
  <c r="DC195" i="3" s="1"/>
  <c r="CC133" i="3"/>
  <c r="DC133" i="3" s="1"/>
  <c r="CC95" i="3"/>
  <c r="DC95" i="3" s="1"/>
  <c r="CJ167" i="3"/>
  <c r="CQ167" i="3" s="1"/>
  <c r="CK179" i="3"/>
  <c r="CR179" i="3" s="1"/>
  <c r="CK148" i="3"/>
  <c r="CR148" i="3" s="1"/>
  <c r="CK153" i="3"/>
  <c r="CR153" i="3" s="1"/>
  <c r="CK170" i="3"/>
  <c r="CR170" i="3" s="1"/>
  <c r="CK163" i="3"/>
  <c r="CR163" i="3" s="1"/>
  <c r="CK191" i="3"/>
  <c r="CR191" i="3" s="1"/>
  <c r="CK10" i="3"/>
  <c r="CR10" i="3" s="1"/>
  <c r="CK15" i="3"/>
  <c r="CR15" i="3" s="1"/>
  <c r="CK44" i="3"/>
  <c r="CR44" i="3" s="1"/>
  <c r="CK61" i="3"/>
  <c r="CR61" i="3" s="1"/>
  <c r="CK114" i="3"/>
  <c r="CR114" i="3" s="1"/>
  <c r="CC4" i="3"/>
  <c r="DC4" i="3" s="1"/>
  <c r="CC14" i="3"/>
  <c r="DC14" i="3" s="1"/>
  <c r="CC43" i="3"/>
  <c r="DC43" i="3" s="1"/>
  <c r="CC132" i="3"/>
  <c r="DC132" i="3" s="1"/>
  <c r="CC46" i="3"/>
  <c r="DC46" i="3" s="1"/>
  <c r="CC56" i="3"/>
  <c r="DC56" i="3" s="1"/>
  <c r="CC193" i="3"/>
  <c r="DC193" i="3" s="1"/>
  <c r="CC179" i="3"/>
  <c r="DC179" i="3" s="1"/>
  <c r="CC30" i="3"/>
  <c r="DC30" i="3" s="1"/>
  <c r="CC167" i="3"/>
  <c r="DC167" i="3" s="1"/>
  <c r="CK143" i="3"/>
  <c r="CR143" i="3" s="1"/>
  <c r="CK76" i="3"/>
  <c r="CR76" i="3" s="1"/>
  <c r="CK45" i="3"/>
  <c r="CR45" i="3" s="1"/>
  <c r="CK38" i="3"/>
  <c r="CR38" i="3" s="1"/>
  <c r="CK7" i="3"/>
  <c r="CR7" i="3" s="1"/>
  <c r="CK175" i="3"/>
  <c r="CR175" i="3" s="1"/>
  <c r="CK144" i="3"/>
  <c r="CR144" i="3" s="1"/>
  <c r="CK113" i="3"/>
  <c r="CR113" i="3" s="1"/>
  <c r="CK118" i="3"/>
  <c r="CR118" i="3" s="1"/>
  <c r="CK111" i="3"/>
  <c r="CR111" i="3" s="1"/>
  <c r="CK92" i="3"/>
  <c r="CR92" i="3" s="1"/>
  <c r="CK73" i="3"/>
  <c r="CR73" i="3" s="1"/>
  <c r="CK66" i="3"/>
  <c r="CR66" i="3" s="1"/>
  <c r="CC141" i="3"/>
  <c r="DC141" i="3" s="1"/>
  <c r="CC21" i="3"/>
  <c r="DC21" i="3" s="1"/>
  <c r="CC74" i="3"/>
  <c r="DC74" i="3" s="1"/>
  <c r="CC127" i="3"/>
  <c r="DC127" i="3" s="1"/>
  <c r="CC144" i="3"/>
  <c r="DC144" i="3" s="1"/>
  <c r="CC189" i="3"/>
  <c r="DC189" i="3" s="1"/>
  <c r="CC99" i="3"/>
  <c r="DC99" i="3" s="1"/>
  <c r="CC176" i="3"/>
  <c r="DC176" i="3" s="1"/>
  <c r="CC102" i="3"/>
  <c r="DC102" i="3" s="1"/>
  <c r="CC191" i="3"/>
  <c r="DC191" i="3" s="1"/>
  <c r="CK11" i="3"/>
  <c r="CR11" i="3" s="1"/>
  <c r="CK88" i="3"/>
  <c r="CR88" i="3" s="1"/>
  <c r="CK69" i="3"/>
  <c r="CR69" i="3" s="1"/>
  <c r="CK50" i="3"/>
  <c r="CR50" i="3" s="1"/>
  <c r="CK19" i="3"/>
  <c r="CR19" i="3" s="1"/>
  <c r="CK187" i="3"/>
  <c r="CR187" i="3" s="1"/>
  <c r="CK156" i="3"/>
  <c r="CR156" i="3" s="1"/>
  <c r="CK149" i="3"/>
  <c r="CR149" i="3" s="1"/>
  <c r="CK142" i="3"/>
  <c r="CR142" i="3" s="1"/>
  <c r="CK123" i="3"/>
  <c r="CR123" i="3" s="1"/>
  <c r="CK104" i="3"/>
  <c r="CR104" i="3" s="1"/>
  <c r="CK85" i="3"/>
  <c r="CR85" i="3" s="1"/>
  <c r="CK78" i="3"/>
  <c r="CR78" i="3" s="1"/>
  <c r="CC16" i="3"/>
  <c r="DC16" i="3" s="1"/>
  <c r="CC93" i="3"/>
  <c r="DC93" i="3" s="1"/>
  <c r="CC86" i="3"/>
  <c r="DC86" i="3" s="1"/>
  <c r="CC139" i="3"/>
  <c r="DC139" i="3" s="1"/>
  <c r="CC156" i="3"/>
  <c r="DC156" i="3" s="1"/>
  <c r="CC10" i="3"/>
  <c r="DC10" i="3" s="1"/>
  <c r="CC123" i="3"/>
  <c r="DC123" i="3" s="1"/>
  <c r="CC25" i="3"/>
  <c r="DC25" i="3" s="1"/>
  <c r="CC126" i="3"/>
  <c r="DC126" i="3" s="1"/>
  <c r="CC184" i="3"/>
  <c r="DC184" i="3" s="1"/>
  <c r="CE137" i="3"/>
  <c r="DE137" i="3" s="1"/>
  <c r="CD124" i="3"/>
  <c r="DD124" i="3" s="1"/>
  <c r="CE130" i="3"/>
  <c r="DE130" i="3" s="1"/>
  <c r="CD57" i="3"/>
  <c r="DD57" i="3" s="1"/>
  <c r="CE159" i="3"/>
  <c r="DE159" i="3" s="1"/>
  <c r="CD122" i="3"/>
  <c r="DD122" i="3" s="1"/>
  <c r="CK150" i="3"/>
  <c r="CR150" i="3" s="1"/>
  <c r="CC110" i="3"/>
  <c r="DC110" i="3" s="1"/>
  <c r="CC91" i="3"/>
  <c r="DC91" i="3" s="1"/>
  <c r="CC84" i="3"/>
  <c r="DC84" i="3" s="1"/>
  <c r="CC89" i="3"/>
  <c r="DC89" i="3" s="1"/>
  <c r="CC142" i="3"/>
  <c r="DC142" i="3" s="1"/>
  <c r="CC159" i="3"/>
  <c r="DC159" i="3" s="1"/>
  <c r="CC37" i="3"/>
  <c r="DC37" i="3" s="1"/>
  <c r="CC66" i="3"/>
  <c r="DC66" i="3" s="1"/>
  <c r="CC143" i="3"/>
  <c r="DC143" i="3" s="1"/>
  <c r="CD103" i="3"/>
  <c r="DD103" i="3" s="1"/>
  <c r="CK172" i="3"/>
  <c r="CR172" i="3" s="1"/>
  <c r="CK129" i="3"/>
  <c r="CR129" i="3" s="1"/>
  <c r="CK98" i="3"/>
  <c r="CR98" i="3" s="1"/>
  <c r="CK55" i="3"/>
  <c r="CR55" i="3" s="1"/>
  <c r="CK12" i="3"/>
  <c r="CR12" i="3" s="1"/>
  <c r="CK168" i="3"/>
  <c r="CR168" i="3" s="1"/>
  <c r="CK125" i="3"/>
  <c r="CR125" i="3" s="1"/>
  <c r="CK106" i="3"/>
  <c r="CR106" i="3" s="1"/>
  <c r="CK87" i="3"/>
  <c r="CR87" i="3" s="1"/>
  <c r="CK56" i="3"/>
  <c r="CR56" i="3" s="1"/>
  <c r="CK25" i="3"/>
  <c r="CR25" i="3" s="1"/>
  <c r="CK193" i="3"/>
  <c r="CR193" i="3" s="1"/>
  <c r="CK162" i="3"/>
  <c r="CR162" i="3" s="1"/>
  <c r="CC117" i="3"/>
  <c r="DC117" i="3" s="1"/>
  <c r="CC9" i="3"/>
  <c r="DC9" i="3" s="1"/>
  <c r="CC122" i="3"/>
  <c r="DC122" i="3" s="1"/>
  <c r="CC115" i="3"/>
  <c r="DC115" i="3" s="1"/>
  <c r="CC108" i="3"/>
  <c r="DC108" i="3" s="1"/>
  <c r="CC101" i="3"/>
  <c r="DC101" i="3" s="1"/>
  <c r="CC154" i="3"/>
  <c r="DC154" i="3" s="1"/>
  <c r="CC183" i="3"/>
  <c r="DC183" i="3" s="1"/>
  <c r="CC49" i="3"/>
  <c r="DC49" i="3" s="1"/>
  <c r="CC78" i="3"/>
  <c r="DC78" i="3" s="1"/>
  <c r="CC155" i="3"/>
  <c r="DC155" i="3" s="1"/>
  <c r="CD187" i="3"/>
  <c r="DD187" i="3" s="1"/>
  <c r="CE104" i="3"/>
  <c r="DE104" i="3" s="1"/>
  <c r="CL42" i="3"/>
  <c r="CS42" i="3" s="1"/>
  <c r="CU42" i="3" s="1"/>
  <c r="CD125" i="3"/>
  <c r="DD125" i="3" s="1"/>
  <c r="CL67" i="3"/>
  <c r="CS67" i="3" s="1"/>
  <c r="CK155" i="3"/>
  <c r="CR155" i="3" s="1"/>
  <c r="CK119" i="3"/>
  <c r="CR119" i="3" s="1"/>
  <c r="CK112" i="3"/>
  <c r="CR112" i="3" s="1"/>
  <c r="CK57" i="3"/>
  <c r="CR57" i="3" s="1"/>
  <c r="CK14" i="3"/>
  <c r="CR14" i="3" s="1"/>
  <c r="CK158" i="3"/>
  <c r="CR158" i="3" s="1"/>
  <c r="CK103" i="3"/>
  <c r="CR103" i="3" s="1"/>
  <c r="CK48" i="3"/>
  <c r="CR48" i="3" s="1"/>
  <c r="CK192" i="3"/>
  <c r="CR192" i="3" s="1"/>
  <c r="CK137" i="3"/>
  <c r="CR137" i="3" s="1"/>
  <c r="CK94" i="3"/>
  <c r="CR94" i="3" s="1"/>
  <c r="CK51" i="3"/>
  <c r="CR51" i="3" s="1"/>
  <c r="CK8" i="3"/>
  <c r="CR8" i="3" s="1"/>
  <c r="CK176" i="3"/>
  <c r="CR176" i="3" s="1"/>
  <c r="CK133" i="3"/>
  <c r="CR133" i="3" s="1"/>
  <c r="CK90" i="3"/>
  <c r="CR90" i="3" s="1"/>
  <c r="CL84" i="3"/>
  <c r="CS84" i="3" s="1"/>
  <c r="CC69" i="3"/>
  <c r="DC69" i="3" s="1"/>
  <c r="CC177" i="3"/>
  <c r="DC177" i="3" s="1"/>
  <c r="CC134" i="3"/>
  <c r="DC134" i="3" s="1"/>
  <c r="CC103" i="3"/>
  <c r="DC103" i="3" s="1"/>
  <c r="CC72" i="3"/>
  <c r="DC72" i="3" s="1"/>
  <c r="CC53" i="3"/>
  <c r="DC53" i="3" s="1"/>
  <c r="CC58" i="3"/>
  <c r="DC58" i="3" s="1"/>
  <c r="CC111" i="3"/>
  <c r="DC111" i="3" s="1"/>
  <c r="CC116" i="3"/>
  <c r="DC116" i="3" s="1"/>
  <c r="CC145" i="3"/>
  <c r="DC145" i="3" s="1"/>
  <c r="CC198" i="3"/>
  <c r="DC198" i="3" s="1"/>
  <c r="CC172" i="3"/>
  <c r="DC172" i="3" s="1"/>
  <c r="CD106" i="3"/>
  <c r="DD106" i="3" s="1"/>
  <c r="CF2" i="3"/>
  <c r="DF2" i="3" s="1"/>
  <c r="DH2" i="3" s="1"/>
  <c r="CL102" i="3"/>
  <c r="CS102" i="3" s="1"/>
  <c r="CL96" i="3"/>
  <c r="CS96" i="3" s="1"/>
  <c r="CD155" i="3"/>
  <c r="DD155" i="3" s="1"/>
  <c r="CD115" i="3"/>
  <c r="DD115" i="3" s="1"/>
  <c r="CD75" i="3"/>
  <c r="DD75" i="3" s="1"/>
  <c r="CD150" i="3"/>
  <c r="DD150" i="3" s="1"/>
  <c r="CL66" i="3"/>
  <c r="CS66" i="3" s="1"/>
  <c r="CL149" i="3"/>
  <c r="CS149" i="3" s="1"/>
  <c r="CL11" i="3"/>
  <c r="CS11" i="3" s="1"/>
  <c r="CL161" i="3"/>
  <c r="CS161" i="3" s="1"/>
  <c r="CD81" i="3"/>
  <c r="DD81" i="3" s="1"/>
  <c r="CD199" i="3"/>
  <c r="DD199" i="3" s="1"/>
  <c r="CD111" i="3"/>
  <c r="DD111" i="3" s="1"/>
  <c r="CL179" i="3"/>
  <c r="CS179" i="3" s="1"/>
  <c r="CL190" i="3"/>
  <c r="CS190" i="3" s="1"/>
  <c r="CD153" i="3"/>
  <c r="DD153" i="3" s="1"/>
  <c r="CD72" i="3"/>
  <c r="DD72" i="3" s="1"/>
  <c r="CD183" i="3"/>
  <c r="DD183" i="3" s="1"/>
  <c r="CL191" i="3"/>
  <c r="CS191" i="3" s="1"/>
  <c r="CL15" i="3"/>
  <c r="CS15" i="3" s="1"/>
  <c r="CD165" i="3"/>
  <c r="DD165" i="3" s="1"/>
  <c r="CD168" i="3"/>
  <c r="DD168" i="3" s="1"/>
  <c r="CD68" i="3"/>
  <c r="DD68" i="3" s="1"/>
  <c r="CL160" i="3"/>
  <c r="CS160" i="3" s="1"/>
  <c r="CU160" i="3" s="1"/>
  <c r="CL20" i="3"/>
  <c r="CS20" i="3" s="1"/>
  <c r="CC77" i="3"/>
  <c r="DC77" i="3" s="1"/>
  <c r="CC34" i="3"/>
  <c r="DC34" i="3" s="1"/>
  <c r="CC3" i="3"/>
  <c r="DC3" i="3" s="1"/>
  <c r="CC171" i="3"/>
  <c r="DC171" i="3" s="1"/>
  <c r="CC140" i="3"/>
  <c r="DC140" i="3" s="1"/>
  <c r="CC121" i="3"/>
  <c r="DC121" i="3" s="1"/>
  <c r="CC90" i="3"/>
  <c r="DC90" i="3" s="1"/>
  <c r="CC59" i="3"/>
  <c r="DC59" i="3" s="1"/>
  <c r="CD131" i="3"/>
  <c r="DD131" i="3" s="1"/>
  <c r="CD177" i="3"/>
  <c r="DD177" i="3" s="1"/>
  <c r="CD53" i="3"/>
  <c r="DD53" i="3" s="1"/>
  <c r="CD80" i="3"/>
  <c r="DD80" i="3" s="1"/>
  <c r="CE25" i="3"/>
  <c r="DE25" i="3" s="1"/>
  <c r="CL172" i="3"/>
  <c r="CS172" i="3" s="1"/>
  <c r="CL44" i="3"/>
  <c r="CS44" i="3" s="1"/>
  <c r="CD112" i="3"/>
  <c r="DD112" i="3" s="1"/>
  <c r="CD38" i="3"/>
  <c r="DD38" i="3" s="1"/>
  <c r="CD77" i="3"/>
  <c r="DD77" i="3" s="1"/>
  <c r="CD188" i="3"/>
  <c r="DD188" i="3" s="1"/>
  <c r="CL189" i="3"/>
  <c r="CS189" i="3" s="1"/>
  <c r="CL73" i="3"/>
  <c r="CS73" i="3" s="1"/>
  <c r="CL26" i="3"/>
  <c r="CS26" i="3" s="1"/>
  <c r="CL85" i="3"/>
  <c r="CS85" i="3" s="1"/>
  <c r="CC113" i="3"/>
  <c r="DC113" i="3" s="1"/>
  <c r="CC70" i="3"/>
  <c r="DC70" i="3" s="1"/>
  <c r="CC39" i="3"/>
  <c r="DC39" i="3" s="1"/>
  <c r="CC20" i="3"/>
  <c r="DC20" i="3" s="1"/>
  <c r="CC188" i="3"/>
  <c r="DC188" i="3" s="1"/>
  <c r="CC169" i="3"/>
  <c r="DC169" i="3" s="1"/>
  <c r="CC138" i="3"/>
  <c r="DC138" i="3" s="1"/>
  <c r="CC107" i="3"/>
  <c r="DC107" i="3" s="1"/>
  <c r="CD4" i="3"/>
  <c r="DD4" i="3" s="1"/>
  <c r="CD146" i="3"/>
  <c r="DD146" i="3" s="1"/>
  <c r="CD137" i="3"/>
  <c r="DD137" i="3" s="1"/>
  <c r="CD30" i="3"/>
  <c r="DD30" i="3" s="1"/>
  <c r="CJ100" i="3"/>
  <c r="CQ100" i="3" s="1"/>
  <c r="CJ184" i="3"/>
  <c r="CQ184" i="3" s="1"/>
  <c r="CJ117" i="3"/>
  <c r="CQ117" i="3" s="1"/>
  <c r="CJ62" i="3"/>
  <c r="CQ62" i="3" s="1"/>
  <c r="CJ7" i="3"/>
  <c r="CQ7" i="3" s="1"/>
  <c r="CJ151" i="3"/>
  <c r="CQ151" i="3" s="1"/>
  <c r="CJ96" i="3"/>
  <c r="CQ96" i="3" s="1"/>
  <c r="CJ41" i="3"/>
  <c r="CQ41" i="3" s="1"/>
  <c r="CJ185" i="3"/>
  <c r="CQ185" i="3" s="1"/>
  <c r="CJ130" i="3"/>
  <c r="CQ130" i="3" s="1"/>
  <c r="CJ75" i="3"/>
  <c r="CQ75" i="3" s="1"/>
  <c r="CJ20" i="3"/>
  <c r="CQ20" i="3" s="1"/>
  <c r="CJ164" i="3"/>
  <c r="CQ164" i="3" s="1"/>
  <c r="CJ109" i="3"/>
  <c r="CQ109" i="3" s="1"/>
  <c r="CJ54" i="3"/>
  <c r="CQ54" i="3" s="1"/>
  <c r="CJ198" i="3"/>
  <c r="CQ198" i="3" s="1"/>
  <c r="CJ131" i="3"/>
  <c r="CQ131" i="3" s="1"/>
  <c r="CK41" i="3"/>
  <c r="CR41" i="3" s="1"/>
  <c r="CK185" i="3"/>
  <c r="CR185" i="3" s="1"/>
  <c r="CK130" i="3"/>
  <c r="CR130" i="3" s="1"/>
  <c r="CK75" i="3"/>
  <c r="CR75" i="3" s="1"/>
  <c r="CK20" i="3"/>
  <c r="CR20" i="3" s="1"/>
  <c r="CK164" i="3"/>
  <c r="CR164" i="3" s="1"/>
  <c r="CK109" i="3"/>
  <c r="CR109" i="3" s="1"/>
  <c r="CK54" i="3"/>
  <c r="CR54" i="3" s="1"/>
  <c r="CK198" i="3"/>
  <c r="CR198" i="3" s="1"/>
  <c r="CL31" i="3"/>
  <c r="CS31" i="3" s="1"/>
  <c r="CU31" i="3" s="1"/>
  <c r="CC28" i="3"/>
  <c r="DC28" i="3" s="1"/>
  <c r="CC148" i="3"/>
  <c r="DC148" i="3" s="1"/>
  <c r="CC81" i="3"/>
  <c r="DC81" i="3" s="1"/>
  <c r="CC98" i="3"/>
  <c r="DC98" i="3" s="1"/>
  <c r="CC55" i="3"/>
  <c r="DC55" i="3" s="1"/>
  <c r="CC12" i="3"/>
  <c r="DC12" i="3" s="1"/>
  <c r="CC168" i="3"/>
  <c r="DC168" i="3" s="1"/>
  <c r="CC125" i="3"/>
  <c r="DC125" i="3" s="1"/>
  <c r="CC82" i="3"/>
  <c r="DC82" i="3" s="1"/>
  <c r="CC51" i="3"/>
  <c r="DC51" i="3" s="1"/>
  <c r="CC32" i="3"/>
  <c r="DC32" i="3" s="1"/>
  <c r="CC13" i="3"/>
  <c r="DC13" i="3" s="1"/>
  <c r="CC181" i="3"/>
  <c r="DC181" i="3" s="1"/>
  <c r="CC150" i="3"/>
  <c r="DC150" i="3" s="1"/>
  <c r="CC119" i="3"/>
  <c r="DC119" i="3" s="1"/>
  <c r="CD76" i="3"/>
  <c r="DD76" i="3" s="1"/>
  <c r="CD19" i="3"/>
  <c r="DD19" i="3" s="1"/>
  <c r="CD149" i="3"/>
  <c r="DD149" i="3" s="1"/>
  <c r="CD54" i="3"/>
  <c r="DD54" i="3" s="1"/>
  <c r="CL126" i="3"/>
  <c r="CS126" i="3" s="1"/>
  <c r="CL35" i="3"/>
  <c r="CS35" i="3" s="1"/>
  <c r="CL4" i="3"/>
  <c r="CS4" i="3" s="1"/>
  <c r="CU4" i="3" s="1"/>
  <c r="CL184" i="3"/>
  <c r="CS184" i="3" s="1"/>
  <c r="CL38" i="3"/>
  <c r="CS38" i="3" s="1"/>
  <c r="CU38" i="3" s="1"/>
  <c r="CL91" i="3"/>
  <c r="CS91" i="3" s="1"/>
  <c r="CL120" i="3"/>
  <c r="CS120" i="3" s="1"/>
  <c r="CU120" i="3" s="1"/>
  <c r="CL173" i="3"/>
  <c r="CS173" i="3" s="1"/>
  <c r="CU173" i="3" s="1"/>
  <c r="CL39" i="3"/>
  <c r="CS39" i="3" s="1"/>
  <c r="CU39" i="3" s="1"/>
  <c r="CL80" i="3"/>
  <c r="CS80" i="3" s="1"/>
  <c r="CL97" i="3"/>
  <c r="CS97" i="3" s="1"/>
  <c r="CL162" i="3"/>
  <c r="CS162" i="3" s="1"/>
  <c r="CL47" i="3"/>
  <c r="CS47" i="3" s="1"/>
  <c r="CL16" i="3"/>
  <c r="CS16" i="3" s="1"/>
  <c r="CL21" i="3"/>
  <c r="CS21" i="3" s="1"/>
  <c r="CU21" i="3" s="1"/>
  <c r="CL50" i="3"/>
  <c r="CS50" i="3" s="1"/>
  <c r="CL115" i="3"/>
  <c r="CS115" i="3" s="1"/>
  <c r="CL156" i="3"/>
  <c r="CS156" i="3" s="1"/>
  <c r="CL185" i="3"/>
  <c r="CS185" i="3" s="1"/>
  <c r="CL51" i="3"/>
  <c r="CS51" i="3" s="1"/>
  <c r="CL104" i="3"/>
  <c r="CS104" i="3" s="1"/>
  <c r="CL121" i="3"/>
  <c r="CS121" i="3" s="1"/>
  <c r="CL138" i="3"/>
  <c r="CS138" i="3" s="1"/>
  <c r="CL59" i="3"/>
  <c r="CS59" i="3" s="1"/>
  <c r="CL28" i="3"/>
  <c r="CS28" i="3" s="1"/>
  <c r="CL45" i="3"/>
  <c r="CS45" i="3" s="1"/>
  <c r="CU45" i="3" s="1"/>
  <c r="CL62" i="3"/>
  <c r="CS62" i="3" s="1"/>
  <c r="CL127" i="3"/>
  <c r="CS127" i="3" s="1"/>
  <c r="CL180" i="3"/>
  <c r="CS180" i="3" s="1"/>
  <c r="CU180" i="3" s="1"/>
  <c r="CL10" i="3"/>
  <c r="CS10" i="3" s="1"/>
  <c r="CL63" i="3"/>
  <c r="CS63" i="3" s="1"/>
  <c r="CL128" i="3"/>
  <c r="CS128" i="3" s="1"/>
  <c r="CL157" i="3"/>
  <c r="CS157" i="3" s="1"/>
  <c r="CU157" i="3" s="1"/>
  <c r="CL54" i="3"/>
  <c r="CS54" i="3" s="1"/>
  <c r="CL71" i="3"/>
  <c r="CS71" i="3" s="1"/>
  <c r="CL40" i="3"/>
  <c r="CS40" i="3" s="1"/>
  <c r="CL69" i="3"/>
  <c r="CS69" i="3" s="1"/>
  <c r="CU69" i="3" s="1"/>
  <c r="CL86" i="3"/>
  <c r="CS86" i="3" s="1"/>
  <c r="CL139" i="3"/>
  <c r="CS139" i="3" s="1"/>
  <c r="CL5" i="3"/>
  <c r="CS5" i="3" s="1"/>
  <c r="CL46" i="3"/>
  <c r="CS46" i="3" s="1"/>
  <c r="CL75" i="3"/>
  <c r="CS75" i="3" s="1"/>
  <c r="CL140" i="3"/>
  <c r="CS140" i="3" s="1"/>
  <c r="CU140" i="3" s="1"/>
  <c r="CL181" i="3"/>
  <c r="CS181" i="3" s="1"/>
  <c r="CE49" i="3"/>
  <c r="DE49" i="3" s="1"/>
  <c r="CL174" i="3"/>
  <c r="CS174" i="3" s="1"/>
  <c r="CL83" i="3"/>
  <c r="CS83" i="3" s="1"/>
  <c r="CL52" i="3"/>
  <c r="CS52" i="3" s="1"/>
  <c r="CL81" i="3"/>
  <c r="CS81" i="3" s="1"/>
  <c r="CL122" i="3"/>
  <c r="CS122" i="3" s="1"/>
  <c r="CU122" i="3" s="1"/>
  <c r="CL151" i="3"/>
  <c r="CS151" i="3" s="1"/>
  <c r="CL17" i="3"/>
  <c r="CS17" i="3" s="1"/>
  <c r="CL70" i="3"/>
  <c r="CS70" i="3" s="1"/>
  <c r="CL99" i="3"/>
  <c r="CS99" i="3" s="1"/>
  <c r="CL152" i="3"/>
  <c r="CS152" i="3" s="1"/>
  <c r="CL2" i="3"/>
  <c r="CS2" i="3" s="1"/>
  <c r="CD167" i="3"/>
  <c r="DD167" i="3" s="1"/>
  <c r="CD50" i="3"/>
  <c r="DD50" i="3" s="1"/>
  <c r="CD12" i="3"/>
  <c r="DD12" i="3" s="1"/>
  <c r="CD34" i="3"/>
  <c r="DD34" i="3" s="1"/>
  <c r="CD92" i="3"/>
  <c r="DD92" i="3" s="1"/>
  <c r="CE18" i="3"/>
  <c r="DE18" i="3" s="1"/>
  <c r="CF121" i="3"/>
  <c r="DF121" i="3" s="1"/>
  <c r="CL114" i="3"/>
  <c r="CS114" i="3" s="1"/>
  <c r="CL95" i="3"/>
  <c r="CS95" i="3" s="1"/>
  <c r="CU95" i="3" s="1"/>
  <c r="CL76" i="3"/>
  <c r="CS76" i="3" s="1"/>
  <c r="CU76" i="3" s="1"/>
  <c r="CL93" i="3"/>
  <c r="CS93" i="3" s="1"/>
  <c r="CL146" i="3"/>
  <c r="CS146" i="3" s="1"/>
  <c r="CL175" i="3"/>
  <c r="CS175" i="3" s="1"/>
  <c r="CL29" i="3"/>
  <c r="CS29" i="3" s="1"/>
  <c r="CU29" i="3" s="1"/>
  <c r="CL94" i="3"/>
  <c r="CS94" i="3" s="1"/>
  <c r="CL135" i="3"/>
  <c r="CS135" i="3" s="1"/>
  <c r="CL164" i="3"/>
  <c r="CS164" i="3" s="1"/>
  <c r="CD23" i="3"/>
  <c r="DD23" i="3" s="1"/>
  <c r="CD62" i="3"/>
  <c r="DD62" i="3" s="1"/>
  <c r="CD60" i="3"/>
  <c r="DD60" i="3" s="1"/>
  <c r="CD94" i="3"/>
  <c r="DD94" i="3" s="1"/>
  <c r="CD164" i="3"/>
  <c r="DD164" i="3" s="1"/>
  <c r="CE83" i="3"/>
  <c r="DE83" i="3" s="1"/>
  <c r="CF32" i="3"/>
  <c r="DF32" i="3" s="1"/>
  <c r="CL30" i="3"/>
  <c r="CS30" i="3" s="1"/>
  <c r="CL107" i="3"/>
  <c r="CS107" i="3" s="1"/>
  <c r="CU107" i="3" s="1"/>
  <c r="CL100" i="3"/>
  <c r="CS100" i="3" s="1"/>
  <c r="CL105" i="3"/>
  <c r="CS105" i="3" s="1"/>
  <c r="CL170" i="3"/>
  <c r="CS170" i="3" s="1"/>
  <c r="CL12" i="3"/>
  <c r="CS12" i="3" s="1"/>
  <c r="CL41" i="3"/>
  <c r="CS41" i="3" s="1"/>
  <c r="CL106" i="3"/>
  <c r="CS106" i="3" s="1"/>
  <c r="CL159" i="3"/>
  <c r="CS159" i="3" s="1"/>
  <c r="CL188" i="3"/>
  <c r="CS188" i="3" s="1"/>
  <c r="CU188" i="3" s="1"/>
  <c r="CE112" i="3"/>
  <c r="DE112" i="3" s="1"/>
  <c r="CL90" i="3"/>
  <c r="CS90" i="3" s="1"/>
  <c r="CL119" i="3"/>
  <c r="CS119" i="3" s="1"/>
  <c r="CL124" i="3"/>
  <c r="CS124" i="3" s="1"/>
  <c r="CL117" i="3"/>
  <c r="CS117" i="3" s="1"/>
  <c r="CL182" i="3"/>
  <c r="CS182" i="3" s="1"/>
  <c r="CU182" i="3" s="1"/>
  <c r="CL36" i="3"/>
  <c r="CS36" i="3" s="1"/>
  <c r="CU36" i="3" s="1"/>
  <c r="CL65" i="3"/>
  <c r="CS65" i="3" s="1"/>
  <c r="CU65" i="3" s="1"/>
  <c r="CL118" i="3"/>
  <c r="CS118" i="3" s="1"/>
  <c r="CL183" i="3"/>
  <c r="CS183" i="3" s="1"/>
  <c r="CL13" i="3"/>
  <c r="CS13" i="3" s="1"/>
  <c r="CD11" i="3"/>
  <c r="DD11" i="3" s="1"/>
  <c r="CD134" i="3"/>
  <c r="DD134" i="3" s="1"/>
  <c r="CD156" i="3"/>
  <c r="DD156" i="3" s="1"/>
  <c r="CD118" i="3"/>
  <c r="DD118" i="3" s="1"/>
  <c r="CD200" i="3"/>
  <c r="DD200" i="3" s="1"/>
  <c r="CE33" i="3"/>
  <c r="DE33" i="3" s="1"/>
  <c r="CL6" i="3"/>
  <c r="CS6" i="3" s="1"/>
  <c r="CL131" i="3"/>
  <c r="CS131" i="3" s="1"/>
  <c r="CL136" i="3"/>
  <c r="CS136" i="3" s="1"/>
  <c r="CL129" i="3"/>
  <c r="CS129" i="3" s="1"/>
  <c r="CU129" i="3" s="1"/>
  <c r="CL194" i="3"/>
  <c r="CS194" i="3" s="1"/>
  <c r="CL60" i="3"/>
  <c r="CS60" i="3" s="1"/>
  <c r="CL101" i="3"/>
  <c r="CS101" i="3" s="1"/>
  <c r="CL130" i="3"/>
  <c r="CS130" i="3" s="1"/>
  <c r="CL195" i="3"/>
  <c r="CS195" i="3" s="1"/>
  <c r="CL37" i="3"/>
  <c r="CS37" i="3" s="1"/>
  <c r="CU37" i="3" s="1"/>
  <c r="CD190" i="3"/>
  <c r="DD190" i="3" s="1"/>
  <c r="CD61" i="3"/>
  <c r="DD61" i="3" s="1"/>
  <c r="CE93" i="3"/>
  <c r="DE93" i="3" s="1"/>
  <c r="CL150" i="3"/>
  <c r="CS150" i="3" s="1"/>
  <c r="CU150" i="3" s="1"/>
  <c r="CL155" i="3"/>
  <c r="CS155" i="3" s="1"/>
  <c r="CL148" i="3"/>
  <c r="CS148" i="3" s="1"/>
  <c r="CL165" i="3"/>
  <c r="CS165" i="3" s="1"/>
  <c r="CL7" i="3"/>
  <c r="CS7" i="3" s="1"/>
  <c r="CL72" i="3"/>
  <c r="CS72" i="3" s="1"/>
  <c r="CL125" i="3"/>
  <c r="CS125" i="3" s="1"/>
  <c r="CL154" i="3"/>
  <c r="CS154" i="3" s="1"/>
  <c r="CL8" i="3"/>
  <c r="CS8" i="3" s="1"/>
  <c r="CL61" i="3"/>
  <c r="CS61" i="3" s="1"/>
  <c r="CC173" i="3"/>
  <c r="DC173" i="3" s="1"/>
  <c r="CC130" i="3"/>
  <c r="DC130" i="3" s="1"/>
  <c r="CC87" i="3"/>
  <c r="DC87" i="3" s="1"/>
  <c r="CC44" i="3"/>
  <c r="DC44" i="3" s="1"/>
  <c r="CC200" i="3"/>
  <c r="DC200" i="3" s="1"/>
  <c r="CC157" i="3"/>
  <c r="DC157" i="3" s="1"/>
  <c r="CC114" i="3"/>
  <c r="DC114" i="3" s="1"/>
  <c r="CC71" i="3"/>
  <c r="DC71" i="3" s="1"/>
  <c r="CC196" i="3"/>
  <c r="DC196" i="3" s="1"/>
  <c r="CD9" i="3"/>
  <c r="DD9" i="3" s="1"/>
  <c r="CD172" i="3"/>
  <c r="DD172" i="3" s="1"/>
  <c r="CD180" i="3"/>
  <c r="DD180" i="3" s="1"/>
  <c r="CD15" i="3"/>
  <c r="DD15" i="3" s="1"/>
  <c r="CD73" i="3"/>
  <c r="DD73" i="3" s="1"/>
  <c r="CE117" i="3"/>
  <c r="DE117" i="3" s="1"/>
  <c r="CE182" i="3"/>
  <c r="DE182" i="3" s="1"/>
  <c r="CE79" i="3"/>
  <c r="DE79" i="3" s="1"/>
  <c r="CF19" i="3"/>
  <c r="DF19" i="3" s="1"/>
  <c r="CE187" i="3"/>
  <c r="DE187" i="3" s="1"/>
  <c r="CD162" i="3"/>
  <c r="DD162" i="3" s="1"/>
  <c r="CE24" i="3"/>
  <c r="DE24" i="3" s="1"/>
  <c r="CE114" i="3"/>
  <c r="DE114" i="3" s="1"/>
  <c r="CE5" i="3"/>
  <c r="DE5" i="3" s="1"/>
  <c r="CC7" i="3"/>
  <c r="DC7" i="3" s="1"/>
  <c r="CC151" i="3"/>
  <c r="DC151" i="3" s="1"/>
  <c r="CC96" i="3"/>
  <c r="DC96" i="3" s="1"/>
  <c r="CC41" i="3"/>
  <c r="DC41" i="3" s="1"/>
  <c r="CC185" i="3"/>
  <c r="DC185" i="3" s="1"/>
  <c r="CC118" i="3"/>
  <c r="DC118" i="3" s="1"/>
  <c r="CC63" i="3"/>
  <c r="DC63" i="3" s="1"/>
  <c r="CC8" i="3"/>
  <c r="DC8" i="3" s="1"/>
  <c r="CC152" i="3"/>
  <c r="DC152" i="3" s="1"/>
  <c r="CC97" i="3"/>
  <c r="DC97" i="3" s="1"/>
  <c r="CC42" i="3"/>
  <c r="DC42" i="3" s="1"/>
  <c r="CC186" i="3"/>
  <c r="DC186" i="3" s="1"/>
  <c r="CD119" i="3"/>
  <c r="DD119" i="3" s="1"/>
  <c r="CD129" i="3"/>
  <c r="DD129" i="3" s="1"/>
  <c r="CD43" i="3"/>
  <c r="DD43" i="3" s="1"/>
  <c r="CD29" i="3"/>
  <c r="DD29" i="3" s="1"/>
  <c r="CD3" i="3"/>
  <c r="DD3" i="3" s="1"/>
  <c r="CD49" i="3"/>
  <c r="DD49" i="3" s="1"/>
  <c r="CE78" i="3"/>
  <c r="DE78" i="3" s="1"/>
  <c r="CE70" i="3"/>
  <c r="DE70" i="3" s="1"/>
  <c r="CE107" i="3"/>
  <c r="DE107" i="3" s="1"/>
  <c r="CE105" i="3"/>
  <c r="DE105" i="3" s="1"/>
  <c r="CE12" i="3"/>
  <c r="DE12" i="3" s="1"/>
  <c r="CE82" i="3"/>
  <c r="DE82" i="3" s="1"/>
  <c r="CE37" i="3"/>
  <c r="DE37" i="3" s="1"/>
  <c r="CE54" i="3"/>
  <c r="DE54" i="3" s="1"/>
  <c r="CE38" i="3"/>
  <c r="DE38" i="3" s="1"/>
  <c r="CE72" i="3"/>
  <c r="DE72" i="3" s="1"/>
  <c r="CE154" i="3"/>
  <c r="DE154" i="3" s="1"/>
  <c r="CE169" i="3"/>
  <c r="DE169" i="3" s="1"/>
  <c r="CE126" i="3"/>
  <c r="DE126" i="3" s="1"/>
  <c r="CE50" i="3"/>
  <c r="DE50" i="3" s="1"/>
  <c r="CE132" i="3"/>
  <c r="DE132" i="3" s="1"/>
  <c r="CE178" i="3"/>
  <c r="DE178" i="3" s="1"/>
  <c r="CE181" i="3"/>
  <c r="DE181" i="3" s="1"/>
  <c r="CE179" i="3"/>
  <c r="DE179" i="3" s="1"/>
  <c r="CE62" i="3"/>
  <c r="DE62" i="3" s="1"/>
  <c r="CE156" i="3"/>
  <c r="DE156" i="3" s="1"/>
  <c r="CE75" i="3"/>
  <c r="DE75" i="3" s="1"/>
  <c r="CE42" i="3"/>
  <c r="DE42" i="3" s="1"/>
  <c r="CE100" i="3"/>
  <c r="DE100" i="3" s="1"/>
  <c r="CE134" i="3"/>
  <c r="DE134" i="3" s="1"/>
  <c r="CE191" i="3"/>
  <c r="DE191" i="3" s="1"/>
  <c r="CE99" i="3"/>
  <c r="DE99" i="3" s="1"/>
  <c r="CE71" i="3"/>
  <c r="DE71" i="3" s="1"/>
  <c r="CE124" i="3"/>
  <c r="DE124" i="3" s="1"/>
  <c r="CE194" i="3"/>
  <c r="DE194" i="3" s="1"/>
  <c r="CE17" i="3"/>
  <c r="DE17" i="3" s="1"/>
  <c r="CE8" i="3"/>
  <c r="DE8" i="3" s="1"/>
  <c r="CD171" i="3"/>
  <c r="DD171" i="3" s="1"/>
  <c r="CD157" i="3"/>
  <c r="DD157" i="3" s="1"/>
  <c r="CE59" i="3"/>
  <c r="DE59" i="3" s="1"/>
  <c r="CE172" i="3"/>
  <c r="DE172" i="3" s="1"/>
  <c r="CE67" i="3"/>
  <c r="DE67" i="3" s="1"/>
  <c r="CE125" i="3"/>
  <c r="DE125" i="3" s="1"/>
  <c r="CE20" i="3"/>
  <c r="DE20" i="3" s="1"/>
  <c r="CD47" i="3"/>
  <c r="DD47" i="3" s="1"/>
  <c r="CD69" i="3"/>
  <c r="DD69" i="3" s="1"/>
  <c r="CD158" i="3"/>
  <c r="DD158" i="3" s="1"/>
  <c r="CD84" i="3"/>
  <c r="DD84" i="3" s="1"/>
  <c r="CD46" i="3"/>
  <c r="DD46" i="3" s="1"/>
  <c r="CD195" i="3"/>
  <c r="DD195" i="3" s="1"/>
  <c r="CD181" i="3"/>
  <c r="DD181" i="3" s="1"/>
  <c r="CE162" i="3"/>
  <c r="DE162" i="3" s="1"/>
  <c r="CE45" i="3"/>
  <c r="DE45" i="3" s="1"/>
  <c r="CE91" i="3"/>
  <c r="DE91" i="3" s="1"/>
  <c r="CE149" i="3"/>
  <c r="DE149" i="3" s="1"/>
  <c r="CE116" i="3"/>
  <c r="DE116" i="3" s="1"/>
  <c r="CD79" i="3"/>
  <c r="DD79" i="3" s="1"/>
  <c r="CD48" i="3"/>
  <c r="DD48" i="3" s="1"/>
  <c r="CD17" i="3"/>
  <c r="DD17" i="3" s="1"/>
  <c r="CD197" i="3"/>
  <c r="DD197" i="3" s="1"/>
  <c r="CD178" i="3"/>
  <c r="DD178" i="3" s="1"/>
  <c r="CD147" i="3"/>
  <c r="DD147" i="3" s="1"/>
  <c r="CD140" i="3"/>
  <c r="DD140" i="3" s="1"/>
  <c r="CD145" i="3"/>
  <c r="DD145" i="3" s="1"/>
  <c r="CD126" i="3"/>
  <c r="DD126" i="3" s="1"/>
  <c r="CE102" i="3"/>
  <c r="DE102" i="3" s="1"/>
  <c r="CE11" i="3"/>
  <c r="DE11" i="3" s="1"/>
  <c r="CE160" i="3"/>
  <c r="DE160" i="3" s="1"/>
  <c r="CE26" i="3"/>
  <c r="DE26" i="3" s="1"/>
  <c r="CE43" i="3"/>
  <c r="DE43" i="3" s="1"/>
  <c r="CE60" i="3"/>
  <c r="DE60" i="3" s="1"/>
  <c r="CE113" i="3"/>
  <c r="DE113" i="3" s="1"/>
  <c r="CE118" i="3"/>
  <c r="DE118" i="3" s="1"/>
  <c r="CE147" i="3"/>
  <c r="DE147" i="3" s="1"/>
  <c r="CE13" i="3"/>
  <c r="DE13" i="3" s="1"/>
  <c r="CE186" i="3"/>
  <c r="DE186" i="3" s="1"/>
  <c r="CE198" i="3"/>
  <c r="DE198" i="3" s="1"/>
  <c r="CD71" i="3"/>
  <c r="DD71" i="3" s="1"/>
  <c r="CD35" i="3"/>
  <c r="DD35" i="3" s="1"/>
  <c r="CD21" i="3"/>
  <c r="DD21" i="3" s="1"/>
  <c r="CD189" i="3"/>
  <c r="DD189" i="3" s="1"/>
  <c r="CD170" i="3"/>
  <c r="DD170" i="3" s="1"/>
  <c r="CD127" i="3"/>
  <c r="DD127" i="3" s="1"/>
  <c r="CD108" i="3"/>
  <c r="DD108" i="3" s="1"/>
  <c r="CD89" i="3"/>
  <c r="DD89" i="3" s="1"/>
  <c r="CD58" i="3"/>
  <c r="DD58" i="3" s="1"/>
  <c r="CD27" i="3"/>
  <c r="DD27" i="3" s="1"/>
  <c r="CD20" i="3"/>
  <c r="DD20" i="3" s="1"/>
  <c r="CD13" i="3"/>
  <c r="DD13" i="3" s="1"/>
  <c r="CD193" i="3"/>
  <c r="DD193" i="3" s="1"/>
  <c r="CD174" i="3"/>
  <c r="DD174" i="3" s="1"/>
  <c r="CE47" i="3"/>
  <c r="DE47" i="3" s="1"/>
  <c r="CE4" i="3"/>
  <c r="DE4" i="3" s="1"/>
  <c r="CE57" i="3"/>
  <c r="DE57" i="3" s="1"/>
  <c r="CE74" i="3"/>
  <c r="DE74" i="3" s="1"/>
  <c r="CE103" i="3"/>
  <c r="DE103" i="3" s="1"/>
  <c r="CE168" i="3"/>
  <c r="DE168" i="3" s="1"/>
  <c r="CE161" i="3"/>
  <c r="DE161" i="3" s="1"/>
  <c r="CE190" i="3"/>
  <c r="DE190" i="3" s="1"/>
  <c r="CE44" i="3"/>
  <c r="DE44" i="3" s="1"/>
  <c r="CE61" i="3"/>
  <c r="DE61" i="3" s="1"/>
  <c r="CF31" i="3"/>
  <c r="DF31" i="3" s="1"/>
  <c r="CD143" i="3"/>
  <c r="DD143" i="3" s="1"/>
  <c r="CD40" i="3"/>
  <c r="DD40" i="3" s="1"/>
  <c r="CD33" i="3"/>
  <c r="DD33" i="3" s="1"/>
  <c r="CD14" i="3"/>
  <c r="DD14" i="3" s="1"/>
  <c r="CD182" i="3"/>
  <c r="DD182" i="3" s="1"/>
  <c r="CD139" i="3"/>
  <c r="DD139" i="3" s="1"/>
  <c r="CD132" i="3"/>
  <c r="DD132" i="3" s="1"/>
  <c r="CD101" i="3"/>
  <c r="DD101" i="3" s="1"/>
  <c r="CD70" i="3"/>
  <c r="DD70" i="3" s="1"/>
  <c r="CD39" i="3"/>
  <c r="DD39" i="3" s="1"/>
  <c r="CD44" i="3"/>
  <c r="DD44" i="3" s="1"/>
  <c r="CD25" i="3"/>
  <c r="DD25" i="3" s="1"/>
  <c r="CD6" i="3"/>
  <c r="DD6" i="3" s="1"/>
  <c r="CD198" i="3"/>
  <c r="DD198" i="3" s="1"/>
  <c r="CE119" i="3"/>
  <c r="DE119" i="3" s="1"/>
  <c r="CE64" i="3"/>
  <c r="DE64" i="3" s="1"/>
  <c r="CE69" i="3"/>
  <c r="DE69" i="3" s="1"/>
  <c r="CE98" i="3"/>
  <c r="DE98" i="3" s="1"/>
  <c r="CE151" i="3"/>
  <c r="DE151" i="3" s="1"/>
  <c r="CE180" i="3"/>
  <c r="DE180" i="3" s="1"/>
  <c r="CE173" i="3"/>
  <c r="DE173" i="3" s="1"/>
  <c r="CE39" i="3"/>
  <c r="DE39" i="3" s="1"/>
  <c r="CE68" i="3"/>
  <c r="DE68" i="3" s="1"/>
  <c r="CE73" i="3"/>
  <c r="DE73" i="3" s="1"/>
  <c r="CF132" i="3"/>
  <c r="DF132" i="3" s="1"/>
  <c r="CD100" i="3"/>
  <c r="DD100" i="3" s="1"/>
  <c r="CD64" i="3"/>
  <c r="DD64" i="3" s="1"/>
  <c r="CD45" i="3"/>
  <c r="DD45" i="3" s="1"/>
  <c r="CD26" i="3"/>
  <c r="DD26" i="3" s="1"/>
  <c r="CD194" i="3"/>
  <c r="DD194" i="3" s="1"/>
  <c r="CD163" i="3"/>
  <c r="DD163" i="3" s="1"/>
  <c r="CD144" i="3"/>
  <c r="DD144" i="3" s="1"/>
  <c r="CD113" i="3"/>
  <c r="DD113" i="3" s="1"/>
  <c r="CD82" i="3"/>
  <c r="DD82" i="3" s="1"/>
  <c r="CD51" i="3"/>
  <c r="DD51" i="3" s="1"/>
  <c r="CD56" i="3"/>
  <c r="DD56" i="3" s="1"/>
  <c r="CD37" i="3"/>
  <c r="DD37" i="3" s="1"/>
  <c r="CD18" i="3"/>
  <c r="DD18" i="3" s="1"/>
  <c r="CD191" i="3"/>
  <c r="DD191" i="3" s="1"/>
  <c r="CE6" i="3"/>
  <c r="DE6" i="3" s="1"/>
  <c r="CE88" i="3"/>
  <c r="DE88" i="3" s="1"/>
  <c r="CE81" i="3"/>
  <c r="DE81" i="3" s="1"/>
  <c r="CE122" i="3"/>
  <c r="DE122" i="3" s="1"/>
  <c r="CE163" i="3"/>
  <c r="DE163" i="3" s="1"/>
  <c r="CE192" i="3"/>
  <c r="DE192" i="3" s="1"/>
  <c r="CE185" i="3"/>
  <c r="DE185" i="3" s="1"/>
  <c r="CE51" i="3"/>
  <c r="DE51" i="3" s="1"/>
  <c r="CE80" i="3"/>
  <c r="DE80" i="3" s="1"/>
  <c r="CE85" i="3"/>
  <c r="DE85" i="3" s="1"/>
  <c r="CF144" i="3"/>
  <c r="DF144" i="3" s="1"/>
  <c r="CE10" i="3"/>
  <c r="DE10" i="3" s="1"/>
  <c r="CE63" i="3"/>
  <c r="DE63" i="3" s="1"/>
  <c r="CE92" i="3"/>
  <c r="DE92" i="3" s="1"/>
  <c r="CE97" i="3"/>
  <c r="DE97" i="3" s="1"/>
  <c r="CD88" i="3"/>
  <c r="DD88" i="3" s="1"/>
  <c r="CD95" i="3"/>
  <c r="DD95" i="3" s="1"/>
  <c r="CD93" i="3"/>
  <c r="DD93" i="3" s="1"/>
  <c r="CD86" i="3"/>
  <c r="DD86" i="3" s="1"/>
  <c r="CD55" i="3"/>
  <c r="DD55" i="3" s="1"/>
  <c r="CD24" i="3"/>
  <c r="DD24" i="3" s="1"/>
  <c r="CD192" i="3"/>
  <c r="DD192" i="3" s="1"/>
  <c r="CD161" i="3"/>
  <c r="DD161" i="3" s="1"/>
  <c r="CD142" i="3"/>
  <c r="DD142" i="3" s="1"/>
  <c r="CD123" i="3"/>
  <c r="DD123" i="3" s="1"/>
  <c r="CD104" i="3"/>
  <c r="DD104" i="3" s="1"/>
  <c r="CD85" i="3"/>
  <c r="DD85" i="3" s="1"/>
  <c r="CD102" i="3"/>
  <c r="DD102" i="3" s="1"/>
  <c r="CE143" i="3"/>
  <c r="DE143" i="3" s="1"/>
  <c r="CE138" i="3"/>
  <c r="DE138" i="3" s="1"/>
  <c r="CE136" i="3"/>
  <c r="DE136" i="3" s="1"/>
  <c r="CE141" i="3"/>
  <c r="DE141" i="3" s="1"/>
  <c r="CE7" i="3"/>
  <c r="DE7" i="3" s="1"/>
  <c r="CE36" i="3"/>
  <c r="DE36" i="3" s="1"/>
  <c r="CE29" i="3"/>
  <c r="DE29" i="3" s="1"/>
  <c r="CE94" i="3"/>
  <c r="DE94" i="3" s="1"/>
  <c r="CE123" i="3"/>
  <c r="DE123" i="3" s="1"/>
  <c r="CE128" i="3"/>
  <c r="DE128" i="3" s="1"/>
  <c r="CE193" i="3"/>
  <c r="DE193" i="3" s="1"/>
  <c r="CD160" i="3"/>
  <c r="DD160" i="3" s="1"/>
  <c r="CD52" i="3"/>
  <c r="DD52" i="3" s="1"/>
  <c r="CD105" i="3"/>
  <c r="DD105" i="3" s="1"/>
  <c r="CD110" i="3"/>
  <c r="DD110" i="3" s="1"/>
  <c r="CD67" i="3"/>
  <c r="DD67" i="3" s="1"/>
  <c r="CD36" i="3"/>
  <c r="DD36" i="3" s="1"/>
  <c r="CD5" i="3"/>
  <c r="DD5" i="3" s="1"/>
  <c r="CD173" i="3"/>
  <c r="DD173" i="3" s="1"/>
  <c r="CD166" i="3"/>
  <c r="DD166" i="3" s="1"/>
  <c r="CD135" i="3"/>
  <c r="DD135" i="3" s="1"/>
  <c r="CD116" i="3"/>
  <c r="DD116" i="3" s="1"/>
  <c r="CD133" i="3"/>
  <c r="DD133" i="3" s="1"/>
  <c r="CD114" i="3"/>
  <c r="DD114" i="3" s="1"/>
  <c r="CE30" i="3"/>
  <c r="DE30" i="3" s="1"/>
  <c r="CE95" i="3"/>
  <c r="DE95" i="3" s="1"/>
  <c r="CE148" i="3"/>
  <c r="DE148" i="3" s="1"/>
  <c r="CE14" i="3"/>
  <c r="DE14" i="3" s="1"/>
  <c r="CE19" i="3"/>
  <c r="DE19" i="3" s="1"/>
  <c r="CE48" i="3"/>
  <c r="DE48" i="3" s="1"/>
  <c r="CE101" i="3"/>
  <c r="DE101" i="3" s="1"/>
  <c r="CE106" i="3"/>
  <c r="DE106" i="3" s="1"/>
  <c r="CE135" i="3"/>
  <c r="DE135" i="3" s="1"/>
  <c r="CE188" i="3"/>
  <c r="DE188" i="3" s="1"/>
  <c r="CE174" i="3"/>
  <c r="DE174" i="3" s="1"/>
  <c r="CF58" i="3"/>
  <c r="DF58" i="3" s="1"/>
  <c r="CF70" i="3"/>
  <c r="DF70" i="3" s="1"/>
  <c r="CF49" i="3"/>
  <c r="DF49" i="3" s="1"/>
  <c r="CF8" i="3"/>
  <c r="DF8" i="3" s="1"/>
  <c r="CF167" i="3"/>
  <c r="DF167" i="3" s="1"/>
  <c r="CE16" i="3"/>
  <c r="DE16" i="3" s="1"/>
  <c r="CE184" i="3"/>
  <c r="DE184" i="3" s="1"/>
  <c r="CE165" i="3"/>
  <c r="DE165" i="3" s="1"/>
  <c r="CE146" i="3"/>
  <c r="DE146" i="3" s="1"/>
  <c r="CE115" i="3"/>
  <c r="DE115" i="3" s="1"/>
  <c r="CE84" i="3"/>
  <c r="DE84" i="3" s="1"/>
  <c r="CE41" i="3"/>
  <c r="DE41" i="3" s="1"/>
  <c r="CE34" i="3"/>
  <c r="DE34" i="3" s="1"/>
  <c r="CE3" i="3"/>
  <c r="DE3" i="3" s="1"/>
  <c r="CE171" i="3"/>
  <c r="DE171" i="3" s="1"/>
  <c r="CE140" i="3"/>
  <c r="DE140" i="3" s="1"/>
  <c r="CE109" i="3"/>
  <c r="DE109" i="3" s="1"/>
  <c r="CF179" i="3"/>
  <c r="DF179" i="3" s="1"/>
  <c r="CD196" i="3"/>
  <c r="DD196" i="3" s="1"/>
  <c r="CD159" i="3"/>
  <c r="DD159" i="3" s="1"/>
  <c r="CD128" i="3"/>
  <c r="DD128" i="3" s="1"/>
  <c r="CD109" i="3"/>
  <c r="DD109" i="3" s="1"/>
  <c r="CD90" i="3"/>
  <c r="DD90" i="3" s="1"/>
  <c r="CE155" i="3"/>
  <c r="DE155" i="3" s="1"/>
  <c r="CE150" i="3"/>
  <c r="DE150" i="3" s="1"/>
  <c r="CE28" i="3"/>
  <c r="DE28" i="3" s="1"/>
  <c r="CE167" i="3"/>
  <c r="DE167" i="3" s="1"/>
  <c r="CE177" i="3"/>
  <c r="DE177" i="3" s="1"/>
  <c r="CE158" i="3"/>
  <c r="DE158" i="3" s="1"/>
  <c r="CE127" i="3"/>
  <c r="DE127" i="3" s="1"/>
  <c r="CE96" i="3"/>
  <c r="DE96" i="3" s="1"/>
  <c r="CE65" i="3"/>
  <c r="DE65" i="3" s="1"/>
  <c r="CE46" i="3"/>
  <c r="DE46" i="3" s="1"/>
  <c r="CE15" i="3"/>
  <c r="DE15" i="3" s="1"/>
  <c r="CE183" i="3"/>
  <c r="DE183" i="3" s="1"/>
  <c r="CE152" i="3"/>
  <c r="DE152" i="3" s="1"/>
  <c r="CE133" i="3"/>
  <c r="DE133" i="3" s="1"/>
  <c r="CF81" i="3"/>
  <c r="DF81" i="3" s="1"/>
  <c r="CE35" i="3"/>
  <c r="DE35" i="3" s="1"/>
  <c r="CE40" i="3"/>
  <c r="DE40" i="3" s="1"/>
  <c r="CE21" i="3"/>
  <c r="DE21" i="3" s="1"/>
  <c r="CE189" i="3"/>
  <c r="DE189" i="3" s="1"/>
  <c r="CE170" i="3"/>
  <c r="DE170" i="3" s="1"/>
  <c r="CE139" i="3"/>
  <c r="DE139" i="3" s="1"/>
  <c r="CE108" i="3"/>
  <c r="DE108" i="3" s="1"/>
  <c r="CE89" i="3"/>
  <c r="DE89" i="3" s="1"/>
  <c r="CE58" i="3"/>
  <c r="DE58" i="3" s="1"/>
  <c r="CE27" i="3"/>
  <c r="DE27" i="3" s="1"/>
  <c r="CE195" i="3"/>
  <c r="DE195" i="3" s="1"/>
  <c r="CE164" i="3"/>
  <c r="DE164" i="3" s="1"/>
  <c r="CE157" i="3"/>
  <c r="DE157" i="3" s="1"/>
  <c r="CF105" i="3"/>
  <c r="DF105" i="3" s="1"/>
  <c r="CL74" i="3"/>
  <c r="CS74" i="3" s="1"/>
  <c r="CL19" i="3"/>
  <c r="CS19" i="3" s="1"/>
  <c r="CU19" i="3" s="1"/>
  <c r="CL163" i="3"/>
  <c r="CS163" i="3" s="1"/>
  <c r="CL108" i="3"/>
  <c r="CS108" i="3" s="1"/>
  <c r="CL53" i="3"/>
  <c r="CS53" i="3" s="1"/>
  <c r="CU53" i="3" s="1"/>
  <c r="CL197" i="3"/>
  <c r="CS197" i="3" s="1"/>
  <c r="CL142" i="3"/>
  <c r="CS142" i="3" s="1"/>
  <c r="CL87" i="3"/>
  <c r="CS87" i="3" s="1"/>
  <c r="CU87" i="3" s="1"/>
  <c r="CL32" i="3"/>
  <c r="CS32" i="3" s="1"/>
  <c r="CU32" i="3" s="1"/>
  <c r="CL176" i="3"/>
  <c r="CS176" i="3" s="1"/>
  <c r="CL109" i="3"/>
  <c r="CS109" i="3" s="1"/>
  <c r="CF150" i="3"/>
  <c r="DF150" i="3" s="1"/>
  <c r="CF28" i="3"/>
  <c r="DF28" i="3" s="1"/>
  <c r="CF141" i="3"/>
  <c r="DF141" i="3" s="1"/>
  <c r="CF67" i="3"/>
  <c r="DF67" i="3" s="1"/>
  <c r="CF180" i="3"/>
  <c r="DF180" i="3" s="1"/>
  <c r="CF130" i="3"/>
  <c r="DF130" i="3" s="1"/>
  <c r="CF68" i="3"/>
  <c r="DF68" i="3" s="1"/>
  <c r="CF169" i="3"/>
  <c r="DF169" i="3" s="1"/>
  <c r="CF52" i="3"/>
  <c r="DF52" i="3" s="1"/>
  <c r="CF165" i="3"/>
  <c r="DF165" i="3" s="1"/>
  <c r="CF91" i="3"/>
  <c r="DF91" i="3" s="1"/>
  <c r="CF5" i="3"/>
  <c r="DF5" i="3" s="1"/>
  <c r="CF154" i="3"/>
  <c r="DF154" i="3" s="1"/>
  <c r="CF104" i="3"/>
  <c r="DF104" i="3" s="1"/>
  <c r="CL196" i="3"/>
  <c r="CS196" i="3" s="1"/>
  <c r="CU196" i="3" s="1"/>
  <c r="CL141" i="3"/>
  <c r="CS141" i="3" s="1"/>
  <c r="CL98" i="3"/>
  <c r="CS98" i="3" s="1"/>
  <c r="CL43" i="3"/>
  <c r="CS43" i="3" s="1"/>
  <c r="CU43" i="3" s="1"/>
  <c r="CL187" i="3"/>
  <c r="CS187" i="3" s="1"/>
  <c r="CU187" i="3" s="1"/>
  <c r="CL132" i="3"/>
  <c r="CS132" i="3" s="1"/>
  <c r="CL77" i="3"/>
  <c r="CS77" i="3" s="1"/>
  <c r="CL22" i="3"/>
  <c r="CS22" i="3" s="1"/>
  <c r="CU22" i="3" s="1"/>
  <c r="CL166" i="3"/>
  <c r="CS166" i="3" s="1"/>
  <c r="CL111" i="3"/>
  <c r="CS111" i="3" s="1"/>
  <c r="CL56" i="3"/>
  <c r="CS56" i="3" s="1"/>
  <c r="CL200" i="3"/>
  <c r="CS200" i="3" s="1"/>
  <c r="CU200" i="3" s="1"/>
  <c r="CL133" i="3"/>
  <c r="CS133" i="3" s="1"/>
  <c r="CF66" i="3"/>
  <c r="DF66" i="3" s="1"/>
  <c r="CF64" i="3"/>
  <c r="DF64" i="3" s="1"/>
  <c r="CF177" i="3"/>
  <c r="DF177" i="3" s="1"/>
  <c r="CF103" i="3"/>
  <c r="DF103" i="3" s="1"/>
  <c r="CF17" i="3"/>
  <c r="DF17" i="3" s="1"/>
  <c r="CF178" i="3"/>
  <c r="DF178" i="3" s="1"/>
  <c r="CF128" i="3"/>
  <c r="DF128" i="3" s="1"/>
  <c r="CL64" i="3"/>
  <c r="CS64" i="3" s="1"/>
  <c r="CL9" i="3"/>
  <c r="CS9" i="3" s="1"/>
  <c r="CL153" i="3"/>
  <c r="CS153" i="3" s="1"/>
  <c r="CL110" i="3"/>
  <c r="CS110" i="3" s="1"/>
  <c r="CU110" i="3" s="1"/>
  <c r="CL55" i="3"/>
  <c r="CS55" i="3" s="1"/>
  <c r="CL199" i="3"/>
  <c r="CS199" i="3" s="1"/>
  <c r="CL144" i="3"/>
  <c r="CS144" i="3" s="1"/>
  <c r="CL89" i="3"/>
  <c r="CS89" i="3" s="1"/>
  <c r="CU89" i="3" s="1"/>
  <c r="CL34" i="3"/>
  <c r="CS34" i="3" s="1"/>
  <c r="CL178" i="3"/>
  <c r="CS178" i="3" s="1"/>
  <c r="CU178" i="3" s="1"/>
  <c r="CL123" i="3"/>
  <c r="CS123" i="3" s="1"/>
  <c r="CU123" i="3" s="1"/>
  <c r="CL68" i="3"/>
  <c r="CS68" i="3" s="1"/>
  <c r="CU68" i="3" s="1"/>
  <c r="CL186" i="3"/>
  <c r="CS186" i="3" s="1"/>
  <c r="CL145" i="3"/>
  <c r="CS145" i="3" s="1"/>
  <c r="CF13" i="3"/>
  <c r="DF13" i="3" s="1"/>
  <c r="CF138" i="3"/>
  <c r="DF138" i="3" s="1"/>
  <c r="CF76" i="3"/>
  <c r="DF76" i="3" s="1"/>
  <c r="CF189" i="3"/>
  <c r="DF189" i="3" s="1"/>
  <c r="CF115" i="3"/>
  <c r="DF115" i="3" s="1"/>
  <c r="CF41" i="3"/>
  <c r="DF41" i="3" s="1"/>
  <c r="CF190" i="3"/>
  <c r="DF190" i="3" s="1"/>
  <c r="CF140" i="3"/>
  <c r="DF140" i="3" s="1"/>
  <c r="CF85" i="3"/>
  <c r="DF85" i="3" s="1"/>
  <c r="CF11" i="3"/>
  <c r="DF11" i="3" s="1"/>
  <c r="CF124" i="3"/>
  <c r="DF124" i="3" s="1"/>
  <c r="CF62" i="3"/>
  <c r="DF62" i="3" s="1"/>
  <c r="CF175" i="3"/>
  <c r="DF175" i="3" s="1"/>
  <c r="CF89" i="3"/>
  <c r="DF89" i="3" s="1"/>
  <c r="CF39" i="3"/>
  <c r="DF39" i="3" s="1"/>
  <c r="CF200" i="3"/>
  <c r="DF200" i="3" s="1"/>
  <c r="CL18" i="3"/>
  <c r="CS18" i="3" s="1"/>
  <c r="CL198" i="3"/>
  <c r="CS198" i="3" s="1"/>
  <c r="CU198" i="3" s="1"/>
  <c r="CL143" i="3"/>
  <c r="CS143" i="3" s="1"/>
  <c r="CL88" i="3"/>
  <c r="CS88" i="3" s="1"/>
  <c r="CU88" i="3" s="1"/>
  <c r="CL33" i="3"/>
  <c r="CS33" i="3" s="1"/>
  <c r="CL177" i="3"/>
  <c r="CS177" i="3" s="1"/>
  <c r="CL134" i="3"/>
  <c r="CS134" i="3" s="1"/>
  <c r="CL79" i="3"/>
  <c r="CS79" i="3" s="1"/>
  <c r="CL24" i="3"/>
  <c r="CS24" i="3" s="1"/>
  <c r="CU24" i="3" s="1"/>
  <c r="CL168" i="3"/>
  <c r="CS168" i="3" s="1"/>
  <c r="CL113" i="3"/>
  <c r="CS113" i="3" s="1"/>
  <c r="CL58" i="3"/>
  <c r="CS58" i="3" s="1"/>
  <c r="CL3" i="3"/>
  <c r="CS3" i="3" s="1"/>
  <c r="CL147" i="3"/>
  <c r="CS147" i="3" s="1"/>
  <c r="CU147" i="3" s="1"/>
  <c r="CL92" i="3"/>
  <c r="CS92" i="3" s="1"/>
  <c r="CL25" i="3"/>
  <c r="CS25" i="3" s="1"/>
  <c r="CL169" i="3"/>
  <c r="CS169" i="3" s="1"/>
  <c r="CD28" i="3"/>
  <c r="DD28" i="3" s="1"/>
  <c r="CD148" i="3"/>
  <c r="DD148" i="3" s="1"/>
  <c r="CD83" i="3"/>
  <c r="DD83" i="3" s="1"/>
  <c r="CD117" i="3"/>
  <c r="DD117" i="3" s="1"/>
  <c r="CD74" i="3"/>
  <c r="DD74" i="3" s="1"/>
  <c r="CD7" i="3"/>
  <c r="DD7" i="3" s="1"/>
  <c r="CD151" i="3"/>
  <c r="DD151" i="3" s="1"/>
  <c r="CD96" i="3"/>
  <c r="DD96" i="3" s="1"/>
  <c r="CD41" i="3"/>
  <c r="DD41" i="3" s="1"/>
  <c r="CD185" i="3"/>
  <c r="DD185" i="3" s="1"/>
  <c r="CD130" i="3"/>
  <c r="DD130" i="3" s="1"/>
  <c r="CD63" i="3"/>
  <c r="DD63" i="3" s="1"/>
  <c r="CD8" i="3"/>
  <c r="DD8" i="3" s="1"/>
  <c r="CD152" i="3"/>
  <c r="DD152" i="3" s="1"/>
  <c r="CD97" i="3"/>
  <c r="DD97" i="3" s="1"/>
  <c r="CD42" i="3"/>
  <c r="DD42" i="3" s="1"/>
  <c r="CD186" i="3"/>
  <c r="DD186" i="3" s="1"/>
  <c r="CE131" i="3"/>
  <c r="DE131" i="3" s="1"/>
  <c r="CE66" i="3"/>
  <c r="DE66" i="3" s="1"/>
  <c r="CE52" i="3"/>
  <c r="DE52" i="3" s="1"/>
  <c r="CE196" i="3"/>
  <c r="DE196" i="3" s="1"/>
  <c r="CE129" i="3"/>
  <c r="DE129" i="3" s="1"/>
  <c r="CE86" i="3"/>
  <c r="DE86" i="3" s="1"/>
  <c r="CE31" i="3"/>
  <c r="DE31" i="3" s="1"/>
  <c r="CE175" i="3"/>
  <c r="DE175" i="3" s="1"/>
  <c r="CE120" i="3"/>
  <c r="DE120" i="3" s="1"/>
  <c r="CE53" i="3"/>
  <c r="DE53" i="3" s="1"/>
  <c r="CE197" i="3"/>
  <c r="DE197" i="3" s="1"/>
  <c r="CE142" i="3"/>
  <c r="DE142" i="3" s="1"/>
  <c r="CE87" i="3"/>
  <c r="DE87" i="3" s="1"/>
  <c r="CE32" i="3"/>
  <c r="DE32" i="3" s="1"/>
  <c r="CE176" i="3"/>
  <c r="DE176" i="3" s="1"/>
  <c r="CE121" i="3"/>
  <c r="DE121" i="3" s="1"/>
  <c r="CF157" i="3"/>
  <c r="DF157" i="3" s="1"/>
  <c r="CF23" i="3"/>
  <c r="DF23" i="3" s="1"/>
  <c r="CF136" i="3"/>
  <c r="DF136" i="3" s="1"/>
  <c r="CF74" i="3"/>
  <c r="DF74" i="3" s="1"/>
  <c r="CF187" i="3"/>
  <c r="DF187" i="3" s="1"/>
  <c r="CF101" i="3"/>
  <c r="DF101" i="3" s="1"/>
  <c r="CF63" i="3"/>
  <c r="DF63" i="3" s="1"/>
  <c r="CF181" i="3"/>
  <c r="DF181" i="3" s="1"/>
  <c r="CF73" i="3"/>
  <c r="DF73" i="3" s="1"/>
  <c r="CF71" i="3"/>
  <c r="DF71" i="3" s="1"/>
  <c r="CF184" i="3"/>
  <c r="DF184" i="3" s="1"/>
  <c r="CF110" i="3"/>
  <c r="DF110" i="3" s="1"/>
  <c r="CF24" i="3"/>
  <c r="DF24" i="3" s="1"/>
  <c r="CF137" i="3"/>
  <c r="DF137" i="3" s="1"/>
  <c r="CF111" i="3"/>
  <c r="DF111" i="3" s="1"/>
  <c r="CL78" i="3"/>
  <c r="CS78" i="3" s="1"/>
  <c r="CU78" i="3" s="1"/>
  <c r="CL23" i="3"/>
  <c r="CS23" i="3" s="1"/>
  <c r="CL167" i="3"/>
  <c r="CS167" i="3" s="1"/>
  <c r="CL112" i="3"/>
  <c r="CS112" i="3" s="1"/>
  <c r="CL57" i="3"/>
  <c r="CS57" i="3" s="1"/>
  <c r="CU57" i="3" s="1"/>
  <c r="CL14" i="3"/>
  <c r="CS14" i="3" s="1"/>
  <c r="CL158" i="3"/>
  <c r="CS158" i="3" s="1"/>
  <c r="CL103" i="3"/>
  <c r="CS103" i="3" s="1"/>
  <c r="CL48" i="3"/>
  <c r="CS48" i="3" s="1"/>
  <c r="CL192" i="3"/>
  <c r="CS192" i="3" s="1"/>
  <c r="CU192" i="3" s="1"/>
  <c r="CL137" i="3"/>
  <c r="CS137" i="3" s="1"/>
  <c r="CL82" i="3"/>
  <c r="CS82" i="3" s="1"/>
  <c r="CL27" i="3"/>
  <c r="CS27" i="3" s="1"/>
  <c r="CL171" i="3"/>
  <c r="CS171" i="3" s="1"/>
  <c r="CL116" i="3"/>
  <c r="CS116" i="3" s="1"/>
  <c r="CL49" i="3"/>
  <c r="CS49" i="3" s="1"/>
  <c r="CL193" i="3"/>
  <c r="CS193" i="3" s="1"/>
  <c r="CU193" i="3" s="1"/>
  <c r="CD59" i="3"/>
  <c r="DD59" i="3" s="1"/>
  <c r="CD107" i="3"/>
  <c r="DD107" i="3" s="1"/>
  <c r="CD184" i="3"/>
  <c r="DD184" i="3" s="1"/>
  <c r="CD141" i="3"/>
  <c r="DD141" i="3" s="1"/>
  <c r="CD98" i="3"/>
  <c r="DD98" i="3" s="1"/>
  <c r="CD31" i="3"/>
  <c r="DD31" i="3" s="1"/>
  <c r="CD175" i="3"/>
  <c r="DD175" i="3" s="1"/>
  <c r="CD120" i="3"/>
  <c r="DD120" i="3" s="1"/>
  <c r="CD65" i="3"/>
  <c r="DD65" i="3" s="1"/>
  <c r="CD10" i="3"/>
  <c r="DD10" i="3" s="1"/>
  <c r="CD154" i="3"/>
  <c r="DD154" i="3" s="1"/>
  <c r="CD87" i="3"/>
  <c r="DD87" i="3" s="1"/>
  <c r="CD32" i="3"/>
  <c r="DD32" i="3" s="1"/>
  <c r="CD176" i="3"/>
  <c r="DD176" i="3" s="1"/>
  <c r="CD121" i="3"/>
  <c r="DD121" i="3" s="1"/>
  <c r="CD66" i="3"/>
  <c r="DD66" i="3" s="1"/>
  <c r="CE90" i="3"/>
  <c r="DE90" i="3" s="1"/>
  <c r="CE23" i="3"/>
  <c r="DE23" i="3" s="1"/>
  <c r="CE76" i="3"/>
  <c r="DE76" i="3" s="1"/>
  <c r="CE9" i="3"/>
  <c r="DE9" i="3" s="1"/>
  <c r="CE153" i="3"/>
  <c r="DE153" i="3" s="1"/>
  <c r="CE110" i="3"/>
  <c r="DE110" i="3" s="1"/>
  <c r="CE55" i="3"/>
  <c r="DE55" i="3" s="1"/>
  <c r="CE199" i="3"/>
  <c r="DE199" i="3" s="1"/>
  <c r="CE144" i="3"/>
  <c r="DE144" i="3" s="1"/>
  <c r="CE77" i="3"/>
  <c r="DE77" i="3" s="1"/>
  <c r="CE22" i="3"/>
  <c r="DE22" i="3" s="1"/>
  <c r="CE166" i="3"/>
  <c r="DE166" i="3" s="1"/>
  <c r="CE111" i="3"/>
  <c r="DE111" i="3" s="1"/>
  <c r="CE56" i="3"/>
  <c r="DE56" i="3" s="1"/>
  <c r="CE200" i="3"/>
  <c r="DE200" i="3" s="1"/>
  <c r="CF102" i="3"/>
  <c r="DF102" i="3" s="1"/>
  <c r="CF95" i="3"/>
  <c r="DF95" i="3" s="1"/>
  <c r="CF9" i="3"/>
  <c r="DF9" i="3" s="1"/>
  <c r="CF134" i="3"/>
  <c r="DF134" i="3" s="1"/>
  <c r="CF48" i="3"/>
  <c r="DF48" i="3" s="1"/>
  <c r="CF185" i="3"/>
  <c r="DF185" i="3" s="1"/>
  <c r="CF135" i="3"/>
  <c r="DF135" i="3" s="1"/>
  <c r="CF61" i="3"/>
  <c r="DF61" i="3" s="1"/>
  <c r="CF107" i="3"/>
  <c r="DF107" i="3" s="1"/>
  <c r="CF21" i="3"/>
  <c r="DF21" i="3" s="1"/>
  <c r="CF146" i="3"/>
  <c r="DF146" i="3" s="1"/>
  <c r="CF60" i="3"/>
  <c r="DF60" i="3" s="1"/>
  <c r="CF197" i="3"/>
  <c r="DF197" i="3" s="1"/>
  <c r="CF147" i="3"/>
  <c r="DF147" i="3" s="1"/>
  <c r="CF133" i="3"/>
  <c r="DF133" i="3" s="1"/>
  <c r="CF119" i="3"/>
  <c r="DF119" i="3" s="1"/>
  <c r="CF33" i="3"/>
  <c r="DF33" i="3" s="1"/>
  <c r="CF158" i="3"/>
  <c r="DF158" i="3" s="1"/>
  <c r="CF72" i="3"/>
  <c r="DF72" i="3" s="1"/>
  <c r="CF10" i="3"/>
  <c r="DF10" i="3" s="1"/>
  <c r="CF159" i="3"/>
  <c r="DF159" i="3" s="1"/>
  <c r="CF18" i="3"/>
  <c r="DF18" i="3" s="1"/>
  <c r="CF25" i="3"/>
  <c r="DF25" i="3" s="1"/>
  <c r="CF131" i="3"/>
  <c r="DF131" i="3" s="1"/>
  <c r="CF88" i="3"/>
  <c r="DF88" i="3" s="1"/>
  <c r="CF45" i="3"/>
  <c r="DF45" i="3" s="1"/>
  <c r="CF14" i="3"/>
  <c r="DF14" i="3" s="1"/>
  <c r="CF170" i="3"/>
  <c r="DF170" i="3" s="1"/>
  <c r="CF127" i="3"/>
  <c r="DF127" i="3" s="1"/>
  <c r="CF96" i="3"/>
  <c r="DF96" i="3" s="1"/>
  <c r="CF53" i="3"/>
  <c r="DF53" i="3" s="1"/>
  <c r="CF22" i="3"/>
  <c r="DF22" i="3" s="1"/>
  <c r="CF198" i="3"/>
  <c r="DF198" i="3" s="1"/>
  <c r="CF183" i="3"/>
  <c r="DF183" i="3" s="1"/>
  <c r="CF152" i="3"/>
  <c r="DF152" i="3" s="1"/>
  <c r="CF126" i="3"/>
  <c r="DF126" i="3" s="1"/>
  <c r="CF90" i="3"/>
  <c r="DF90" i="3" s="1"/>
  <c r="CF97" i="3"/>
  <c r="DF97" i="3" s="1"/>
  <c r="CF143" i="3"/>
  <c r="DF143" i="3" s="1"/>
  <c r="CF100" i="3"/>
  <c r="DF100" i="3" s="1"/>
  <c r="CF57" i="3"/>
  <c r="DF57" i="3" s="1"/>
  <c r="CF26" i="3"/>
  <c r="DF26" i="3" s="1"/>
  <c r="CF182" i="3"/>
  <c r="DF182" i="3" s="1"/>
  <c r="CF151" i="3"/>
  <c r="DF151" i="3" s="1"/>
  <c r="CF108" i="3"/>
  <c r="DF108" i="3" s="1"/>
  <c r="CF65" i="3"/>
  <c r="DF65" i="3" s="1"/>
  <c r="CF34" i="3"/>
  <c r="DF34" i="3" s="1"/>
  <c r="CF3" i="3"/>
  <c r="DF3" i="3" s="1"/>
  <c r="CF174" i="3"/>
  <c r="DF174" i="3" s="1"/>
  <c r="CF176" i="3"/>
  <c r="DF176" i="3" s="1"/>
  <c r="CF54" i="3"/>
  <c r="DF54" i="3" s="1"/>
  <c r="DH54" i="3" s="1"/>
  <c r="CF162" i="3"/>
  <c r="DF162" i="3" s="1"/>
  <c r="CF155" i="3"/>
  <c r="DF155" i="3" s="1"/>
  <c r="CF112" i="3"/>
  <c r="DF112" i="3" s="1"/>
  <c r="CF69" i="3"/>
  <c r="DF69" i="3" s="1"/>
  <c r="CF38" i="3"/>
  <c r="DF38" i="3" s="1"/>
  <c r="CF7" i="3"/>
  <c r="DF7" i="3" s="1"/>
  <c r="CF163" i="3"/>
  <c r="DF163" i="3" s="1"/>
  <c r="CF120" i="3"/>
  <c r="DF120" i="3" s="1"/>
  <c r="CF77" i="3"/>
  <c r="DF77" i="3" s="1"/>
  <c r="CF46" i="3"/>
  <c r="DF46" i="3" s="1"/>
  <c r="CF15" i="3"/>
  <c r="DF15" i="3" s="1"/>
  <c r="CF186" i="3"/>
  <c r="DF186" i="3" s="1"/>
  <c r="CF188" i="3"/>
  <c r="DF188" i="3" s="1"/>
  <c r="CF42" i="3"/>
  <c r="DF42" i="3" s="1"/>
  <c r="CF6" i="3"/>
  <c r="DF6" i="3" s="1"/>
  <c r="CF35" i="3"/>
  <c r="DF35" i="3" s="1"/>
  <c r="CF191" i="3"/>
  <c r="DF191" i="3" s="1"/>
  <c r="CF160" i="3"/>
  <c r="DF160" i="3" s="1"/>
  <c r="CF117" i="3"/>
  <c r="DF117" i="3" s="1"/>
  <c r="CF86" i="3"/>
  <c r="DF86" i="3" s="1"/>
  <c r="CF43" i="3"/>
  <c r="DF43" i="3" s="1"/>
  <c r="CF199" i="3"/>
  <c r="DF199" i="3" s="1"/>
  <c r="CF156" i="3"/>
  <c r="DF156" i="3" s="1"/>
  <c r="CF113" i="3"/>
  <c r="DF113" i="3" s="1"/>
  <c r="CF82" i="3"/>
  <c r="DF82" i="3" s="1"/>
  <c r="CF75" i="3"/>
  <c r="DF75" i="3" s="1"/>
  <c r="CF44" i="3"/>
  <c r="DF44" i="3" s="1"/>
  <c r="CF193" i="3"/>
  <c r="DF193" i="3" s="1"/>
  <c r="CF114" i="3"/>
  <c r="DF114" i="3" s="1"/>
  <c r="CF78" i="3"/>
  <c r="DF78" i="3" s="1"/>
  <c r="DH78" i="3" s="1"/>
  <c r="CF47" i="3"/>
  <c r="DF47" i="3" s="1"/>
  <c r="CF16" i="3"/>
  <c r="DF16" i="3" s="1"/>
  <c r="CF172" i="3"/>
  <c r="DF172" i="3" s="1"/>
  <c r="CF129" i="3"/>
  <c r="DF129" i="3" s="1"/>
  <c r="CF98" i="3"/>
  <c r="DF98" i="3" s="1"/>
  <c r="CF55" i="3"/>
  <c r="DF55" i="3" s="1"/>
  <c r="CF12" i="3"/>
  <c r="DF12" i="3" s="1"/>
  <c r="CF168" i="3"/>
  <c r="DF168" i="3" s="1"/>
  <c r="CF125" i="3"/>
  <c r="DF125" i="3" s="1"/>
  <c r="CF106" i="3"/>
  <c r="DF106" i="3" s="1"/>
  <c r="CF87" i="3"/>
  <c r="DF87" i="3" s="1"/>
  <c r="CF56" i="3"/>
  <c r="DF56" i="3" s="1"/>
  <c r="CF145" i="3"/>
  <c r="DF145" i="3" s="1"/>
  <c r="CF109" i="3"/>
  <c r="DF109" i="3" s="1"/>
  <c r="CF83" i="3"/>
  <c r="DF83" i="3" s="1"/>
  <c r="CF40" i="3"/>
  <c r="DF40" i="3" s="1"/>
  <c r="CF196" i="3"/>
  <c r="DF196" i="3" s="1"/>
  <c r="CF153" i="3"/>
  <c r="DF153" i="3" s="1"/>
  <c r="CF122" i="3"/>
  <c r="DF122" i="3" s="1"/>
  <c r="CF79" i="3"/>
  <c r="DF79" i="3" s="1"/>
  <c r="CF36" i="3"/>
  <c r="DF36" i="3" s="1"/>
  <c r="CF192" i="3"/>
  <c r="DF192" i="3" s="1"/>
  <c r="CF161" i="3"/>
  <c r="DF161" i="3" s="1"/>
  <c r="CF142" i="3"/>
  <c r="DF142" i="3" s="1"/>
  <c r="CF123" i="3"/>
  <c r="DF123" i="3" s="1"/>
  <c r="CF80" i="3"/>
  <c r="DF80" i="3" s="1"/>
  <c r="CF166" i="3"/>
  <c r="DF166" i="3" s="1"/>
  <c r="CF99" i="3"/>
  <c r="DF99" i="3" s="1"/>
  <c r="CF20" i="3"/>
  <c r="DF20" i="3" s="1"/>
  <c r="CF164" i="3"/>
  <c r="DF164" i="3" s="1"/>
  <c r="CF149" i="3"/>
  <c r="DF149" i="3" s="1"/>
  <c r="CF94" i="3"/>
  <c r="DF94" i="3" s="1"/>
  <c r="CF27" i="3"/>
  <c r="DF27" i="3" s="1"/>
  <c r="CF171" i="3"/>
  <c r="DF171" i="3" s="1"/>
  <c r="CF92" i="3"/>
  <c r="DF92" i="3" s="1"/>
  <c r="CF30" i="3"/>
  <c r="DF30" i="3" s="1"/>
  <c r="CF37" i="3"/>
  <c r="DF37" i="3" s="1"/>
  <c r="CF59" i="3"/>
  <c r="DF59" i="3" s="1"/>
  <c r="CF4" i="3"/>
  <c r="DF4" i="3" s="1"/>
  <c r="CF148" i="3"/>
  <c r="DF148" i="3" s="1"/>
  <c r="CF93" i="3"/>
  <c r="DF93" i="3" s="1"/>
  <c r="CF50" i="3"/>
  <c r="DF50" i="3" s="1"/>
  <c r="CF194" i="3"/>
  <c r="DF194" i="3" s="1"/>
  <c r="CF139" i="3"/>
  <c r="DF139" i="3" s="1"/>
  <c r="CF84" i="3"/>
  <c r="DF84" i="3" s="1"/>
  <c r="CF29" i="3"/>
  <c r="DF29" i="3" s="1"/>
  <c r="CF173" i="3"/>
  <c r="DF173" i="3" s="1"/>
  <c r="CF118" i="3"/>
  <c r="DF118" i="3" s="1"/>
  <c r="CF51" i="3"/>
  <c r="DF51" i="3" s="1"/>
  <c r="CF195" i="3"/>
  <c r="DF195" i="3" s="1"/>
  <c r="BV158" i="3"/>
  <c r="CW158" i="3" s="1"/>
  <c r="DB158" i="3" s="1"/>
  <c r="BV197" i="3"/>
  <c r="CW197" i="3" s="1"/>
  <c r="DB197" i="3" s="1"/>
  <c r="BV171" i="3"/>
  <c r="CW171" i="3" s="1"/>
  <c r="DB171" i="3" s="1"/>
  <c r="BV139" i="3"/>
  <c r="CW139" i="3" s="1"/>
  <c r="DB139" i="3" s="1"/>
  <c r="BV166" i="3"/>
  <c r="CW166" i="3" s="1"/>
  <c r="DB166" i="3" s="1"/>
  <c r="BV160" i="3"/>
  <c r="CW160" i="3" s="1"/>
  <c r="DB160" i="3" s="1"/>
  <c r="BV47" i="3"/>
  <c r="CW47" i="3" s="1"/>
  <c r="BV76" i="3"/>
  <c r="CW76" i="3" s="1"/>
  <c r="BV38" i="3"/>
  <c r="CW38" i="3" s="1"/>
  <c r="BV192" i="3"/>
  <c r="CW192" i="3" s="1"/>
  <c r="DB192" i="3" s="1"/>
  <c r="BV187" i="3"/>
  <c r="CW187" i="3" s="1"/>
  <c r="DB187" i="3" s="1"/>
  <c r="BV19" i="3"/>
  <c r="CW19" i="3" s="1"/>
  <c r="DB19" i="3" s="1"/>
  <c r="BV173" i="3"/>
  <c r="CW173" i="3" s="1"/>
  <c r="DB173" i="3" s="1"/>
  <c r="BV131" i="3"/>
  <c r="CW131" i="3" s="1"/>
  <c r="DB131" i="3" s="1"/>
  <c r="BV109" i="3"/>
  <c r="CW109" i="3" s="1"/>
  <c r="DB109" i="3" s="1"/>
  <c r="BV156" i="3"/>
  <c r="CW156" i="3" s="1"/>
  <c r="DB156" i="3" s="1"/>
  <c r="BV198" i="3"/>
  <c r="CW198" i="3" s="1"/>
  <c r="DB198" i="3" s="1"/>
  <c r="BV149" i="3"/>
  <c r="CW149" i="3" s="1"/>
  <c r="DB149" i="3" s="1"/>
  <c r="BV170" i="3"/>
  <c r="CW170" i="3" s="1"/>
  <c r="DB170" i="3" s="1"/>
  <c r="BV122" i="3"/>
  <c r="CW122" i="3" s="1"/>
  <c r="DB122" i="3" s="1"/>
  <c r="BV179" i="3"/>
  <c r="CW179" i="3" s="1"/>
  <c r="DB179" i="3" s="1"/>
  <c r="BV154" i="3"/>
  <c r="CW154" i="3" s="1"/>
  <c r="DB154" i="3" s="1"/>
  <c r="BV42" i="3"/>
  <c r="CW42" i="3" s="1"/>
  <c r="DB42" i="3" s="1"/>
  <c r="BV69" i="3"/>
  <c r="CW69" i="3" s="1"/>
  <c r="DB69" i="3" s="1"/>
  <c r="BV55" i="3"/>
  <c r="CW55" i="3" s="1"/>
  <c r="DB55" i="3" s="1"/>
  <c r="BV163" i="3"/>
  <c r="CW163" i="3" s="1"/>
  <c r="DB163" i="3" s="1"/>
  <c r="BV22" i="3"/>
  <c r="CW22" i="3" s="1"/>
  <c r="DB22" i="3" s="1"/>
  <c r="BV175" i="3"/>
  <c r="CW175" i="3" s="1"/>
  <c r="DB175" i="3" s="1"/>
  <c r="BV161" i="3"/>
  <c r="CW161" i="3" s="1"/>
  <c r="DB161" i="3" s="1"/>
  <c r="BV182" i="3"/>
  <c r="CW182" i="3" s="1"/>
  <c r="DB182" i="3" s="1"/>
  <c r="BV2" i="3"/>
  <c r="CW2" i="3" s="1"/>
  <c r="BV183" i="3"/>
  <c r="CW183" i="3" s="1"/>
  <c r="DB183" i="3" s="1"/>
  <c r="BV137" i="3"/>
  <c r="CW137" i="3" s="1"/>
  <c r="DB137" i="3" s="1"/>
  <c r="BV62" i="3"/>
  <c r="CW62" i="3" s="1"/>
  <c r="DB62" i="3" s="1"/>
  <c r="BV157" i="3"/>
  <c r="CW157" i="3" s="1"/>
  <c r="DB157" i="3" s="1"/>
  <c r="BV84" i="3"/>
  <c r="CW84" i="3" s="1"/>
  <c r="DB84" i="3" s="1"/>
  <c r="BV127" i="3"/>
  <c r="CW127" i="3" s="1"/>
  <c r="DB127" i="3" s="1"/>
  <c r="BV29" i="3"/>
  <c r="CW29" i="3" s="1"/>
  <c r="DB29" i="3" s="1"/>
  <c r="BV95" i="3"/>
  <c r="CW95" i="3" s="1"/>
  <c r="DB95" i="3" s="1"/>
  <c r="BV70" i="3"/>
  <c r="CW70" i="3" s="1"/>
  <c r="DB70" i="3" s="1"/>
  <c r="BV101" i="3"/>
  <c r="CW101" i="3" s="1"/>
  <c r="DB101" i="3" s="1"/>
  <c r="BV49" i="3"/>
  <c r="CW49" i="3" s="1"/>
  <c r="DB49" i="3" s="1"/>
  <c r="BV174" i="3"/>
  <c r="CW174" i="3" s="1"/>
  <c r="DB174" i="3" s="1"/>
  <c r="BV87" i="3"/>
  <c r="CW87" i="3" s="1"/>
  <c r="DB87" i="3" s="1"/>
  <c r="BV100" i="3"/>
  <c r="CW100" i="3" s="1"/>
  <c r="DB100" i="3" s="1"/>
  <c r="BV48" i="3"/>
  <c r="CW48" i="3" s="1"/>
  <c r="DB48" i="3" s="1"/>
  <c r="BV18" i="3"/>
  <c r="CW18" i="3" s="1"/>
  <c r="DB18" i="3" s="1"/>
  <c r="BV93" i="3"/>
  <c r="CW93" i="3" s="1"/>
  <c r="DB93" i="3" s="1"/>
  <c r="BV168" i="3"/>
  <c r="CW168" i="3" s="1"/>
  <c r="DB168" i="3" s="1"/>
  <c r="BV26" i="3"/>
  <c r="CW26" i="3" s="1"/>
  <c r="DB26" i="3" s="1"/>
  <c r="BV125" i="3"/>
  <c r="CW125" i="3" s="1"/>
  <c r="DB125" i="3" s="1"/>
  <c r="BV23" i="3"/>
  <c r="CW23" i="3" s="1"/>
  <c r="DB23" i="3" s="1"/>
  <c r="BV65" i="3"/>
  <c r="CW65" i="3" s="1"/>
  <c r="DB65" i="3" s="1"/>
  <c r="BV126" i="3"/>
  <c r="CW126" i="3" s="1"/>
  <c r="DB126" i="3" s="1"/>
  <c r="BV150" i="3"/>
  <c r="CW150" i="3" s="1"/>
  <c r="DB150" i="3" s="1"/>
  <c r="BV71" i="3"/>
  <c r="CW71" i="3" s="1"/>
  <c r="DB71" i="3" s="1"/>
  <c r="BV98" i="3"/>
  <c r="CW98" i="3" s="1"/>
  <c r="DB98" i="3" s="1"/>
  <c r="BW18" i="3"/>
  <c r="CX18" i="3" s="1"/>
  <c r="BW40" i="3"/>
  <c r="CX40" i="3" s="1"/>
  <c r="BW164" i="3"/>
  <c r="CX164" i="3" s="1"/>
  <c r="BW131" i="3"/>
  <c r="CX131" i="3" s="1"/>
  <c r="BW48" i="3"/>
  <c r="CX48" i="3" s="1"/>
  <c r="BW126" i="3"/>
  <c r="CX126" i="3" s="1"/>
  <c r="BW160" i="3"/>
  <c r="CX160" i="3" s="1"/>
  <c r="BW158" i="3"/>
  <c r="CX158" i="3" s="1"/>
  <c r="BW183" i="3"/>
  <c r="CX183" i="3" s="1"/>
  <c r="BW140" i="3"/>
  <c r="CX140" i="3" s="1"/>
  <c r="BW74" i="3"/>
  <c r="CX74" i="3" s="1"/>
  <c r="BW46" i="3"/>
  <c r="CX46" i="3" s="1"/>
  <c r="BW154" i="3"/>
  <c r="CX154" i="3" s="1"/>
  <c r="BW63" i="3"/>
  <c r="CX63" i="3" s="1"/>
  <c r="BW51" i="3"/>
  <c r="CX51" i="3" s="1"/>
  <c r="BW115" i="3"/>
  <c r="CX115" i="3" s="1"/>
  <c r="BW123" i="3"/>
  <c r="CX123" i="3" s="1"/>
  <c r="BW117" i="3"/>
  <c r="CX117" i="3" s="1"/>
  <c r="BW38" i="3"/>
  <c r="CX38" i="3" s="1"/>
  <c r="BW6" i="3"/>
  <c r="CX6" i="3" s="1"/>
  <c r="BW163" i="3"/>
  <c r="CX163" i="3" s="1"/>
  <c r="BW47" i="3"/>
  <c r="CX47" i="3" s="1"/>
  <c r="BW17" i="3"/>
  <c r="CX17" i="3" s="1"/>
  <c r="BW7" i="3"/>
  <c r="CX7" i="3" s="1"/>
  <c r="BW104" i="3"/>
  <c r="CX104" i="3" s="1"/>
  <c r="BW128" i="3"/>
  <c r="CX128" i="3" s="1"/>
  <c r="BW24" i="3"/>
  <c r="CX24" i="3" s="1"/>
  <c r="BW141" i="3"/>
  <c r="CX141" i="3" s="1"/>
  <c r="BW52" i="3"/>
  <c r="CX52" i="3" s="1"/>
  <c r="BW61" i="3"/>
  <c r="CX61" i="3" s="1"/>
  <c r="BW134" i="3"/>
  <c r="CX134" i="3" s="1"/>
  <c r="BW103" i="3"/>
  <c r="CX103" i="3" s="1"/>
  <c r="BW100" i="3"/>
  <c r="CX100" i="3" s="1"/>
  <c r="BW8" i="3"/>
  <c r="CX8" i="3" s="1"/>
  <c r="BW189" i="3"/>
  <c r="CX189" i="3" s="1"/>
  <c r="BW182" i="3"/>
  <c r="CX182" i="3" s="1"/>
  <c r="BW156" i="3"/>
  <c r="CX156" i="3" s="1"/>
  <c r="BW135" i="3"/>
  <c r="CX135" i="3" s="1"/>
  <c r="BW169" i="3"/>
  <c r="CX169" i="3" s="1"/>
  <c r="BW98" i="3"/>
  <c r="CX98" i="3" s="1"/>
  <c r="BW153" i="3"/>
  <c r="CX153" i="3" s="1"/>
  <c r="BW70" i="3"/>
  <c r="CX70" i="3" s="1"/>
  <c r="BW30" i="3"/>
  <c r="CX30" i="3" s="1"/>
  <c r="BW36" i="3"/>
  <c r="CX36" i="3" s="1"/>
  <c r="BW43" i="3"/>
  <c r="CX43" i="3" s="1"/>
  <c r="BW22" i="3"/>
  <c r="CX22" i="3" s="1"/>
  <c r="BW35" i="3"/>
  <c r="CX35" i="3" s="1"/>
  <c r="BW25" i="3"/>
  <c r="CX25" i="3" s="1"/>
  <c r="BW62" i="3"/>
  <c r="CX62" i="3" s="1"/>
  <c r="BW193" i="3"/>
  <c r="CX193" i="3" s="1"/>
  <c r="BY27" i="3"/>
  <c r="CZ27" i="3" s="1"/>
  <c r="BY78" i="3"/>
  <c r="CZ78" i="3" s="1"/>
  <c r="BY183" i="3"/>
  <c r="CZ183" i="3" s="1"/>
  <c r="BY84" i="3"/>
  <c r="CZ84" i="3" s="1"/>
  <c r="BY173" i="3"/>
  <c r="CZ173" i="3" s="1"/>
  <c r="BY72" i="3"/>
  <c r="CZ72" i="3" s="1"/>
  <c r="BY53" i="3"/>
  <c r="CZ53" i="3" s="1"/>
  <c r="BY35" i="3"/>
  <c r="CZ35" i="3" s="1"/>
  <c r="BY25" i="3"/>
  <c r="CZ25" i="3" s="1"/>
  <c r="BY19" i="3"/>
  <c r="CZ19" i="3" s="1"/>
  <c r="BY42" i="3"/>
  <c r="CZ42" i="3" s="1"/>
  <c r="BY177" i="3"/>
  <c r="CZ177" i="3" s="1"/>
  <c r="BY61" i="3"/>
  <c r="CZ61" i="3" s="1"/>
  <c r="BY147" i="3"/>
  <c r="CZ147" i="3" s="1"/>
  <c r="BY34" i="3"/>
  <c r="CZ34" i="3" s="1"/>
  <c r="BY154" i="3"/>
  <c r="CZ154" i="3" s="1"/>
  <c r="BY108" i="3"/>
  <c r="CZ108" i="3" s="1"/>
  <c r="BY192" i="3"/>
  <c r="CZ192" i="3" s="1"/>
  <c r="BY164" i="3"/>
  <c r="CZ164" i="3" s="1"/>
  <c r="BY151" i="3"/>
  <c r="CZ151" i="3" s="1"/>
  <c r="BY101" i="3"/>
  <c r="CZ101" i="3" s="1"/>
  <c r="BY102" i="3"/>
  <c r="CZ102" i="3" s="1"/>
  <c r="BY166" i="3"/>
  <c r="CZ166" i="3" s="1"/>
  <c r="BY128" i="3"/>
  <c r="CZ128" i="3" s="1"/>
  <c r="BY175" i="3"/>
  <c r="CZ175" i="3" s="1"/>
  <c r="BY199" i="3"/>
  <c r="CZ199" i="3" s="1"/>
  <c r="BY195" i="3"/>
  <c r="CZ195" i="3" s="1"/>
  <c r="BY170" i="3"/>
  <c r="CZ170" i="3" s="1"/>
  <c r="BY30" i="3"/>
  <c r="CZ30" i="3" s="1"/>
  <c r="BY95" i="3"/>
  <c r="CZ95" i="3" s="1"/>
  <c r="BY156" i="3"/>
  <c r="CZ156" i="3" s="1"/>
  <c r="BY92" i="3"/>
  <c r="CZ92" i="3" s="1"/>
  <c r="BY144" i="3"/>
  <c r="CZ144" i="3" s="1"/>
  <c r="BY120" i="3"/>
  <c r="CZ120" i="3" s="1"/>
  <c r="BY18" i="3"/>
  <c r="CZ18" i="3" s="1"/>
  <c r="BY137" i="3"/>
  <c r="CZ137" i="3" s="1"/>
  <c r="BY136" i="3"/>
  <c r="CZ136" i="3" s="1"/>
  <c r="BY75" i="3"/>
  <c r="CZ75" i="3" s="1"/>
  <c r="BY178" i="3"/>
  <c r="CZ178" i="3" s="1"/>
  <c r="BV186" i="3"/>
  <c r="CW186" i="3" s="1"/>
  <c r="DB186" i="3" s="1"/>
  <c r="BV106" i="3"/>
  <c r="CW106" i="3" s="1"/>
  <c r="DB106" i="3" s="1"/>
  <c r="BV138" i="3"/>
  <c r="CW138" i="3" s="1"/>
  <c r="DB138" i="3" s="1"/>
  <c r="BV177" i="3"/>
  <c r="CW177" i="3" s="1"/>
  <c r="DB177" i="3" s="1"/>
  <c r="BV97" i="3"/>
  <c r="CW97" i="3" s="1"/>
  <c r="DB97" i="3" s="1"/>
  <c r="BV90" i="3"/>
  <c r="CW90" i="3" s="1"/>
  <c r="DB90" i="3" s="1"/>
  <c r="BV162" i="3"/>
  <c r="CW162" i="3" s="1"/>
  <c r="DB162" i="3" s="1"/>
  <c r="BV123" i="3"/>
  <c r="CW123" i="3" s="1"/>
  <c r="DB123" i="3" s="1"/>
  <c r="BV96" i="3"/>
  <c r="CW96" i="3" s="1"/>
  <c r="DB96" i="3" s="1"/>
  <c r="BV164" i="3"/>
  <c r="CW164" i="3" s="1"/>
  <c r="DB164" i="3" s="1"/>
  <c r="BV165" i="3"/>
  <c r="CW165" i="3" s="1"/>
  <c r="DB165" i="3" s="1"/>
  <c r="BV141" i="3"/>
  <c r="CW141" i="3" s="1"/>
  <c r="DB141" i="3" s="1"/>
  <c r="BV194" i="3"/>
  <c r="CW194" i="3" s="1"/>
  <c r="DB194" i="3" s="1"/>
  <c r="BV130" i="3"/>
  <c r="CW130" i="3" s="1"/>
  <c r="DB130" i="3" s="1"/>
  <c r="BV114" i="3"/>
  <c r="CW114" i="3" s="1"/>
  <c r="DB114" i="3" s="1"/>
  <c r="BV81" i="3"/>
  <c r="CW81" i="3" s="1"/>
  <c r="DB81" i="3" s="1"/>
  <c r="BV20" i="3"/>
  <c r="CW20" i="3" s="1"/>
  <c r="BV56" i="3"/>
  <c r="CW56" i="3" s="1"/>
  <c r="DB56" i="3" s="1"/>
  <c r="BV51" i="3"/>
  <c r="CW51" i="3" s="1"/>
  <c r="DB51" i="3" s="1"/>
  <c r="BV33" i="3"/>
  <c r="CW33" i="3" s="1"/>
  <c r="BV178" i="3"/>
  <c r="CW178" i="3" s="1"/>
  <c r="DB178" i="3" s="1"/>
  <c r="BV17" i="3"/>
  <c r="CW17" i="3" s="1"/>
  <c r="DB17" i="3" s="1"/>
  <c r="BV40" i="3"/>
  <c r="CW40" i="3" s="1"/>
  <c r="DB40" i="3" s="1"/>
  <c r="BV73" i="3"/>
  <c r="CW73" i="3" s="1"/>
  <c r="BV78" i="3"/>
  <c r="CW78" i="3" s="1"/>
  <c r="DB78" i="3" s="1"/>
  <c r="BV110" i="3"/>
  <c r="CW110" i="3" s="1"/>
  <c r="DB110" i="3" s="1"/>
  <c r="BV41" i="3"/>
  <c r="CW41" i="3" s="1"/>
  <c r="BV191" i="3"/>
  <c r="CW191" i="3" s="1"/>
  <c r="DB191" i="3" s="1"/>
  <c r="BV200" i="3"/>
  <c r="CW200" i="3" s="1"/>
  <c r="DB200" i="3" s="1"/>
  <c r="BV25" i="3"/>
  <c r="CW25" i="3" s="1"/>
  <c r="DB25" i="3" s="1"/>
  <c r="BV88" i="3"/>
  <c r="CW88" i="3" s="1"/>
  <c r="DB88" i="3" s="1"/>
  <c r="BV135" i="3"/>
  <c r="CW135" i="3" s="1"/>
  <c r="DB135" i="3" s="1"/>
  <c r="BV147" i="3"/>
  <c r="CW147" i="3" s="1"/>
  <c r="DB147" i="3" s="1"/>
  <c r="BV103" i="3"/>
  <c r="CW103" i="3" s="1"/>
  <c r="DB103" i="3" s="1"/>
  <c r="BV124" i="3"/>
  <c r="CW124" i="3" s="1"/>
  <c r="DB124" i="3" s="1"/>
  <c r="BV118" i="3"/>
  <c r="CW118" i="3" s="1"/>
  <c r="DB118" i="3" s="1"/>
  <c r="BV89" i="3"/>
  <c r="CW89" i="3" s="1"/>
  <c r="DB89" i="3" s="1"/>
  <c r="BV67" i="3"/>
  <c r="CW67" i="3" s="1"/>
  <c r="BV64" i="3"/>
  <c r="CW64" i="3" s="1"/>
  <c r="BV54" i="3"/>
  <c r="CW54" i="3" s="1"/>
  <c r="BV59" i="3"/>
  <c r="CW59" i="3" s="1"/>
  <c r="BV79" i="3"/>
  <c r="CW79" i="3" s="1"/>
  <c r="DB79" i="3" s="1"/>
  <c r="BV6" i="3"/>
  <c r="CW6" i="3" s="1"/>
  <c r="DB6" i="3" s="1"/>
  <c r="BV21" i="3"/>
  <c r="CW21" i="3" s="1"/>
  <c r="BV83" i="3"/>
  <c r="CW83" i="3" s="1"/>
  <c r="DB83" i="3" s="1"/>
  <c r="BV77" i="3"/>
  <c r="CW77" i="3" s="1"/>
  <c r="BV3" i="3"/>
  <c r="CW3" i="3" s="1"/>
  <c r="DB3" i="3" s="1"/>
  <c r="BV66" i="3"/>
  <c r="CW66" i="3" s="1"/>
  <c r="DB66" i="3" s="1"/>
  <c r="BV9" i="3"/>
  <c r="CW9" i="3" s="1"/>
  <c r="BV113" i="3"/>
  <c r="CW113" i="3" s="1"/>
  <c r="DB113" i="3" s="1"/>
  <c r="BV121" i="3"/>
  <c r="CW121" i="3" s="1"/>
  <c r="DB121" i="3" s="1"/>
  <c r="BV169" i="3"/>
  <c r="CW169" i="3" s="1"/>
  <c r="DB169" i="3" s="1"/>
  <c r="BV85" i="3"/>
  <c r="CW85" i="3" s="1"/>
  <c r="DB85" i="3" s="1"/>
  <c r="BV112" i="3"/>
  <c r="CW112" i="3" s="1"/>
  <c r="DB112" i="3" s="1"/>
  <c r="BV86" i="3"/>
  <c r="CW86" i="3" s="1"/>
  <c r="DB86" i="3" s="1"/>
  <c r="BV16" i="3"/>
  <c r="CW16" i="3" s="1"/>
  <c r="BV50" i="3"/>
  <c r="CW50" i="3" s="1"/>
  <c r="BV44" i="3"/>
  <c r="CW44" i="3" s="1"/>
  <c r="BV32" i="3"/>
  <c r="CW32" i="3" s="1"/>
  <c r="BV35" i="3"/>
  <c r="CW35" i="3" s="1"/>
  <c r="DB35" i="3" s="1"/>
  <c r="BV43" i="3"/>
  <c r="CW43" i="3" s="1"/>
  <c r="DB43" i="3" s="1"/>
  <c r="BV68" i="3"/>
  <c r="CW68" i="3" s="1"/>
  <c r="BV34" i="3"/>
  <c r="CW34" i="3" s="1"/>
  <c r="DB34" i="3" s="1"/>
  <c r="BV184" i="3"/>
  <c r="CW184" i="3" s="1"/>
  <c r="DB184" i="3" s="1"/>
  <c r="BV58" i="3"/>
  <c r="CW58" i="3" s="1"/>
  <c r="BV28" i="3"/>
  <c r="CW28" i="3" s="1"/>
  <c r="DB28" i="3" s="1"/>
  <c r="BV145" i="3"/>
  <c r="CW145" i="3" s="1"/>
  <c r="DB145" i="3" s="1"/>
  <c r="BV99" i="3"/>
  <c r="CW99" i="3" s="1"/>
  <c r="DB99" i="3" s="1"/>
  <c r="BV151" i="3"/>
  <c r="CW151" i="3" s="1"/>
  <c r="DB151" i="3" s="1"/>
  <c r="BV108" i="3"/>
  <c r="CW108" i="3" s="1"/>
  <c r="DB108" i="3" s="1"/>
  <c r="BV82" i="3"/>
  <c r="CW82" i="3" s="1"/>
  <c r="DB82" i="3" s="1"/>
  <c r="BV132" i="3"/>
  <c r="CW132" i="3" s="1"/>
  <c r="DB132" i="3" s="1"/>
  <c r="BV146" i="3"/>
  <c r="CW146" i="3" s="1"/>
  <c r="DB146" i="3" s="1"/>
  <c r="BV63" i="3"/>
  <c r="CW63" i="3" s="1"/>
  <c r="DB63" i="3" s="1"/>
  <c r="BV5" i="3"/>
  <c r="CW5" i="3" s="1"/>
  <c r="BV37" i="3"/>
  <c r="CW37" i="3" s="1"/>
  <c r="DB37" i="3" s="1"/>
  <c r="BV14" i="3"/>
  <c r="CW14" i="3" s="1"/>
  <c r="BV167" i="3"/>
  <c r="CW167" i="3" s="1"/>
  <c r="DB167" i="3" s="1"/>
  <c r="BV102" i="3"/>
  <c r="CW102" i="3" s="1"/>
  <c r="DB102" i="3" s="1"/>
  <c r="BV74" i="3"/>
  <c r="CW74" i="3" s="1"/>
  <c r="DB74" i="3" s="1"/>
  <c r="BV148" i="3"/>
  <c r="CW148" i="3" s="1"/>
  <c r="DB148" i="3" s="1"/>
  <c r="BV91" i="3"/>
  <c r="CW91" i="3" s="1"/>
  <c r="DB91" i="3" s="1"/>
  <c r="BV120" i="3"/>
  <c r="CW120" i="3" s="1"/>
  <c r="DB120" i="3" s="1"/>
  <c r="BV94" i="3"/>
  <c r="CW94" i="3" s="1"/>
  <c r="DB94" i="3" s="1"/>
  <c r="BV143" i="3"/>
  <c r="CW143" i="3" s="1"/>
  <c r="DB143" i="3" s="1"/>
  <c r="BV185" i="3"/>
  <c r="CW185" i="3" s="1"/>
  <c r="DB185" i="3" s="1"/>
  <c r="BV111" i="3"/>
  <c r="CW111" i="3" s="1"/>
  <c r="DB111" i="3" s="1"/>
  <c r="BV31" i="3"/>
  <c r="CW31" i="3" s="1"/>
  <c r="BV61" i="3"/>
  <c r="CW61" i="3" s="1"/>
  <c r="DB61" i="3" s="1"/>
  <c r="BV57" i="3"/>
  <c r="CW57" i="3" s="1"/>
  <c r="BV80" i="3"/>
  <c r="CW80" i="3" s="1"/>
  <c r="DB80" i="3" s="1"/>
  <c r="BV176" i="3"/>
  <c r="CW176" i="3" s="1"/>
  <c r="DB176" i="3" s="1"/>
  <c r="BV27" i="3"/>
  <c r="CW27" i="3" s="1"/>
  <c r="DB27" i="3" s="1"/>
  <c r="BV193" i="3"/>
  <c r="CW193" i="3" s="1"/>
  <c r="DB193" i="3" s="1"/>
  <c r="BV159" i="3"/>
  <c r="CW159" i="3" s="1"/>
  <c r="DB159" i="3" s="1"/>
  <c r="BV105" i="3"/>
  <c r="CW105" i="3" s="1"/>
  <c r="DB105" i="3" s="1"/>
  <c r="BV136" i="3"/>
  <c r="CW136" i="3" s="1"/>
  <c r="DB136" i="3" s="1"/>
  <c r="BV180" i="3"/>
  <c r="CW180" i="3" s="1"/>
  <c r="DB180" i="3" s="1"/>
  <c r="BV15" i="3"/>
  <c r="CW15" i="3" s="1"/>
  <c r="BV36" i="3"/>
  <c r="CW36" i="3" s="1"/>
  <c r="DB36" i="3" s="1"/>
  <c r="BV133" i="3"/>
  <c r="CW133" i="3" s="1"/>
  <c r="DB133" i="3" s="1"/>
  <c r="BV153" i="3"/>
  <c r="CW153" i="3" s="1"/>
  <c r="DB153" i="3" s="1"/>
  <c r="BV75" i="3"/>
  <c r="CW75" i="3" s="1"/>
  <c r="DB75" i="3" s="1"/>
  <c r="BV24" i="3"/>
  <c r="CW24" i="3" s="1"/>
  <c r="DB24" i="3" s="1"/>
  <c r="BV155" i="3"/>
  <c r="CW155" i="3" s="1"/>
  <c r="DB155" i="3" s="1"/>
  <c r="BV134" i="3"/>
  <c r="CW134" i="3" s="1"/>
  <c r="DB134" i="3" s="1"/>
  <c r="BV195" i="3"/>
  <c r="CW195" i="3" s="1"/>
  <c r="DB195" i="3" s="1"/>
  <c r="BV172" i="3"/>
  <c r="CW172" i="3" s="1"/>
  <c r="DB172" i="3" s="1"/>
  <c r="BV144" i="3"/>
  <c r="CW144" i="3" s="1"/>
  <c r="DB144" i="3" s="1"/>
  <c r="BV189" i="3"/>
  <c r="CW189" i="3" s="1"/>
  <c r="DB189" i="3" s="1"/>
  <c r="BV92" i="3"/>
  <c r="CW92" i="3" s="1"/>
  <c r="DB92" i="3" s="1"/>
  <c r="BV72" i="3"/>
  <c r="CW72" i="3" s="1"/>
  <c r="DB72" i="3" s="1"/>
  <c r="BV181" i="3"/>
  <c r="CW181" i="3" s="1"/>
  <c r="DB181" i="3" s="1"/>
  <c r="BV128" i="3"/>
  <c r="CW128" i="3" s="1"/>
  <c r="DB128" i="3" s="1"/>
  <c r="BV107" i="3"/>
  <c r="CW107" i="3" s="1"/>
  <c r="DB107" i="3" s="1"/>
  <c r="BV104" i="3"/>
  <c r="CW104" i="3" s="1"/>
  <c r="DB104" i="3" s="1"/>
  <c r="BV199" i="3"/>
  <c r="CW199" i="3" s="1"/>
  <c r="DB199" i="3" s="1"/>
  <c r="BV190" i="3"/>
  <c r="CW190" i="3" s="1"/>
  <c r="DB190" i="3" s="1"/>
  <c r="BV30" i="3"/>
  <c r="CW30" i="3" s="1"/>
  <c r="DB30" i="3" s="1"/>
  <c r="BV4" i="3"/>
  <c r="CW4" i="3" s="1"/>
  <c r="BV142" i="3"/>
  <c r="CW142" i="3" s="1"/>
  <c r="DB142" i="3" s="1"/>
  <c r="BV52" i="3"/>
  <c r="CW52" i="3" s="1"/>
  <c r="DB52" i="3" s="1"/>
  <c r="BV12" i="3"/>
  <c r="CW12" i="3" s="1"/>
  <c r="BV13" i="3"/>
  <c r="CW13" i="3" s="1"/>
  <c r="DB13" i="3" s="1"/>
  <c r="BV60" i="3"/>
  <c r="CW60" i="3" s="1"/>
  <c r="BV8" i="3"/>
  <c r="CW8" i="3" s="1"/>
  <c r="DB8" i="3" s="1"/>
  <c r="BV10" i="3"/>
  <c r="CW10" i="3" s="1"/>
  <c r="BW197" i="3"/>
  <c r="CX197" i="3" s="1"/>
  <c r="BW116" i="3"/>
  <c r="CX116" i="3" s="1"/>
  <c r="BW147" i="3"/>
  <c r="CX147" i="3" s="1"/>
  <c r="BW132" i="3"/>
  <c r="CX132" i="3" s="1"/>
  <c r="BW181" i="3"/>
  <c r="CX181" i="3" s="1"/>
  <c r="BW23" i="3"/>
  <c r="CX23" i="3" s="1"/>
  <c r="BW142" i="3"/>
  <c r="CX142" i="3" s="1"/>
  <c r="BW49" i="3"/>
  <c r="CX49" i="3" s="1"/>
  <c r="BW118" i="3"/>
  <c r="CX118" i="3" s="1"/>
  <c r="BW194" i="3"/>
  <c r="CX194" i="3" s="1"/>
  <c r="BW3" i="3"/>
  <c r="CX3" i="3" s="1"/>
  <c r="BW150" i="3"/>
  <c r="CX150" i="3" s="1"/>
  <c r="BW105" i="3"/>
  <c r="CX105" i="3" s="1"/>
  <c r="BW136" i="3"/>
  <c r="CX136" i="3" s="1"/>
  <c r="BW121" i="3"/>
  <c r="CX121" i="3" s="1"/>
  <c r="BW166" i="3"/>
  <c r="CX166" i="3" s="1"/>
  <c r="BW125" i="3"/>
  <c r="CX125" i="3" s="1"/>
  <c r="BW92" i="3"/>
  <c r="CX92" i="3" s="1"/>
  <c r="BW101" i="3"/>
  <c r="CX101" i="3" s="1"/>
  <c r="BW65" i="3"/>
  <c r="CX65" i="3" s="1"/>
  <c r="BW148" i="3"/>
  <c r="CX148" i="3" s="1"/>
  <c r="BW44" i="3"/>
  <c r="CX44" i="3" s="1"/>
  <c r="BW73" i="3"/>
  <c r="CX73" i="3" s="1"/>
  <c r="BW184" i="3"/>
  <c r="CX184" i="3" s="1"/>
  <c r="BW10" i="3"/>
  <c r="CX10" i="3" s="1"/>
  <c r="BW67" i="3"/>
  <c r="CX67" i="3" s="1"/>
  <c r="BW53" i="3"/>
  <c r="CX53" i="3" s="1"/>
  <c r="BW13" i="3"/>
  <c r="CX13" i="3" s="1"/>
  <c r="BW72" i="3"/>
  <c r="CX72" i="3" s="1"/>
  <c r="BW171" i="3"/>
  <c r="CX171" i="3" s="1"/>
  <c r="BW83" i="3"/>
  <c r="CX83" i="3" s="1"/>
  <c r="BW161" i="3"/>
  <c r="CX161" i="3" s="1"/>
  <c r="BW12" i="3"/>
  <c r="CX12" i="3" s="1"/>
  <c r="BW180" i="3"/>
  <c r="CX180" i="3" s="1"/>
  <c r="BW112" i="3"/>
  <c r="CX112" i="3" s="1"/>
  <c r="BW54" i="3"/>
  <c r="CX54" i="3" s="1"/>
  <c r="BW29" i="3"/>
  <c r="CX29" i="3" s="1"/>
  <c r="BW56" i="3"/>
  <c r="CX56" i="3" s="1"/>
  <c r="BW90" i="3"/>
  <c r="CX90" i="3" s="1"/>
  <c r="BW133" i="3"/>
  <c r="CX133" i="3" s="1"/>
  <c r="BW120" i="3"/>
  <c r="CX120" i="3" s="1"/>
  <c r="BW82" i="3"/>
  <c r="CX82" i="3" s="1"/>
  <c r="BW167" i="3"/>
  <c r="CX167" i="3" s="1"/>
  <c r="BW124" i="3"/>
  <c r="CX124" i="3" s="1"/>
  <c r="BW4" i="3"/>
  <c r="CX4" i="3" s="1"/>
  <c r="BW138" i="3"/>
  <c r="CX138" i="3" s="1"/>
  <c r="BW68" i="3"/>
  <c r="CX68" i="3" s="1"/>
  <c r="BW146" i="3"/>
  <c r="CX146" i="3" s="1"/>
  <c r="BW129" i="3"/>
  <c r="CX129" i="3" s="1"/>
  <c r="BW94" i="3"/>
  <c r="CX94" i="3" s="1"/>
  <c r="BW165" i="3"/>
  <c r="CX165" i="3" s="1"/>
  <c r="BW157" i="3"/>
  <c r="CX157" i="3" s="1"/>
  <c r="BW179" i="3"/>
  <c r="CX179" i="3" s="1"/>
  <c r="BW168" i="3"/>
  <c r="CX168" i="3" s="1"/>
  <c r="BW77" i="3"/>
  <c r="CX77" i="3" s="1"/>
  <c r="BW89" i="3"/>
  <c r="CX89" i="3" s="1"/>
  <c r="BW14" i="3"/>
  <c r="CX14" i="3" s="1"/>
  <c r="BW9" i="3"/>
  <c r="CX9" i="3" s="1"/>
  <c r="BW71" i="3"/>
  <c r="CX71" i="3" s="1"/>
  <c r="BW127" i="3"/>
  <c r="CX127" i="3" s="1"/>
  <c r="BW19" i="3"/>
  <c r="CX19" i="3" s="1"/>
  <c r="BW75" i="3"/>
  <c r="CX75" i="3" s="1"/>
  <c r="BW34" i="3"/>
  <c r="CX34" i="3" s="1"/>
  <c r="BW28" i="3"/>
  <c r="CX28" i="3" s="1"/>
  <c r="BW37" i="3"/>
  <c r="CX37" i="3" s="1"/>
  <c r="BW177" i="3"/>
  <c r="CX177" i="3" s="1"/>
  <c r="BW55" i="3"/>
  <c r="CX55" i="3" s="1"/>
  <c r="BW69" i="3"/>
  <c r="CX69" i="3" s="1"/>
  <c r="BW114" i="3"/>
  <c r="CX114" i="3" s="1"/>
  <c r="BW107" i="3"/>
  <c r="CX107" i="3" s="1"/>
  <c r="BW174" i="3"/>
  <c r="CX174" i="3" s="1"/>
  <c r="BW190" i="3"/>
  <c r="CX190" i="3" s="1"/>
  <c r="BW81" i="3"/>
  <c r="CX81" i="3" s="1"/>
  <c r="BW95" i="3"/>
  <c r="CX95" i="3" s="1"/>
  <c r="BW119" i="3"/>
  <c r="CX119" i="3" s="1"/>
  <c r="BW27" i="3"/>
  <c r="CX27" i="3" s="1"/>
  <c r="BW196" i="3"/>
  <c r="CX196" i="3" s="1"/>
  <c r="BW139" i="3"/>
  <c r="CX139" i="3" s="1"/>
  <c r="BW200" i="3"/>
  <c r="CX200" i="3" s="1"/>
  <c r="BW33" i="3"/>
  <c r="CX33" i="3" s="1"/>
  <c r="BW15" i="3"/>
  <c r="CX15" i="3" s="1"/>
  <c r="BW195" i="3"/>
  <c r="CX195" i="3" s="1"/>
  <c r="BW87" i="3"/>
  <c r="CX87" i="3" s="1"/>
  <c r="BW64" i="3"/>
  <c r="CX64" i="3" s="1"/>
  <c r="BW102" i="3"/>
  <c r="CX102" i="3" s="1"/>
  <c r="BW21" i="3"/>
  <c r="CX21" i="3" s="1"/>
  <c r="BW42" i="3"/>
  <c r="CX42" i="3" s="1"/>
  <c r="BW162" i="3"/>
  <c r="CX162" i="3" s="1"/>
  <c r="BW96" i="3"/>
  <c r="CX96" i="3" s="1"/>
  <c r="BW91" i="3"/>
  <c r="CX91" i="3" s="1"/>
  <c r="BW155" i="3"/>
  <c r="CX155" i="3" s="1"/>
  <c r="BW178" i="3"/>
  <c r="CX178" i="3" s="1"/>
  <c r="BW80" i="3"/>
  <c r="CX80" i="3" s="1"/>
  <c r="BW152" i="3"/>
  <c r="CX152" i="3" s="1"/>
  <c r="BW187" i="3"/>
  <c r="CX187" i="3" s="1"/>
  <c r="BW186" i="3"/>
  <c r="CX186" i="3" s="1"/>
  <c r="BW185" i="3"/>
  <c r="CX185" i="3" s="1"/>
  <c r="BW137" i="3"/>
  <c r="CX137" i="3" s="1"/>
  <c r="BW60" i="3"/>
  <c r="CX60" i="3" s="1"/>
  <c r="BW151" i="3"/>
  <c r="CX151" i="3" s="1"/>
  <c r="BW99" i="3"/>
  <c r="CX99" i="3" s="1"/>
  <c r="BW192" i="3"/>
  <c r="CX192" i="3" s="1"/>
  <c r="BW84" i="3"/>
  <c r="CX84" i="3" s="1"/>
  <c r="BW88" i="3"/>
  <c r="CX88" i="3" s="1"/>
  <c r="BW172" i="3"/>
  <c r="CX172" i="3" s="1"/>
  <c r="BW76" i="3"/>
  <c r="CX76" i="3" s="1"/>
  <c r="BW111" i="3"/>
  <c r="CX111" i="3" s="1"/>
  <c r="BW41" i="3"/>
  <c r="CX41" i="3" s="1"/>
  <c r="BW2" i="3"/>
  <c r="CX2" i="3" s="1"/>
  <c r="BW59" i="3"/>
  <c r="CX59" i="3" s="1"/>
  <c r="BW106" i="3"/>
  <c r="CX106" i="3" s="1"/>
  <c r="BW97" i="3"/>
  <c r="CX97" i="3" s="1"/>
  <c r="BW122" i="3"/>
  <c r="CX122" i="3" s="1"/>
  <c r="BW31" i="3"/>
  <c r="CX31" i="3" s="1"/>
  <c r="BW58" i="3"/>
  <c r="CX58" i="3" s="1"/>
  <c r="BW110" i="3"/>
  <c r="CX110" i="3" s="1"/>
  <c r="BW149" i="3"/>
  <c r="CX149" i="3" s="1"/>
  <c r="BW32" i="3"/>
  <c r="CX32" i="3" s="1"/>
  <c r="BW86" i="3"/>
  <c r="CX86" i="3" s="1"/>
  <c r="BW66" i="3"/>
  <c r="CX66" i="3" s="1"/>
  <c r="BW78" i="3"/>
  <c r="CX78" i="3" s="1"/>
  <c r="BW50" i="3"/>
  <c r="CX50" i="3" s="1"/>
  <c r="BW26" i="3"/>
  <c r="CX26" i="3" s="1"/>
  <c r="BW199" i="3"/>
  <c r="CX199" i="3" s="1"/>
  <c r="BW85" i="3"/>
  <c r="CX85" i="3" s="1"/>
  <c r="BW109" i="3"/>
  <c r="CX109" i="3" s="1"/>
  <c r="BW191" i="3"/>
  <c r="CX191" i="3" s="1"/>
  <c r="BW159" i="3"/>
  <c r="CX159" i="3" s="1"/>
  <c r="BW198" i="3"/>
  <c r="CX198" i="3" s="1"/>
  <c r="BW145" i="3"/>
  <c r="CX145" i="3" s="1"/>
  <c r="BW113" i="3"/>
  <c r="CX113" i="3" s="1"/>
  <c r="BW188" i="3"/>
  <c r="CX188" i="3" s="1"/>
  <c r="BW11" i="3"/>
  <c r="CX11" i="3" s="1"/>
  <c r="BW143" i="3"/>
  <c r="CX143" i="3" s="1"/>
  <c r="BW144" i="3"/>
  <c r="CX144" i="3" s="1"/>
  <c r="BW20" i="3"/>
  <c r="CX20" i="3" s="1"/>
  <c r="BW39" i="3"/>
  <c r="CX39" i="3" s="1"/>
  <c r="BW16" i="3"/>
  <c r="CX16" i="3" s="1"/>
  <c r="BW173" i="3"/>
  <c r="CX173" i="3" s="1"/>
  <c r="BW57" i="3"/>
  <c r="CX57" i="3" s="1"/>
  <c r="BW93" i="3"/>
  <c r="CX93" i="3" s="1"/>
  <c r="BW170" i="3"/>
  <c r="CX170" i="3" s="1"/>
  <c r="BW176" i="3"/>
  <c r="CX176" i="3" s="1"/>
  <c r="BW79" i="3"/>
  <c r="CX79" i="3" s="1"/>
  <c r="BW45" i="3"/>
  <c r="CX45" i="3" s="1"/>
  <c r="BW130" i="3"/>
  <c r="CX130" i="3" s="1"/>
  <c r="BW108" i="3"/>
  <c r="CX108" i="3" s="1"/>
  <c r="BW175" i="3"/>
  <c r="CX175" i="3" s="1"/>
  <c r="BW5" i="3"/>
  <c r="CX5" i="3" s="1"/>
  <c r="BX187" i="3"/>
  <c r="CY187" i="3" s="1"/>
  <c r="BX56" i="3"/>
  <c r="CY56" i="3" s="1"/>
  <c r="BX119" i="3"/>
  <c r="CY119" i="3" s="1"/>
  <c r="BX67" i="3"/>
  <c r="CY67" i="3" s="1"/>
  <c r="BX45" i="3"/>
  <c r="CY45" i="3" s="1"/>
  <c r="BX185" i="3"/>
  <c r="CY185" i="3" s="1"/>
  <c r="BX131" i="3"/>
  <c r="CY131" i="3" s="1"/>
  <c r="BX5" i="3"/>
  <c r="CY5" i="3" s="1"/>
  <c r="BX158" i="3"/>
  <c r="CY158" i="3" s="1"/>
  <c r="BX9" i="3"/>
  <c r="CY9" i="3" s="1"/>
  <c r="BX30" i="3"/>
  <c r="CY30" i="3" s="1"/>
  <c r="BX69" i="3"/>
  <c r="CY69" i="3" s="1"/>
  <c r="BX23" i="3"/>
  <c r="CY23" i="3" s="1"/>
  <c r="BX77" i="3"/>
  <c r="CY77" i="3" s="1"/>
  <c r="BX43" i="3"/>
  <c r="CY43" i="3" s="1"/>
  <c r="BX81" i="3"/>
  <c r="CY81" i="3" s="1"/>
  <c r="BX125" i="3"/>
  <c r="CY125" i="3" s="1"/>
  <c r="BX88" i="3"/>
  <c r="CY88" i="3" s="1"/>
  <c r="BX54" i="3"/>
  <c r="CY54" i="3" s="1"/>
  <c r="BX16" i="3"/>
  <c r="CY16" i="3" s="1"/>
  <c r="BX152" i="3"/>
  <c r="CY152" i="3" s="1"/>
  <c r="BX84" i="3"/>
  <c r="CY84" i="3" s="1"/>
  <c r="BX103" i="3"/>
  <c r="CY103" i="3" s="1"/>
  <c r="BX143" i="3"/>
  <c r="CY143" i="3" s="1"/>
  <c r="BX65" i="3"/>
  <c r="CY65" i="3" s="1"/>
  <c r="BX61" i="3"/>
  <c r="CY61" i="3" s="1"/>
  <c r="BX102" i="3"/>
  <c r="CY102" i="3" s="1"/>
  <c r="BX87" i="3"/>
  <c r="CY87" i="3" s="1"/>
  <c r="BX55" i="3"/>
  <c r="CY55" i="3" s="1"/>
  <c r="BX85" i="3"/>
  <c r="CY85" i="3" s="1"/>
  <c r="BX13" i="3"/>
  <c r="CY13" i="3" s="1"/>
  <c r="BX117" i="3"/>
  <c r="CY117" i="3" s="1"/>
  <c r="BX146" i="3"/>
  <c r="CY146" i="3" s="1"/>
  <c r="BX193" i="3"/>
  <c r="CY193" i="3" s="1"/>
  <c r="BX8" i="3"/>
  <c r="CY8" i="3" s="1"/>
  <c r="BX177" i="3"/>
  <c r="CY177" i="3" s="1"/>
  <c r="BX109" i="3"/>
  <c r="CY109" i="3" s="1"/>
  <c r="BX74" i="3"/>
  <c r="CY74" i="3" s="1"/>
  <c r="BX172" i="3"/>
  <c r="CY172" i="3" s="1"/>
  <c r="BX154" i="3"/>
  <c r="CY154" i="3" s="1"/>
  <c r="BX59" i="3"/>
  <c r="CY59" i="3" s="1"/>
  <c r="BX133" i="3"/>
  <c r="CY133" i="3" s="1"/>
  <c r="BX107" i="3"/>
  <c r="CY107" i="3" s="1"/>
  <c r="BX3" i="3"/>
  <c r="CY3" i="3" s="1"/>
  <c r="BX86" i="3"/>
  <c r="CY86" i="3" s="1"/>
  <c r="BX121" i="3"/>
  <c r="CY121" i="3" s="1"/>
  <c r="BX27" i="3"/>
  <c r="CY27" i="3" s="1"/>
  <c r="BX181" i="3"/>
  <c r="CY181" i="3" s="1"/>
  <c r="BX12" i="3"/>
  <c r="CY12" i="3" s="1"/>
  <c r="BX167" i="3"/>
  <c r="CY167" i="3" s="1"/>
  <c r="BX22" i="3"/>
  <c r="CY22" i="3" s="1"/>
  <c r="BX51" i="3"/>
  <c r="CY51" i="3" s="1"/>
  <c r="BX17" i="3"/>
  <c r="CY17" i="3" s="1"/>
  <c r="BX76" i="3"/>
  <c r="CY76" i="3" s="1"/>
  <c r="BX199" i="3"/>
  <c r="CY199" i="3" s="1"/>
  <c r="BX90" i="3"/>
  <c r="CY90" i="3" s="1"/>
  <c r="BX120" i="3"/>
  <c r="CY120" i="3" s="1"/>
  <c r="BX162" i="3"/>
  <c r="CY162" i="3" s="1"/>
  <c r="BX20" i="3"/>
  <c r="CY20" i="3" s="1"/>
  <c r="BX75" i="3"/>
  <c r="CY75" i="3" s="1"/>
  <c r="BX99" i="3"/>
  <c r="CY99" i="3" s="1"/>
  <c r="BX157" i="3"/>
  <c r="CY157" i="3" s="1"/>
  <c r="BX189" i="3"/>
  <c r="CY189" i="3" s="1"/>
  <c r="BX68" i="3"/>
  <c r="CY68" i="3" s="1"/>
  <c r="BX47" i="3"/>
  <c r="CY47" i="3" s="1"/>
  <c r="BX64" i="3"/>
  <c r="CY64" i="3" s="1"/>
  <c r="BX176" i="3"/>
  <c r="CY176" i="3" s="1"/>
  <c r="BX7" i="3"/>
  <c r="CY7" i="3" s="1"/>
  <c r="BX130" i="3"/>
  <c r="CY130" i="3" s="1"/>
  <c r="BX36" i="3"/>
  <c r="CY36" i="3" s="1"/>
  <c r="BX159" i="3"/>
  <c r="CY159" i="3" s="1"/>
  <c r="BX92" i="3"/>
  <c r="CY92" i="3" s="1"/>
  <c r="BX184" i="3"/>
  <c r="CY184" i="3" s="1"/>
  <c r="BX57" i="3"/>
  <c r="CY57" i="3" s="1"/>
  <c r="BX26" i="3"/>
  <c r="CY26" i="3" s="1"/>
  <c r="BX191" i="3"/>
  <c r="CY191" i="3" s="1"/>
  <c r="BX160" i="3"/>
  <c r="CY160" i="3" s="1"/>
  <c r="BX18" i="3"/>
  <c r="CY18" i="3" s="1"/>
  <c r="BX63" i="3"/>
  <c r="CY63" i="3" s="1"/>
  <c r="BX60" i="3"/>
  <c r="CY60" i="3" s="1"/>
  <c r="BX40" i="3"/>
  <c r="CY40" i="3" s="1"/>
  <c r="BX29" i="3"/>
  <c r="CY29" i="3" s="1"/>
  <c r="BX94" i="3"/>
  <c r="CY94" i="3" s="1"/>
  <c r="BX104" i="3"/>
  <c r="CY104" i="3" s="1"/>
  <c r="BX144" i="3"/>
  <c r="CY144" i="3" s="1"/>
  <c r="BX41" i="3"/>
  <c r="CY41" i="3" s="1"/>
  <c r="BX71" i="3"/>
  <c r="CY71" i="3" s="1"/>
  <c r="BX170" i="3"/>
  <c r="CY170" i="3" s="1"/>
  <c r="BX179" i="3"/>
  <c r="CY179" i="3" s="1"/>
  <c r="BX72" i="3"/>
  <c r="CY72" i="3" s="1"/>
  <c r="BX161" i="3"/>
  <c r="CY161" i="3" s="1"/>
  <c r="BX34" i="3"/>
  <c r="CY34" i="3" s="1"/>
  <c r="BX173" i="3"/>
  <c r="CY173" i="3" s="1"/>
  <c r="BX100" i="3"/>
  <c r="CY100" i="3" s="1"/>
  <c r="BX73" i="3"/>
  <c r="CY73" i="3" s="1"/>
  <c r="BX148" i="3"/>
  <c r="CY148" i="3" s="1"/>
  <c r="BX190" i="3"/>
  <c r="CY190" i="3" s="1"/>
  <c r="BX153" i="3"/>
  <c r="CY153" i="3" s="1"/>
  <c r="BX135" i="3"/>
  <c r="CY135" i="3" s="1"/>
  <c r="BX112" i="3"/>
  <c r="CY112" i="3" s="1"/>
  <c r="BX134" i="3"/>
  <c r="CY134" i="3" s="1"/>
  <c r="BX19" i="3"/>
  <c r="CY19" i="3" s="1"/>
  <c r="BX147" i="3"/>
  <c r="CY147" i="3" s="1"/>
  <c r="BX122" i="3"/>
  <c r="CY122" i="3" s="1"/>
  <c r="BX11" i="3"/>
  <c r="CY11" i="3" s="1"/>
  <c r="BX178" i="3"/>
  <c r="CY178" i="3" s="1"/>
  <c r="BX66" i="3"/>
  <c r="CY66" i="3" s="1"/>
  <c r="BX96" i="3"/>
  <c r="CY96" i="3" s="1"/>
  <c r="BX197" i="3"/>
  <c r="CY197" i="3" s="1"/>
  <c r="BX168" i="3"/>
  <c r="CY168" i="3" s="1"/>
  <c r="BX52" i="3"/>
  <c r="CY52" i="3" s="1"/>
  <c r="BX180" i="3"/>
  <c r="CY180" i="3" s="1"/>
  <c r="BX182" i="3"/>
  <c r="CY182" i="3" s="1"/>
  <c r="BX89" i="3"/>
  <c r="CY89" i="3" s="1"/>
  <c r="BX124" i="3"/>
  <c r="CY124" i="3" s="1"/>
  <c r="BX53" i="3"/>
  <c r="CY53" i="3" s="1"/>
  <c r="BX136" i="3"/>
  <c r="CY136" i="3" s="1"/>
  <c r="BX78" i="3"/>
  <c r="CY78" i="3" s="1"/>
  <c r="BX98" i="3"/>
  <c r="CY98" i="3" s="1"/>
  <c r="BX156" i="3"/>
  <c r="CY156" i="3" s="1"/>
  <c r="BX165" i="3"/>
  <c r="CY165" i="3" s="1"/>
  <c r="BX132" i="3"/>
  <c r="CY132" i="3" s="1"/>
  <c r="BX2" i="3"/>
  <c r="CY2" i="3" s="1"/>
  <c r="BX139" i="3"/>
  <c r="CY139" i="3" s="1"/>
  <c r="BX113" i="3"/>
  <c r="CY113" i="3" s="1"/>
  <c r="BX93" i="3"/>
  <c r="CY93" i="3" s="1"/>
  <c r="BX49" i="3"/>
  <c r="CY49" i="3" s="1"/>
  <c r="BX46" i="3"/>
  <c r="CY46" i="3" s="1"/>
  <c r="BX186" i="3"/>
  <c r="CY186" i="3" s="1"/>
  <c r="BX151" i="3"/>
  <c r="CY151" i="3" s="1"/>
  <c r="BX21" i="3"/>
  <c r="CY21" i="3" s="1"/>
  <c r="BX106" i="3"/>
  <c r="CY106" i="3" s="1"/>
  <c r="BX38" i="3"/>
  <c r="CY38" i="3" s="1"/>
  <c r="BX83" i="3"/>
  <c r="CY83" i="3" s="1"/>
  <c r="BX95" i="3"/>
  <c r="CY95" i="3" s="1"/>
  <c r="BX196" i="3"/>
  <c r="CY196" i="3" s="1"/>
  <c r="BX127" i="3"/>
  <c r="CY127" i="3" s="1"/>
  <c r="BX6" i="3"/>
  <c r="CY6" i="3" s="1"/>
  <c r="BX118" i="3"/>
  <c r="CY118" i="3" s="1"/>
  <c r="BX37" i="3"/>
  <c r="CY37" i="3" s="1"/>
  <c r="BX33" i="3"/>
  <c r="CY33" i="3" s="1"/>
  <c r="BX128" i="3"/>
  <c r="CY128" i="3" s="1"/>
  <c r="BX126" i="3"/>
  <c r="CY126" i="3" s="1"/>
  <c r="BX101" i="3"/>
  <c r="CY101" i="3" s="1"/>
  <c r="BX183" i="3"/>
  <c r="CY183" i="3" s="1"/>
  <c r="BX44" i="3"/>
  <c r="CY44" i="3" s="1"/>
  <c r="BX4" i="3"/>
  <c r="CY4" i="3" s="1"/>
  <c r="BX91" i="3"/>
  <c r="CY91" i="3" s="1"/>
  <c r="BX115" i="3"/>
  <c r="CY115" i="3" s="1"/>
  <c r="BX192" i="3"/>
  <c r="CY192" i="3" s="1"/>
  <c r="BX50" i="3"/>
  <c r="CY50" i="3" s="1"/>
  <c r="BX155" i="3"/>
  <c r="CY155" i="3" s="1"/>
  <c r="BX149" i="3"/>
  <c r="CY149" i="3" s="1"/>
  <c r="BX114" i="3"/>
  <c r="CY114" i="3" s="1"/>
  <c r="BX164" i="3"/>
  <c r="CY164" i="3" s="1"/>
  <c r="BX145" i="3"/>
  <c r="CY145" i="3" s="1"/>
  <c r="BX15" i="3"/>
  <c r="CY15" i="3" s="1"/>
  <c r="BX58" i="3"/>
  <c r="CY58" i="3" s="1"/>
  <c r="BX62" i="3"/>
  <c r="CY62" i="3" s="1"/>
  <c r="BX82" i="3"/>
  <c r="CY82" i="3" s="1"/>
  <c r="BX10" i="3"/>
  <c r="CY10" i="3" s="1"/>
  <c r="BX110" i="3"/>
  <c r="CY110" i="3" s="1"/>
  <c r="BX79" i="3"/>
  <c r="CY79" i="3" s="1"/>
  <c r="BX166" i="3"/>
  <c r="CY166" i="3" s="1"/>
  <c r="BX174" i="3"/>
  <c r="CY174" i="3" s="1"/>
  <c r="BX42" i="3"/>
  <c r="CY42" i="3" s="1"/>
  <c r="BX70" i="3"/>
  <c r="CY70" i="3" s="1"/>
  <c r="BX31" i="3"/>
  <c r="CY31" i="3" s="1"/>
  <c r="BX39" i="3"/>
  <c r="CY39" i="3" s="1"/>
  <c r="BX195" i="3"/>
  <c r="CY195" i="3" s="1"/>
  <c r="BX24" i="3"/>
  <c r="CY24" i="3" s="1"/>
  <c r="BX129" i="3"/>
  <c r="CY129" i="3" s="1"/>
  <c r="BX171" i="3"/>
  <c r="CY171" i="3" s="1"/>
  <c r="BX14" i="3"/>
  <c r="CY14" i="3" s="1"/>
  <c r="BX35" i="3"/>
  <c r="CY35" i="3" s="1"/>
  <c r="BX163" i="3"/>
  <c r="CY163" i="3" s="1"/>
  <c r="BX108" i="3"/>
  <c r="CY108" i="3" s="1"/>
  <c r="BX97" i="3"/>
  <c r="CY97" i="3" s="1"/>
  <c r="BX25" i="3"/>
  <c r="CY25" i="3" s="1"/>
  <c r="BX141" i="3"/>
  <c r="CY141" i="3" s="1"/>
  <c r="BX116" i="3"/>
  <c r="CY116" i="3" s="1"/>
  <c r="BX175" i="3"/>
  <c r="CY175" i="3" s="1"/>
  <c r="BX28" i="3"/>
  <c r="CY28" i="3" s="1"/>
  <c r="BX138" i="3"/>
  <c r="CY138" i="3" s="1"/>
  <c r="BX200" i="3"/>
  <c r="CY200" i="3" s="1"/>
  <c r="BX150" i="3"/>
  <c r="CY150" i="3" s="1"/>
  <c r="BX48" i="3"/>
  <c r="CY48" i="3" s="1"/>
  <c r="BX188" i="3"/>
  <c r="CY188" i="3" s="1"/>
  <c r="BX80" i="3"/>
  <c r="CY80" i="3" s="1"/>
  <c r="BX111" i="3"/>
  <c r="CY111" i="3" s="1"/>
  <c r="BX140" i="3"/>
  <c r="CY140" i="3" s="1"/>
  <c r="BX198" i="3"/>
  <c r="CY198" i="3" s="1"/>
  <c r="BX105" i="3"/>
  <c r="CY105" i="3" s="1"/>
  <c r="BX123" i="3"/>
  <c r="CY123" i="3" s="1"/>
  <c r="BX194" i="3"/>
  <c r="CY194" i="3" s="1"/>
  <c r="BX32" i="3"/>
  <c r="CY32" i="3" s="1"/>
  <c r="BX142" i="3"/>
  <c r="CY142" i="3" s="1"/>
  <c r="BX169" i="3"/>
  <c r="CY169" i="3" s="1"/>
  <c r="BX137" i="3"/>
  <c r="CY137" i="3" s="1"/>
  <c r="BY197" i="3"/>
  <c r="CZ197" i="3" s="1"/>
  <c r="BY90" i="3"/>
  <c r="CZ90" i="3" s="1"/>
  <c r="BY111" i="3"/>
  <c r="CZ111" i="3" s="1"/>
  <c r="BY40" i="3"/>
  <c r="CZ40" i="3" s="1"/>
  <c r="BY37" i="3"/>
  <c r="CZ37" i="3" s="1"/>
  <c r="BY181" i="3"/>
  <c r="CZ181" i="3" s="1"/>
  <c r="BY28" i="3"/>
  <c r="CZ28" i="3" s="1"/>
  <c r="BY157" i="3"/>
  <c r="CZ157" i="3" s="1"/>
  <c r="BY180" i="3"/>
  <c r="CZ180" i="3" s="1"/>
  <c r="BY190" i="3"/>
  <c r="CZ190" i="3" s="1"/>
  <c r="BY74" i="3"/>
  <c r="CZ74" i="3" s="1"/>
  <c r="BY47" i="3"/>
  <c r="CZ47" i="3" s="1"/>
  <c r="BY79" i="3"/>
  <c r="CZ79" i="3" s="1"/>
  <c r="BY198" i="3"/>
  <c r="CZ198" i="3" s="1"/>
  <c r="BY88" i="3"/>
  <c r="CZ88" i="3" s="1"/>
  <c r="BY80" i="3"/>
  <c r="CZ80" i="3" s="1"/>
  <c r="BY22" i="3"/>
  <c r="CZ22" i="3" s="1"/>
  <c r="BY123" i="3"/>
  <c r="CZ123" i="3" s="1"/>
  <c r="BY46" i="3"/>
  <c r="CZ46" i="3" s="1"/>
  <c r="BY139" i="3"/>
  <c r="CZ139" i="3" s="1"/>
  <c r="BY110" i="3"/>
  <c r="CZ110" i="3" s="1"/>
  <c r="BY174" i="3"/>
  <c r="CZ174" i="3" s="1"/>
  <c r="BY13" i="3"/>
  <c r="CZ13" i="3" s="1"/>
  <c r="BY3" i="3"/>
  <c r="CZ3" i="3" s="1"/>
  <c r="BY185" i="3"/>
  <c r="CZ185" i="3" s="1"/>
  <c r="BY36" i="3"/>
  <c r="CZ36" i="3" s="1"/>
  <c r="BY189" i="3"/>
  <c r="CZ189" i="3" s="1"/>
  <c r="BY63" i="3"/>
  <c r="CZ63" i="3" s="1"/>
  <c r="BY122" i="3"/>
  <c r="CZ122" i="3" s="1"/>
  <c r="BY148" i="3"/>
  <c r="CZ148" i="3" s="1"/>
  <c r="BY2" i="3"/>
  <c r="CZ2" i="3" s="1"/>
  <c r="BY187" i="3"/>
  <c r="CZ187" i="3" s="1"/>
  <c r="BY24" i="3"/>
  <c r="CZ24" i="3" s="1"/>
  <c r="BY81" i="3"/>
  <c r="CZ81" i="3" s="1"/>
  <c r="BV45" i="3"/>
  <c r="CW45" i="3" s="1"/>
  <c r="DB45" i="3" s="1"/>
  <c r="BV11" i="3"/>
  <c r="CW11" i="3" s="1"/>
  <c r="DB11" i="3" s="1"/>
  <c r="BV140" i="3"/>
  <c r="CW140" i="3" s="1"/>
  <c r="DB140" i="3" s="1"/>
  <c r="BV196" i="3"/>
  <c r="CW196" i="3" s="1"/>
  <c r="DB196" i="3" s="1"/>
  <c r="BV53" i="3"/>
  <c r="CW53" i="3" s="1"/>
  <c r="DB53" i="3" s="1"/>
  <c r="BV115" i="3"/>
  <c r="CW115" i="3" s="1"/>
  <c r="DB115" i="3" s="1"/>
  <c r="BV188" i="3"/>
  <c r="CW188" i="3" s="1"/>
  <c r="DB188" i="3" s="1"/>
  <c r="BV152" i="3"/>
  <c r="CW152" i="3" s="1"/>
  <c r="DB152" i="3" s="1"/>
  <c r="BV7" i="3"/>
  <c r="CW7" i="3" s="1"/>
  <c r="DB7" i="3" s="1"/>
  <c r="BV46" i="3"/>
  <c r="CW46" i="3" s="1"/>
  <c r="DB46" i="3" s="1"/>
  <c r="BV39" i="3"/>
  <c r="CW39" i="3" s="1"/>
  <c r="DB39" i="3" s="1"/>
  <c r="BV129" i="3"/>
  <c r="CW129" i="3" s="1"/>
  <c r="DB129" i="3" s="1"/>
  <c r="BV119" i="3"/>
  <c r="CW119" i="3" s="1"/>
  <c r="DB119" i="3" s="1"/>
  <c r="BV116" i="3"/>
  <c r="CW116" i="3" s="1"/>
  <c r="DB116" i="3" s="1"/>
  <c r="BV117" i="3"/>
  <c r="CW117" i="3" s="1"/>
  <c r="DB117" i="3" s="1"/>
  <c r="BY55" i="3"/>
  <c r="CZ55" i="3" s="1"/>
  <c r="BY14" i="3"/>
  <c r="CZ14" i="3" s="1"/>
  <c r="BY161" i="3"/>
  <c r="CZ161" i="3" s="1"/>
  <c r="BY9" i="3"/>
  <c r="CZ9" i="3" s="1"/>
  <c r="BY67" i="3"/>
  <c r="CZ67" i="3" s="1"/>
  <c r="BY146" i="3"/>
  <c r="CZ146" i="3" s="1"/>
  <c r="BY140" i="3"/>
  <c r="CZ140" i="3" s="1"/>
  <c r="BY73" i="3"/>
  <c r="CZ73" i="3" s="1"/>
  <c r="BY86" i="3"/>
  <c r="CZ86" i="3" s="1"/>
  <c r="BY21" i="3"/>
  <c r="CZ21" i="3" s="1"/>
  <c r="BY51" i="3"/>
  <c r="CZ51" i="3" s="1"/>
  <c r="BY172" i="3"/>
  <c r="CZ172" i="3" s="1"/>
  <c r="BY117" i="3"/>
  <c r="CZ117" i="3" s="1"/>
  <c r="BY163" i="3"/>
  <c r="CZ163" i="3" s="1"/>
  <c r="BY32" i="3"/>
  <c r="CZ32" i="3" s="1"/>
  <c r="BY176" i="3"/>
  <c r="CZ176" i="3" s="1"/>
  <c r="BY134" i="3"/>
  <c r="CZ134" i="3" s="1"/>
  <c r="BY6" i="3"/>
  <c r="CZ6" i="3" s="1"/>
  <c r="BY87" i="3"/>
  <c r="CZ87" i="3" s="1"/>
  <c r="BY15" i="3"/>
  <c r="CZ15" i="3" s="1"/>
  <c r="BY182" i="3"/>
  <c r="CZ182" i="3" s="1"/>
  <c r="BY135" i="3"/>
  <c r="CZ135" i="3" s="1"/>
  <c r="BY184" i="3"/>
  <c r="CZ184" i="3" s="1"/>
  <c r="BY44" i="3"/>
  <c r="CZ44" i="3" s="1"/>
  <c r="BY113" i="3"/>
  <c r="CZ113" i="3" s="1"/>
  <c r="BY143" i="3"/>
  <c r="CZ143" i="3" s="1"/>
  <c r="BY29" i="3"/>
  <c r="CZ29" i="3" s="1"/>
  <c r="BY89" i="3"/>
  <c r="CZ89" i="3" s="1"/>
  <c r="BY94" i="3"/>
  <c r="CZ94" i="3" s="1"/>
  <c r="BY41" i="3"/>
  <c r="CZ41" i="3" s="1"/>
  <c r="BY169" i="3"/>
  <c r="CZ169" i="3" s="1"/>
  <c r="BY16" i="3"/>
  <c r="CZ16" i="3" s="1"/>
  <c r="BY85" i="3"/>
  <c r="CZ85" i="3" s="1"/>
  <c r="BY76" i="3"/>
  <c r="CZ76" i="3" s="1"/>
  <c r="BY103" i="3"/>
  <c r="CZ103" i="3" s="1"/>
  <c r="BY106" i="3"/>
  <c r="CZ106" i="3" s="1"/>
  <c r="BY65" i="3"/>
  <c r="CZ65" i="3" s="1"/>
  <c r="BY49" i="3"/>
  <c r="CZ49" i="3" s="1"/>
  <c r="BY59" i="3"/>
  <c r="CZ59" i="3" s="1"/>
  <c r="BY167" i="3"/>
  <c r="CZ167" i="3" s="1"/>
  <c r="BY50" i="3"/>
  <c r="CZ50" i="3" s="1"/>
  <c r="BY116" i="3"/>
  <c r="CZ116" i="3" s="1"/>
  <c r="BY200" i="3"/>
  <c r="CZ200" i="3" s="1"/>
  <c r="BY70" i="3"/>
  <c r="CZ70" i="3" s="1"/>
  <c r="BY64" i="3"/>
  <c r="CZ64" i="3" s="1"/>
  <c r="BY57" i="3"/>
  <c r="CZ57" i="3" s="1"/>
  <c r="DB57" i="3" s="1"/>
  <c r="BY131" i="3"/>
  <c r="CZ131" i="3" s="1"/>
  <c r="BY126" i="3"/>
  <c r="CZ126" i="3" s="1"/>
  <c r="BY8" i="3"/>
  <c r="CZ8" i="3" s="1"/>
  <c r="BY138" i="3"/>
  <c r="CZ138" i="3" s="1"/>
  <c r="BY155" i="3"/>
  <c r="CZ155" i="3" s="1"/>
  <c r="BY77" i="3"/>
  <c r="CZ77" i="3" s="1"/>
  <c r="BY115" i="3"/>
  <c r="CZ115" i="3" s="1"/>
  <c r="BY66" i="3"/>
  <c r="CZ66" i="3" s="1"/>
  <c r="BY149" i="3"/>
  <c r="CZ149" i="3" s="1"/>
  <c r="BY150" i="3"/>
  <c r="CZ150" i="3" s="1"/>
  <c r="BY129" i="3"/>
  <c r="CZ129" i="3" s="1"/>
  <c r="BY171" i="3"/>
  <c r="CZ171" i="3" s="1"/>
  <c r="BY158" i="3"/>
  <c r="CZ158" i="3" s="1"/>
  <c r="BY142" i="3"/>
  <c r="CZ142" i="3" s="1"/>
  <c r="BY31" i="3"/>
  <c r="CZ31" i="3" s="1"/>
  <c r="BY124" i="3"/>
  <c r="CZ124" i="3" s="1"/>
  <c r="BY45" i="3"/>
  <c r="CZ45" i="3" s="1"/>
  <c r="BY100" i="3"/>
  <c r="CZ100" i="3" s="1"/>
  <c r="BY54" i="3"/>
  <c r="CZ54" i="3" s="1"/>
  <c r="BY93" i="3"/>
  <c r="CZ93" i="3" s="1"/>
  <c r="BY82" i="3"/>
  <c r="CZ82" i="3" s="1"/>
  <c r="BY26" i="3"/>
  <c r="CZ26" i="3" s="1"/>
  <c r="BY99" i="3"/>
  <c r="CZ99" i="3" s="1"/>
  <c r="BY109" i="3"/>
  <c r="CZ109" i="3" s="1"/>
  <c r="BY121" i="3"/>
  <c r="CZ121" i="3" s="1"/>
  <c r="BY112" i="3"/>
  <c r="CZ112" i="3" s="1"/>
  <c r="BY33" i="3"/>
  <c r="CZ33" i="3" s="1"/>
  <c r="BY196" i="3"/>
  <c r="CZ196" i="3" s="1"/>
  <c r="BY160" i="3"/>
  <c r="CZ160" i="3" s="1"/>
  <c r="BY125" i="3"/>
  <c r="CZ125" i="3" s="1"/>
  <c r="BY48" i="3"/>
  <c r="CZ48" i="3" s="1"/>
  <c r="BY69" i="3"/>
  <c r="CZ69" i="3" s="1"/>
  <c r="BY107" i="3"/>
  <c r="CZ107" i="3" s="1"/>
  <c r="BY152" i="3"/>
  <c r="CZ152" i="3" s="1"/>
  <c r="BY186" i="3"/>
  <c r="CZ186" i="3" s="1"/>
  <c r="BY96" i="3"/>
  <c r="CZ96" i="3" s="1"/>
  <c r="BY118" i="3"/>
  <c r="CZ118" i="3" s="1"/>
  <c r="BY38" i="3"/>
  <c r="CZ38" i="3" s="1"/>
  <c r="BY165" i="3"/>
  <c r="CZ165" i="3" s="1"/>
  <c r="BY62" i="3"/>
  <c r="CZ62" i="3" s="1"/>
  <c r="BY58" i="3"/>
  <c r="CZ58" i="3" s="1"/>
  <c r="BY153" i="3"/>
  <c r="CZ153" i="3" s="1"/>
  <c r="BY23" i="3"/>
  <c r="CZ23" i="3" s="1"/>
  <c r="BY10" i="3"/>
  <c r="CZ10" i="3" s="1"/>
  <c r="BY168" i="3"/>
  <c r="CZ168" i="3" s="1"/>
  <c r="BY119" i="3"/>
  <c r="CZ119" i="3" s="1"/>
  <c r="BY5" i="3"/>
  <c r="CZ5" i="3" s="1"/>
  <c r="BY12" i="3"/>
  <c r="CZ12" i="3" s="1"/>
  <c r="BY105" i="3"/>
  <c r="CZ105" i="3" s="1"/>
  <c r="BY60" i="3"/>
  <c r="CZ60" i="3" s="1"/>
  <c r="BY162" i="3"/>
  <c r="CZ162" i="3" s="1"/>
  <c r="BY193" i="3"/>
  <c r="CZ193" i="3" s="1"/>
  <c r="BY130" i="3"/>
  <c r="CZ130" i="3" s="1"/>
  <c r="BY20" i="3"/>
  <c r="CZ20" i="3" s="1"/>
  <c r="BY17" i="3"/>
  <c r="CZ17" i="3" s="1"/>
  <c r="BY7" i="3"/>
  <c r="CZ7" i="3" s="1"/>
  <c r="BY68" i="3"/>
  <c r="CZ68" i="3" s="1"/>
  <c r="BY4" i="3"/>
  <c r="CZ4" i="3" s="1"/>
  <c r="BY191" i="3"/>
  <c r="CZ191" i="3" s="1"/>
  <c r="BY91" i="3"/>
  <c r="CZ91" i="3" s="1"/>
  <c r="BY194" i="3"/>
  <c r="CZ194" i="3" s="1"/>
  <c r="BY97" i="3"/>
  <c r="CZ97" i="3" s="1"/>
  <c r="BY159" i="3"/>
  <c r="CZ159" i="3" s="1"/>
  <c r="BY43" i="3"/>
  <c r="CZ43" i="3" s="1"/>
  <c r="BY104" i="3"/>
  <c r="CZ104" i="3" s="1"/>
  <c r="BY145" i="3"/>
  <c r="CZ145" i="3" s="1"/>
  <c r="BY188" i="3"/>
  <c r="CZ188" i="3" s="1"/>
  <c r="BY98" i="3"/>
  <c r="CZ98" i="3" s="1"/>
  <c r="BY133" i="3"/>
  <c r="CZ133" i="3" s="1"/>
  <c r="BY56" i="3"/>
  <c r="CZ56" i="3" s="1"/>
  <c r="BY11" i="3"/>
  <c r="CZ11" i="3" s="1"/>
  <c r="BY114" i="3"/>
  <c r="CZ114" i="3" s="1"/>
  <c r="BY141" i="3"/>
  <c r="CZ141" i="3" s="1"/>
  <c r="BY39" i="3"/>
  <c r="CZ39" i="3" s="1"/>
  <c r="BY71" i="3"/>
  <c r="CZ71" i="3" s="1"/>
  <c r="BY83" i="3"/>
  <c r="CZ83" i="3" s="1"/>
  <c r="BY52" i="3"/>
  <c r="CZ52" i="3" s="1"/>
  <c r="BY132" i="3"/>
  <c r="CZ132" i="3" s="1"/>
  <c r="BY127" i="3"/>
  <c r="CZ127" i="3" s="1"/>
  <c r="BY179" i="3"/>
  <c r="CZ179" i="3" s="1"/>
  <c r="CU138" i="3"/>
  <c r="CU184" i="3"/>
  <c r="CU162" i="3"/>
  <c r="CU165" i="3"/>
  <c r="CU50" i="3"/>
  <c r="CU84" i="3"/>
  <c r="CU11" i="3"/>
  <c r="CU166" i="3"/>
  <c r="CU179" i="3"/>
  <c r="CU189" i="3"/>
  <c r="CU127" i="3"/>
  <c r="CU17" i="3"/>
  <c r="CU148" i="3" l="1"/>
  <c r="DH149" i="3"/>
  <c r="CU126" i="3"/>
  <c r="CU116" i="3"/>
  <c r="CU9" i="3"/>
  <c r="CU73" i="3"/>
  <c r="CU174" i="3"/>
  <c r="CU132" i="3"/>
  <c r="CU154" i="3"/>
  <c r="CU181" i="3"/>
  <c r="CU44" i="3"/>
  <c r="CU94" i="3"/>
  <c r="CU99" i="3"/>
  <c r="CU64" i="3"/>
  <c r="CU23" i="3"/>
  <c r="CU18" i="3"/>
  <c r="CU144" i="3"/>
  <c r="CU159" i="3"/>
  <c r="CU172" i="3"/>
  <c r="CU190" i="3"/>
  <c r="CU14" i="3"/>
  <c r="CU55" i="3"/>
  <c r="CU35" i="3"/>
  <c r="CU171" i="3"/>
  <c r="CU83" i="3"/>
  <c r="CU5" i="3"/>
  <c r="CU134" i="3"/>
  <c r="CU114" i="3"/>
  <c r="CU49" i="3"/>
  <c r="CU56" i="3"/>
  <c r="CU170" i="3"/>
  <c r="CU28" i="3"/>
  <c r="CU47" i="3"/>
  <c r="CU145" i="3"/>
  <c r="CU59" i="3"/>
  <c r="CU61" i="3"/>
  <c r="CU169" i="3"/>
  <c r="CU66" i="3"/>
  <c r="DH123" i="3"/>
  <c r="DI123" i="3" s="1"/>
  <c r="CU167" i="3"/>
  <c r="CU6" i="3"/>
  <c r="CU105" i="3"/>
  <c r="CU52" i="3"/>
  <c r="DH93" i="3"/>
  <c r="CU27" i="3"/>
  <c r="CU177" i="3"/>
  <c r="CU124" i="3"/>
  <c r="CU80" i="3"/>
  <c r="CU85" i="3"/>
  <c r="CU101" i="3"/>
  <c r="CU194" i="3"/>
  <c r="CU91" i="3"/>
  <c r="CU72" i="3"/>
  <c r="DH4" i="3"/>
  <c r="CU82" i="3"/>
  <c r="CU33" i="3"/>
  <c r="CU25" i="3"/>
  <c r="CU195" i="3"/>
  <c r="CU34" i="3"/>
  <c r="CU197" i="3"/>
  <c r="CU3" i="3"/>
  <c r="CU70" i="3"/>
  <c r="CU46" i="3"/>
  <c r="CU115" i="3"/>
  <c r="CU158" i="3"/>
  <c r="CU58" i="3"/>
  <c r="CU139" i="3"/>
  <c r="CU30" i="3"/>
  <c r="CU96" i="3"/>
  <c r="CU191" i="3"/>
  <c r="CU152" i="3"/>
  <c r="CU60" i="3"/>
  <c r="CU97" i="3"/>
  <c r="DH106" i="3"/>
  <c r="CU183" i="3"/>
  <c r="CU199" i="3"/>
  <c r="CU118" i="3"/>
  <c r="CU74" i="3"/>
  <c r="CU136" i="3"/>
  <c r="CU86" i="3"/>
  <c r="CU16" i="3"/>
  <c r="CU81" i="3"/>
  <c r="CU26" i="3"/>
  <c r="CU135" i="3"/>
  <c r="CU40" i="3"/>
  <c r="CU161" i="3"/>
  <c r="DH46" i="3"/>
  <c r="DI46" i="3" s="1"/>
  <c r="DO46" i="3" s="1"/>
  <c r="CU121" i="3"/>
  <c r="CU149" i="3"/>
  <c r="CU106" i="3"/>
  <c r="CU15" i="3"/>
  <c r="CU186" i="3"/>
  <c r="CU77" i="3"/>
  <c r="CU104" i="3"/>
  <c r="CU10" i="3"/>
  <c r="CU2" i="3"/>
  <c r="CU143" i="3"/>
  <c r="CU93" i="3"/>
  <c r="CU63" i="3"/>
  <c r="CU67" i="3"/>
  <c r="DH195" i="3"/>
  <c r="DI195" i="3" s="1"/>
  <c r="DO195" i="3" s="1"/>
  <c r="DQ195" i="3" s="1"/>
  <c r="CU146" i="3"/>
  <c r="CU128" i="3"/>
  <c r="DH163" i="3"/>
  <c r="DI163" i="3" s="1"/>
  <c r="CU92" i="3"/>
  <c r="DH180" i="3"/>
  <c r="DI180" i="3" s="1"/>
  <c r="DO180" i="3" s="1"/>
  <c r="DQ180" i="3" s="1"/>
  <c r="CU108" i="3"/>
  <c r="CU13" i="3"/>
  <c r="CU141" i="3"/>
  <c r="CU133" i="3"/>
  <c r="DH19" i="3"/>
  <c r="DI19" i="3" s="1"/>
  <c r="DO19" i="3" s="1"/>
  <c r="DH33" i="3"/>
  <c r="DH122" i="3"/>
  <c r="CU112" i="3"/>
  <c r="CU79" i="3"/>
  <c r="DH64" i="3"/>
  <c r="DH159" i="3"/>
  <c r="DI159" i="3" s="1"/>
  <c r="DO159" i="3" s="1"/>
  <c r="DQ159" i="3" s="1"/>
  <c r="DH187" i="3"/>
  <c r="DI187" i="3" s="1"/>
  <c r="DO187" i="3" s="1"/>
  <c r="DQ187" i="3" s="1"/>
  <c r="CU117" i="3"/>
  <c r="CU98" i="3"/>
  <c r="CU156" i="3"/>
  <c r="DH147" i="3"/>
  <c r="CU163" i="3"/>
  <c r="CU113" i="3"/>
  <c r="DH178" i="3"/>
  <c r="DI178" i="3" s="1"/>
  <c r="DO178" i="3" s="1"/>
  <c r="DQ178" i="3" s="1"/>
  <c r="DH103" i="3"/>
  <c r="DI103" i="3" s="1"/>
  <c r="DO103" i="3" s="1"/>
  <c r="DQ103" i="3" s="1"/>
  <c r="CU185" i="3"/>
  <c r="CU142" i="3"/>
  <c r="CU102" i="3"/>
  <c r="DH94" i="3"/>
  <c r="CU153" i="3"/>
  <c r="DH52" i="3"/>
  <c r="DI52" i="3" s="1"/>
  <c r="DO52" i="3" s="1"/>
  <c r="DH152" i="3"/>
  <c r="DI152" i="3" s="1"/>
  <c r="DO152" i="3" s="1"/>
  <c r="DQ152" i="3" s="1"/>
  <c r="DH193" i="3"/>
  <c r="CU175" i="3"/>
  <c r="CU176" i="3"/>
  <c r="CU137" i="3"/>
  <c r="DH90" i="3"/>
  <c r="DH129" i="3"/>
  <c r="DI129" i="3" s="1"/>
  <c r="DO129" i="3" s="1"/>
  <c r="DQ129" i="3" s="1"/>
  <c r="DH124" i="3"/>
  <c r="CU7" i="3"/>
  <c r="DH115" i="3"/>
  <c r="CU12" i="3"/>
  <c r="CU111" i="3"/>
  <c r="CU119" i="3"/>
  <c r="CU125" i="3"/>
  <c r="DH58" i="3"/>
  <c r="DH128" i="3"/>
  <c r="DH88" i="3"/>
  <c r="DI88" i="3" s="1"/>
  <c r="DO88" i="3" s="1"/>
  <c r="DQ88" i="3" s="1"/>
  <c r="DH69" i="3"/>
  <c r="DI69" i="3" s="1"/>
  <c r="DO69" i="3" s="1"/>
  <c r="DH60" i="3"/>
  <c r="CU90" i="3"/>
  <c r="CU51" i="3"/>
  <c r="DH183" i="3"/>
  <c r="DI183" i="3" s="1"/>
  <c r="DO183" i="3" s="1"/>
  <c r="DQ183" i="3" s="1"/>
  <c r="CU8" i="3"/>
  <c r="DH108" i="3"/>
  <c r="DI108" i="3" s="1"/>
  <c r="DO108" i="3" s="1"/>
  <c r="DQ108" i="3" s="1"/>
  <c r="DH135" i="3"/>
  <c r="DI135" i="3" s="1"/>
  <c r="DO135" i="3" s="1"/>
  <c r="DQ135" i="3" s="1"/>
  <c r="DH112" i="3"/>
  <c r="DI112" i="3" s="1"/>
  <c r="DO112" i="3" s="1"/>
  <c r="DQ112" i="3" s="1"/>
  <c r="DH57" i="3"/>
  <c r="DI57" i="3" s="1"/>
  <c r="DO57" i="3" s="1"/>
  <c r="DH48" i="3"/>
  <c r="CU131" i="3"/>
  <c r="DH164" i="3"/>
  <c r="DI164" i="3" s="1"/>
  <c r="DH10" i="3"/>
  <c r="DH114" i="3"/>
  <c r="DH17" i="3"/>
  <c r="DI17" i="3" s="1"/>
  <c r="DO17" i="3" s="1"/>
  <c r="DH84" i="3"/>
  <c r="DI84" i="3" s="1"/>
  <c r="DO84" i="3" s="1"/>
  <c r="DQ84" i="3" s="1"/>
  <c r="DH26" i="3"/>
  <c r="DI26" i="3" s="1"/>
  <c r="DO26" i="3" s="1"/>
  <c r="DH76" i="3"/>
  <c r="DH179" i="3"/>
  <c r="DI179" i="3" s="1"/>
  <c r="DO179" i="3" s="1"/>
  <c r="DQ179" i="3" s="1"/>
  <c r="CU41" i="3"/>
  <c r="CU151" i="3"/>
  <c r="CU62" i="3"/>
  <c r="DH51" i="3"/>
  <c r="DI51" i="3" s="1"/>
  <c r="CU54" i="3"/>
  <c r="CU100" i="3"/>
  <c r="DH111" i="3"/>
  <c r="CU168" i="3"/>
  <c r="DH158" i="3"/>
  <c r="DI158" i="3" s="1"/>
  <c r="DO158" i="3" s="1"/>
  <c r="DQ158" i="3" s="1"/>
  <c r="DH61" i="3"/>
  <c r="DI61" i="3" s="1"/>
  <c r="DO61" i="3" s="1"/>
  <c r="DH172" i="3"/>
  <c r="DI172" i="3" s="1"/>
  <c r="CU155" i="3"/>
  <c r="DH23" i="3"/>
  <c r="DI23" i="3" s="1"/>
  <c r="DO23" i="3" s="1"/>
  <c r="DH30" i="3"/>
  <c r="DI30" i="3" s="1"/>
  <c r="DO30" i="3" s="1"/>
  <c r="CU103" i="3"/>
  <c r="DH194" i="3"/>
  <c r="DI194" i="3" s="1"/>
  <c r="DO194" i="3" s="1"/>
  <c r="DQ194" i="3" s="1"/>
  <c r="DH12" i="3"/>
  <c r="DH188" i="3"/>
  <c r="DI188" i="3" s="1"/>
  <c r="DO188" i="3" s="1"/>
  <c r="DQ188" i="3" s="1"/>
  <c r="DH119" i="3"/>
  <c r="DH63" i="3"/>
  <c r="DI63" i="3" s="1"/>
  <c r="DO63" i="3" s="1"/>
  <c r="DH150" i="3"/>
  <c r="DI150" i="3" s="1"/>
  <c r="DO150" i="3" s="1"/>
  <c r="DQ150" i="3" s="1"/>
  <c r="CU75" i="3"/>
  <c r="DH133" i="3"/>
  <c r="DI133" i="3" s="1"/>
  <c r="DH98" i="3"/>
  <c r="DI98" i="3" s="1"/>
  <c r="DO98" i="3" s="1"/>
  <c r="DQ98" i="3" s="1"/>
  <c r="DH156" i="3"/>
  <c r="DI156" i="3" s="1"/>
  <c r="DO156" i="3" s="1"/>
  <c r="DQ156" i="3" s="1"/>
  <c r="DH154" i="3"/>
  <c r="DI154" i="3" s="1"/>
  <c r="DH175" i="3"/>
  <c r="DI175" i="3" s="1"/>
  <c r="DH136" i="3"/>
  <c r="DI136" i="3" s="1"/>
  <c r="DO136" i="3" s="1"/>
  <c r="DQ136" i="3" s="1"/>
  <c r="DH92" i="3"/>
  <c r="DI92" i="3" s="1"/>
  <c r="DO92" i="3" s="1"/>
  <c r="DQ92" i="3" s="1"/>
  <c r="CU164" i="3"/>
  <c r="DH137" i="3"/>
  <c r="DI137" i="3" s="1"/>
  <c r="DH68" i="3"/>
  <c r="DH81" i="3"/>
  <c r="DI81" i="3" s="1"/>
  <c r="DO81" i="3" s="1"/>
  <c r="DH14" i="3"/>
  <c r="DH62" i="3"/>
  <c r="DI62" i="3" s="1"/>
  <c r="CU109" i="3"/>
  <c r="DH167" i="3"/>
  <c r="DI167" i="3" s="1"/>
  <c r="DO167" i="3" s="1"/>
  <c r="DQ167" i="3" s="1"/>
  <c r="DH171" i="3"/>
  <c r="DI171" i="3" s="1"/>
  <c r="DO171" i="3" s="1"/>
  <c r="DQ171" i="3" s="1"/>
  <c r="DH49" i="3"/>
  <c r="DH95" i="3"/>
  <c r="DH70" i="3"/>
  <c r="DI70" i="3" s="1"/>
  <c r="DH190" i="3"/>
  <c r="DI190" i="3" s="1"/>
  <c r="DO190" i="3" s="1"/>
  <c r="DQ190" i="3" s="1"/>
  <c r="DH38" i="3"/>
  <c r="DH43" i="3"/>
  <c r="DI43" i="3" s="1"/>
  <c r="DO43" i="3" s="1"/>
  <c r="DH96" i="3"/>
  <c r="DI96" i="3" s="1"/>
  <c r="DH34" i="3"/>
  <c r="DI34" i="3" s="1"/>
  <c r="DO34" i="3" s="1"/>
  <c r="CU20" i="3"/>
  <c r="CU130" i="3"/>
  <c r="DH146" i="3"/>
  <c r="DI146" i="3" s="1"/>
  <c r="DH45" i="3"/>
  <c r="DI45" i="3" s="1"/>
  <c r="DH3" i="3"/>
  <c r="DH79" i="3"/>
  <c r="DI79" i="3" s="1"/>
  <c r="DO79" i="3" s="1"/>
  <c r="DH118" i="3"/>
  <c r="DI118" i="3" s="1"/>
  <c r="CU48" i="3"/>
  <c r="DH182" i="3"/>
  <c r="DI182" i="3" s="1"/>
  <c r="DO182" i="3" s="1"/>
  <c r="DQ182" i="3" s="1"/>
  <c r="DH13" i="3"/>
  <c r="DI13" i="3" s="1"/>
  <c r="DO13" i="3" s="1"/>
  <c r="DH157" i="3"/>
  <c r="DI157" i="3" s="1"/>
  <c r="DO157" i="3" s="1"/>
  <c r="DQ157" i="3" s="1"/>
  <c r="DH168" i="3"/>
  <c r="DI168" i="3" s="1"/>
  <c r="DH144" i="3"/>
  <c r="DI144" i="3" s="1"/>
  <c r="DO144" i="3" s="1"/>
  <c r="DQ144" i="3" s="1"/>
  <c r="DH104" i="3"/>
  <c r="DI104" i="3" s="1"/>
  <c r="DO104" i="3" s="1"/>
  <c r="DQ104" i="3" s="1"/>
  <c r="DH130" i="3"/>
  <c r="DI130" i="3" s="1"/>
  <c r="DO130" i="3" s="1"/>
  <c r="DQ130" i="3" s="1"/>
  <c r="DH189" i="3"/>
  <c r="DI189" i="3" s="1"/>
  <c r="DO189" i="3" s="1"/>
  <c r="DQ189" i="3" s="1"/>
  <c r="DH75" i="3"/>
  <c r="DI75" i="3" s="1"/>
  <c r="DO75" i="3" s="1"/>
  <c r="DH181" i="3"/>
  <c r="DI181" i="3" s="1"/>
  <c r="DO181" i="3" s="1"/>
  <c r="DQ181" i="3" s="1"/>
  <c r="DH138" i="3"/>
  <c r="DI138" i="3" s="1"/>
  <c r="DO138" i="3" s="1"/>
  <c r="DQ138" i="3" s="1"/>
  <c r="DH113" i="3"/>
  <c r="DI113" i="3" s="1"/>
  <c r="DO113" i="3" s="1"/>
  <c r="DQ113" i="3" s="1"/>
  <c r="DH105" i="3"/>
  <c r="DI105" i="3" s="1"/>
  <c r="DO105" i="3" s="1"/>
  <c r="DQ105" i="3" s="1"/>
  <c r="DH177" i="3"/>
  <c r="DI177" i="3" s="1"/>
  <c r="DO177" i="3" s="1"/>
  <c r="DQ177" i="3" s="1"/>
  <c r="DH8" i="3"/>
  <c r="DI8" i="3" s="1"/>
  <c r="DH148" i="3"/>
  <c r="DI148" i="3" s="1"/>
  <c r="DH110" i="3"/>
  <c r="DI110" i="3" s="1"/>
  <c r="DO110" i="3" s="1"/>
  <c r="DQ110" i="3" s="1"/>
  <c r="DH86" i="3"/>
  <c r="DI86" i="3" s="1"/>
  <c r="DO86" i="3" s="1"/>
  <c r="DQ86" i="3" s="1"/>
  <c r="DH44" i="3"/>
  <c r="DH186" i="3"/>
  <c r="DI186" i="3" s="1"/>
  <c r="DH145" i="3"/>
  <c r="DH72" i="3"/>
  <c r="DI72" i="3" s="1"/>
  <c r="DO72" i="3" s="1"/>
  <c r="DH151" i="3"/>
  <c r="DI151" i="3" s="1"/>
  <c r="DH200" i="3"/>
  <c r="DI200" i="3" s="1"/>
  <c r="DO200" i="3" s="1"/>
  <c r="DQ200" i="3" s="1"/>
  <c r="DH139" i="3"/>
  <c r="DI139" i="3" s="1"/>
  <c r="DO139" i="3" s="1"/>
  <c r="DQ139" i="3" s="1"/>
  <c r="DH65" i="3"/>
  <c r="DI65" i="3" s="1"/>
  <c r="DO65" i="3" s="1"/>
  <c r="DH165" i="3"/>
  <c r="DI165" i="3" s="1"/>
  <c r="DO165" i="3" s="1"/>
  <c r="DQ165" i="3" s="1"/>
  <c r="DH173" i="3"/>
  <c r="DI173" i="3" s="1"/>
  <c r="DO173" i="3" s="1"/>
  <c r="DQ173" i="3" s="1"/>
  <c r="DH29" i="3"/>
  <c r="DI29" i="3" s="1"/>
  <c r="DO29" i="3" s="1"/>
  <c r="DH18" i="3"/>
  <c r="DI18" i="3" s="1"/>
  <c r="DO18" i="3" s="1"/>
  <c r="DH100" i="3"/>
  <c r="DI100" i="3" s="1"/>
  <c r="DH40" i="3"/>
  <c r="DI40" i="3" s="1"/>
  <c r="DO40" i="3" s="1"/>
  <c r="DH21" i="3"/>
  <c r="DH160" i="3"/>
  <c r="DI160" i="3" s="1"/>
  <c r="DO160" i="3" s="1"/>
  <c r="DQ160" i="3" s="1"/>
  <c r="DH116" i="3"/>
  <c r="DI116" i="3" s="1"/>
  <c r="DO116" i="3" s="1"/>
  <c r="DQ116" i="3" s="1"/>
  <c r="DH99" i="3"/>
  <c r="DI99" i="3" s="1"/>
  <c r="DO99" i="3" s="1"/>
  <c r="DQ99" i="3" s="1"/>
  <c r="DH50" i="3"/>
  <c r="DH42" i="3"/>
  <c r="DI42" i="3" s="1"/>
  <c r="DO42" i="3" s="1"/>
  <c r="DH185" i="3"/>
  <c r="DI185" i="3" s="1"/>
  <c r="DO185" i="3" s="1"/>
  <c r="DQ185" i="3" s="1"/>
  <c r="DH39" i="3"/>
  <c r="DI39" i="3" s="1"/>
  <c r="DO39" i="3" s="1"/>
  <c r="DH170" i="3"/>
  <c r="DI170" i="3" s="1"/>
  <c r="DO170" i="3" s="1"/>
  <c r="DQ170" i="3" s="1"/>
  <c r="DH192" i="3"/>
  <c r="DI192" i="3" s="1"/>
  <c r="DO192" i="3" s="1"/>
  <c r="DQ192" i="3" s="1"/>
  <c r="DH85" i="3"/>
  <c r="DI85" i="3" s="1"/>
  <c r="DO85" i="3" s="1"/>
  <c r="DQ85" i="3" s="1"/>
  <c r="DH37" i="3"/>
  <c r="DI37" i="3" s="1"/>
  <c r="DO37" i="3" s="1"/>
  <c r="DH132" i="3"/>
  <c r="DI132" i="3" s="1"/>
  <c r="DO132" i="3" s="1"/>
  <c r="DQ132" i="3" s="1"/>
  <c r="DH143" i="3"/>
  <c r="DI143" i="3" s="1"/>
  <c r="DO143" i="3" s="1"/>
  <c r="DQ143" i="3" s="1"/>
  <c r="DH174" i="3"/>
  <c r="DI174" i="3" s="1"/>
  <c r="DO174" i="3" s="1"/>
  <c r="DQ174" i="3" s="1"/>
  <c r="DH35" i="3"/>
  <c r="DI35" i="3" s="1"/>
  <c r="DO35" i="3" s="1"/>
  <c r="DH11" i="3"/>
  <c r="DI11" i="3" s="1"/>
  <c r="DO11" i="3" s="1"/>
  <c r="DH82" i="3"/>
  <c r="DI82" i="3" s="1"/>
  <c r="DH142" i="3"/>
  <c r="DI142" i="3" s="1"/>
  <c r="DO142" i="3" s="1"/>
  <c r="DQ142" i="3" s="1"/>
  <c r="DH74" i="3"/>
  <c r="DI74" i="3" s="1"/>
  <c r="DO74" i="3" s="1"/>
  <c r="DH28" i="3"/>
  <c r="DI28" i="3" s="1"/>
  <c r="DH16" i="3"/>
  <c r="DH80" i="3"/>
  <c r="DI80" i="3" s="1"/>
  <c r="DO80" i="3" s="1"/>
  <c r="DH56" i="3"/>
  <c r="DI56" i="3" s="1"/>
  <c r="DO56" i="3" s="1"/>
  <c r="DH73" i="3"/>
  <c r="DH25" i="3"/>
  <c r="DI25" i="3" s="1"/>
  <c r="DO25" i="3" s="1"/>
  <c r="DH31" i="3"/>
  <c r="DH71" i="3"/>
  <c r="DI71" i="3" s="1"/>
  <c r="DO71" i="3" s="1"/>
  <c r="DH91" i="3"/>
  <c r="DI91" i="3" s="1"/>
  <c r="DO91" i="3" s="1"/>
  <c r="DQ91" i="3" s="1"/>
  <c r="DH67" i="3"/>
  <c r="DH134" i="3"/>
  <c r="DI134" i="3" s="1"/>
  <c r="DO134" i="3" s="1"/>
  <c r="DQ134" i="3" s="1"/>
  <c r="DH153" i="3"/>
  <c r="DI153" i="3" s="1"/>
  <c r="DO153" i="3" s="1"/>
  <c r="DQ153" i="3" s="1"/>
  <c r="DH162" i="3"/>
  <c r="DI162" i="3" s="1"/>
  <c r="DO162" i="3" s="1"/>
  <c r="DQ162" i="3" s="1"/>
  <c r="DH20" i="3"/>
  <c r="DH101" i="3"/>
  <c r="DI101" i="3" s="1"/>
  <c r="DO101" i="3" s="1"/>
  <c r="DQ101" i="3" s="1"/>
  <c r="DH5" i="3"/>
  <c r="DH102" i="3"/>
  <c r="DI102" i="3" s="1"/>
  <c r="DO102" i="3" s="1"/>
  <c r="DQ102" i="3" s="1"/>
  <c r="DH59" i="3"/>
  <c r="DH126" i="3"/>
  <c r="DI126" i="3" s="1"/>
  <c r="DO126" i="3" s="1"/>
  <c r="DQ126" i="3" s="1"/>
  <c r="DH131" i="3"/>
  <c r="DI131" i="3" s="1"/>
  <c r="DH47" i="3"/>
  <c r="DH140" i="3"/>
  <c r="DI140" i="3" s="1"/>
  <c r="DO140" i="3" s="1"/>
  <c r="DQ140" i="3" s="1"/>
  <c r="DH169" i="3"/>
  <c r="DI169" i="3" s="1"/>
  <c r="DO169" i="3" s="1"/>
  <c r="DQ169" i="3" s="1"/>
  <c r="DH155" i="3"/>
  <c r="DI155" i="3" s="1"/>
  <c r="DO155" i="3" s="1"/>
  <c r="DQ155" i="3" s="1"/>
  <c r="DH161" i="3"/>
  <c r="DI161" i="3" s="1"/>
  <c r="DO161" i="3" s="1"/>
  <c r="DQ161" i="3" s="1"/>
  <c r="DH191" i="3"/>
  <c r="DI191" i="3" s="1"/>
  <c r="DH7" i="3"/>
  <c r="DI7" i="3" s="1"/>
  <c r="DO7" i="3" s="1"/>
  <c r="DH198" i="3"/>
  <c r="DI198" i="3" s="1"/>
  <c r="DH166" i="3"/>
  <c r="DI166" i="3" s="1"/>
  <c r="DO166" i="3" s="1"/>
  <c r="DQ166" i="3" s="1"/>
  <c r="DH66" i="3"/>
  <c r="DI66" i="3" s="1"/>
  <c r="DO66" i="3" s="1"/>
  <c r="DH141" i="3"/>
  <c r="DI141" i="3" s="1"/>
  <c r="DH24" i="3"/>
  <c r="DI24" i="3" s="1"/>
  <c r="DO24" i="3" s="1"/>
  <c r="DH125" i="3"/>
  <c r="DI125" i="3" s="1"/>
  <c r="DH6" i="3"/>
  <c r="DI6" i="3" s="1"/>
  <c r="DO6" i="3" s="1"/>
  <c r="DH32" i="3"/>
  <c r="DH127" i="3"/>
  <c r="DI127" i="3" s="1"/>
  <c r="DO127" i="3" s="1"/>
  <c r="DQ127" i="3" s="1"/>
  <c r="DH199" i="3"/>
  <c r="DI199" i="3" s="1"/>
  <c r="DH87" i="3"/>
  <c r="DI87" i="3" s="1"/>
  <c r="DO87" i="3" s="1"/>
  <c r="DQ87" i="3" s="1"/>
  <c r="DH197" i="3"/>
  <c r="DI197" i="3" s="1"/>
  <c r="DH120" i="3"/>
  <c r="DI120" i="3" s="1"/>
  <c r="DO120" i="3" s="1"/>
  <c r="DQ120" i="3" s="1"/>
  <c r="DH117" i="3"/>
  <c r="DI117" i="3" s="1"/>
  <c r="DO117" i="3" s="1"/>
  <c r="DQ117" i="3" s="1"/>
  <c r="DH121" i="3"/>
  <c r="DI121" i="3" s="1"/>
  <c r="DH196" i="3"/>
  <c r="DI196" i="3" s="1"/>
  <c r="DO196" i="3" s="1"/>
  <c r="DQ196" i="3" s="1"/>
  <c r="DH89" i="3"/>
  <c r="DI89" i="3" s="1"/>
  <c r="DO89" i="3" s="1"/>
  <c r="DQ89" i="3" s="1"/>
  <c r="DH15" i="3"/>
  <c r="DH109" i="3"/>
  <c r="DI109" i="3" s="1"/>
  <c r="DH27" i="3"/>
  <c r="DI27" i="3" s="1"/>
  <c r="DO27" i="3" s="1"/>
  <c r="DH36" i="3"/>
  <c r="DI36" i="3" s="1"/>
  <c r="DO36" i="3" s="1"/>
  <c r="DH107" i="3"/>
  <c r="DI107" i="3" s="1"/>
  <c r="DO107" i="3" s="1"/>
  <c r="DQ107" i="3" s="1"/>
  <c r="DH184" i="3"/>
  <c r="DI184" i="3" s="1"/>
  <c r="DO184" i="3" s="1"/>
  <c r="DQ184" i="3" s="1"/>
  <c r="DH9" i="3"/>
  <c r="DH97" i="3"/>
  <c r="DI97" i="3" s="1"/>
  <c r="DH83" i="3"/>
  <c r="DI83" i="3" s="1"/>
  <c r="DO83" i="3" s="1"/>
  <c r="DQ83" i="3" s="1"/>
  <c r="DH77" i="3"/>
  <c r="DH22" i="3"/>
  <c r="DI22" i="3" s="1"/>
  <c r="DH53" i="3"/>
  <c r="DI53" i="3" s="1"/>
  <c r="DO53" i="3" s="1"/>
  <c r="DH41" i="3"/>
  <c r="DH55" i="3"/>
  <c r="DI55" i="3" s="1"/>
  <c r="DO55" i="3" s="1"/>
  <c r="DH176" i="3"/>
  <c r="DI176" i="3" s="1"/>
  <c r="DI119" i="3"/>
  <c r="DO119" i="3" s="1"/>
  <c r="DQ119" i="3" s="1"/>
  <c r="DI114" i="3"/>
  <c r="DO114" i="3" s="1"/>
  <c r="DQ114" i="3" s="1"/>
  <c r="DB2" i="3"/>
  <c r="DB77" i="3"/>
  <c r="DB31" i="3"/>
  <c r="DB54" i="3"/>
  <c r="DI54" i="3" s="1"/>
  <c r="DO54" i="3" s="1"/>
  <c r="DI106" i="3"/>
  <c r="DB33" i="3"/>
  <c r="DB76" i="3"/>
  <c r="DB67" i="3"/>
  <c r="DB73" i="3"/>
  <c r="DB21" i="3"/>
  <c r="DB12" i="3"/>
  <c r="DB60" i="3"/>
  <c r="DB38" i="3"/>
  <c r="DB47" i="3"/>
  <c r="DB14" i="3"/>
  <c r="DB9" i="3"/>
  <c r="DB32" i="3"/>
  <c r="DB58" i="3"/>
  <c r="DB10" i="3"/>
  <c r="DB5" i="3"/>
  <c r="DI93" i="3"/>
  <c r="DO93" i="3" s="1"/>
  <c r="DQ93" i="3" s="1"/>
  <c r="DI95" i="3"/>
  <c r="DO95" i="3" s="1"/>
  <c r="DQ95" i="3" s="1"/>
  <c r="DI90" i="3"/>
  <c r="DO90" i="3" s="1"/>
  <c r="DQ90" i="3" s="1"/>
  <c r="DI149" i="3"/>
  <c r="DO149" i="3" s="1"/>
  <c r="DQ149" i="3" s="1"/>
  <c r="DI122" i="3"/>
  <c r="DO122" i="3" s="1"/>
  <c r="DQ122" i="3" s="1"/>
  <c r="DB15" i="3"/>
  <c r="DB44" i="3"/>
  <c r="DB41" i="3"/>
  <c r="DB16" i="3"/>
  <c r="DB59" i="3"/>
  <c r="DB50" i="3"/>
  <c r="DB64" i="3"/>
  <c r="DI64" i="3" s="1"/>
  <c r="DB20" i="3"/>
  <c r="DB68" i="3"/>
  <c r="DB4" i="3"/>
  <c r="DI4" i="3" s="1"/>
  <c r="DI147" i="3"/>
  <c r="DO147" i="3" s="1"/>
  <c r="DQ147" i="3" s="1"/>
  <c r="DI3" i="3"/>
  <c r="DO3" i="3" s="1"/>
  <c r="DI128" i="3"/>
  <c r="DI193" i="3"/>
  <c r="DI111" i="3"/>
  <c r="DO111" i="3" s="1"/>
  <c r="DQ111" i="3" s="1"/>
  <c r="DI115" i="3"/>
  <c r="DO115" i="3" s="1"/>
  <c r="DQ115" i="3" s="1"/>
  <c r="DI78" i="3"/>
  <c r="DI124" i="3"/>
  <c r="DO124" i="3" s="1"/>
  <c r="DQ124" i="3" s="1"/>
  <c r="DI94" i="3"/>
  <c r="DO94" i="3" s="1"/>
  <c r="DQ94" i="3" s="1"/>
  <c r="DI145" i="3"/>
  <c r="DO145" i="3" s="1"/>
  <c r="DQ145" i="3" s="1"/>
  <c r="DI49" i="3"/>
  <c r="DO49" i="3" s="1"/>
  <c r="DO175" i="3"/>
  <c r="DQ175" i="3" s="1"/>
  <c r="DO163" i="3"/>
  <c r="DQ163" i="3" s="1"/>
  <c r="DO45" i="3"/>
  <c r="DI48" i="3"/>
  <c r="DI33" i="3" l="1"/>
  <c r="DI2" i="3"/>
  <c r="DL2" i="3" s="1"/>
  <c r="DO2" i="3" s="1"/>
  <c r="DI68" i="3"/>
  <c r="DO51" i="3"/>
  <c r="DQ51" i="3" s="1"/>
  <c r="DO168" i="3"/>
  <c r="DQ168" i="3" s="1"/>
  <c r="DR168" i="3" s="1"/>
  <c r="DO8" i="3"/>
  <c r="DQ8" i="3" s="1"/>
  <c r="DO125" i="3"/>
  <c r="DQ125" i="3" s="1"/>
  <c r="DR125" i="3" s="1"/>
  <c r="DI31" i="3"/>
  <c r="DI12" i="3"/>
  <c r="DO12" i="3" s="1"/>
  <c r="DQ12" i="3" s="1"/>
  <c r="DO164" i="3"/>
  <c r="DQ164" i="3" s="1"/>
  <c r="DR164" i="3" s="1"/>
  <c r="DO100" i="3"/>
  <c r="DQ100" i="3" s="1"/>
  <c r="DR100" i="3" s="1"/>
  <c r="DI14" i="3"/>
  <c r="DO14" i="3" s="1"/>
  <c r="DI15" i="3"/>
  <c r="DO15" i="3" s="1"/>
  <c r="DI50" i="3"/>
  <c r="DO50" i="3" s="1"/>
  <c r="DI20" i="3"/>
  <c r="DO20" i="3" s="1"/>
  <c r="DI16" i="3"/>
  <c r="DO16" i="3" s="1"/>
  <c r="DI77" i="3"/>
  <c r="DO77" i="3" s="1"/>
  <c r="DQ77" i="3" s="1"/>
  <c r="DI41" i="3"/>
  <c r="DO41" i="3" s="1"/>
  <c r="DQ41" i="3" s="1"/>
  <c r="DO68" i="3"/>
  <c r="DQ68" i="3" s="1"/>
  <c r="DO193" i="3"/>
  <c r="DQ193" i="3" s="1"/>
  <c r="DR193" i="3" s="1"/>
  <c r="DI9" i="3"/>
  <c r="DO9" i="3" s="1"/>
  <c r="DO128" i="3"/>
  <c r="DQ128" i="3" s="1"/>
  <c r="DR128" i="3" s="1"/>
  <c r="DO172" i="3"/>
  <c r="DQ172" i="3" s="1"/>
  <c r="DO33" i="3"/>
  <c r="DQ33" i="3" s="1"/>
  <c r="DI5" i="3"/>
  <c r="DO5" i="3" s="1"/>
  <c r="DI76" i="3"/>
  <c r="DO76" i="3" s="1"/>
  <c r="DQ76" i="3" s="1"/>
  <c r="DO96" i="3"/>
  <c r="DQ96" i="3" s="1"/>
  <c r="DO82" i="3"/>
  <c r="DQ82" i="3" s="1"/>
  <c r="DO141" i="3"/>
  <c r="DQ141" i="3" s="1"/>
  <c r="DO199" i="3"/>
  <c r="DQ199" i="3" s="1"/>
  <c r="DI21" i="3"/>
  <c r="DO21" i="3" s="1"/>
  <c r="DQ21" i="3" s="1"/>
  <c r="DI58" i="3"/>
  <c r="DO58" i="3" s="1"/>
  <c r="DI10" i="3"/>
  <c r="DO10" i="3" s="1"/>
  <c r="DI73" i="3"/>
  <c r="DO73" i="3" s="1"/>
  <c r="DI60" i="3"/>
  <c r="DO60" i="3" s="1"/>
  <c r="DQ60" i="3" s="1"/>
  <c r="DI67" i="3"/>
  <c r="DO67" i="3" s="1"/>
  <c r="DQ67" i="3" s="1"/>
  <c r="DO4" i="3"/>
  <c r="DO64" i="3"/>
  <c r="DI38" i="3"/>
  <c r="DO38" i="3" s="1"/>
  <c r="DQ38" i="3" s="1"/>
  <c r="DI47" i="3"/>
  <c r="DO47" i="3" s="1"/>
  <c r="DQ47" i="3" s="1"/>
  <c r="DO154" i="3"/>
  <c r="DQ154" i="3" s="1"/>
  <c r="DO97" i="3"/>
  <c r="DQ97" i="3" s="1"/>
  <c r="DO131" i="3"/>
  <c r="DQ131" i="3" s="1"/>
  <c r="DO78" i="3"/>
  <c r="DO121" i="3"/>
  <c r="DQ121" i="3" s="1"/>
  <c r="DO118" i="3"/>
  <c r="DQ118" i="3" s="1"/>
  <c r="DO197" i="3"/>
  <c r="DQ197" i="3" s="1"/>
  <c r="DO133" i="3"/>
  <c r="DQ133" i="3" s="1"/>
  <c r="DO176" i="3"/>
  <c r="DQ176" i="3" s="1"/>
  <c r="DO137" i="3"/>
  <c r="DQ137" i="3" s="1"/>
  <c r="DO146" i="3"/>
  <c r="DQ146" i="3" s="1"/>
  <c r="DO106" i="3"/>
  <c r="DQ106" i="3" s="1"/>
  <c r="DO191" i="3"/>
  <c r="DQ191" i="3" s="1"/>
  <c r="DO28" i="3"/>
  <c r="DO31" i="3"/>
  <c r="DO148" i="3"/>
  <c r="DQ148" i="3" s="1"/>
  <c r="DO123" i="3"/>
  <c r="DQ123" i="3" s="1"/>
  <c r="DO186" i="3"/>
  <c r="DQ186" i="3" s="1"/>
  <c r="DO109" i="3"/>
  <c r="DQ109" i="3" s="1"/>
  <c r="DO198" i="3"/>
  <c r="DQ198" i="3" s="1"/>
  <c r="DO151" i="3"/>
  <c r="DQ151" i="3" s="1"/>
  <c r="DI32" i="3"/>
  <c r="DO32" i="3" s="1"/>
  <c r="DI44" i="3"/>
  <c r="DO44" i="3" s="1"/>
  <c r="DI59" i="3"/>
  <c r="DO59" i="3" s="1"/>
  <c r="T79" i="1"/>
  <c r="T11" i="1"/>
  <c r="DO22" i="3"/>
  <c r="DQ22" i="3" s="1"/>
  <c r="DO62" i="3"/>
  <c r="DQ62" i="3" s="1"/>
  <c r="DO70" i="3"/>
  <c r="DQ70" i="3" s="1"/>
  <c r="DO48" i="3"/>
  <c r="DQ48" i="3" s="1"/>
  <c r="T59" i="1"/>
  <c r="T32" i="1"/>
  <c r="T52" i="1"/>
  <c r="T16" i="1"/>
  <c r="T55" i="1"/>
  <c r="T27" i="1"/>
  <c r="T49" i="1"/>
  <c r="T17" i="1"/>
  <c r="T4" i="1"/>
  <c r="T30" i="1"/>
  <c r="T26" i="1"/>
  <c r="T57" i="1"/>
  <c r="T53" i="1"/>
  <c r="T44" i="1"/>
  <c r="T13" i="1"/>
  <c r="T9" i="1"/>
  <c r="T7" i="1"/>
  <c r="T22" i="1"/>
  <c r="T77" i="1"/>
  <c r="T12" i="1"/>
  <c r="T73" i="1"/>
  <c r="T36" i="1"/>
  <c r="T42" i="1"/>
  <c r="T18" i="1"/>
  <c r="T29" i="1"/>
  <c r="T23" i="1"/>
  <c r="T58" i="1"/>
  <c r="T20" i="1"/>
  <c r="T63" i="1"/>
  <c r="T8" i="1"/>
  <c r="T41" i="1"/>
  <c r="T66" i="1"/>
  <c r="T68" i="1"/>
  <c r="T43" i="1"/>
  <c r="T51" i="1"/>
  <c r="T64" i="1"/>
  <c r="T50" i="1"/>
  <c r="T6" i="1"/>
  <c r="T74" i="1"/>
  <c r="T5" i="1"/>
  <c r="T19" i="1"/>
  <c r="T69" i="1"/>
  <c r="T56" i="1"/>
  <c r="T33" i="1"/>
  <c r="T80" i="1"/>
  <c r="T61" i="1"/>
  <c r="T31" i="1"/>
  <c r="T10" i="1"/>
  <c r="T72" i="1"/>
  <c r="T24" i="1"/>
  <c r="T75" i="1"/>
  <c r="T35" i="1"/>
  <c r="T67" i="1"/>
  <c r="T14" i="1"/>
  <c r="T15" i="1"/>
  <c r="T54" i="1"/>
  <c r="T60" i="1"/>
  <c r="T48" i="1"/>
  <c r="T34" i="1"/>
  <c r="T45" i="1"/>
  <c r="T25" i="1"/>
  <c r="T78" i="1"/>
  <c r="T39" i="1"/>
  <c r="T21" i="1"/>
  <c r="T65" i="1"/>
  <c r="T76" i="1"/>
  <c r="T3" i="1"/>
  <c r="T40" i="1"/>
  <c r="T71" i="1"/>
  <c r="T37" i="1"/>
  <c r="T46" i="1"/>
  <c r="T28" i="1"/>
  <c r="DR116" i="3"/>
  <c r="DR113" i="3"/>
  <c r="DR108" i="3"/>
  <c r="DR195" i="3"/>
  <c r="DR88" i="3"/>
  <c r="DR119" i="3"/>
  <c r="DR194" i="3"/>
  <c r="DR153" i="3"/>
  <c r="DR93" i="3"/>
  <c r="DR104" i="3"/>
  <c r="DR190" i="3"/>
  <c r="DR107" i="3"/>
  <c r="DR169" i="3"/>
  <c r="DR86" i="3"/>
  <c r="DR174" i="3"/>
  <c r="DR175" i="3"/>
  <c r="DR165" i="3"/>
  <c r="DR139" i="3"/>
  <c r="DR111" i="3"/>
  <c r="DR132" i="3"/>
  <c r="DR94" i="3"/>
  <c r="DR102" i="3"/>
  <c r="DR136" i="3"/>
  <c r="DR187" i="3"/>
  <c r="DR189" i="3"/>
  <c r="DR184" i="3"/>
  <c r="DR127" i="3"/>
  <c r="DR177" i="3"/>
  <c r="DR181" i="3"/>
  <c r="DR103" i="3"/>
  <c r="DR98" i="3"/>
  <c r="DR183" i="3"/>
  <c r="DR192" i="3"/>
  <c r="DR124" i="3"/>
  <c r="DR150" i="3"/>
  <c r="DR142" i="3"/>
  <c r="DR166" i="3"/>
  <c r="DR117" i="3"/>
  <c r="DR120" i="3"/>
  <c r="DR170" i="3"/>
  <c r="DR161" i="3"/>
  <c r="DR92" i="3"/>
  <c r="DR155" i="3"/>
  <c r="DR158" i="3"/>
  <c r="DR143" i="3"/>
  <c r="DR188" i="3"/>
  <c r="DR200" i="3"/>
  <c r="DR182" i="3"/>
  <c r="DR196" i="3"/>
  <c r="DR101" i="3"/>
  <c r="DR83" i="3"/>
  <c r="DR180" i="3"/>
  <c r="DR122" i="3"/>
  <c r="DR162" i="3"/>
  <c r="DR173" i="3"/>
  <c r="DR129" i="3"/>
  <c r="DR138" i="3"/>
  <c r="DR163" i="3"/>
  <c r="DR126" i="3"/>
  <c r="DR91" i="3"/>
  <c r="DR89" i="3"/>
  <c r="DR152" i="3"/>
  <c r="DR178" i="3"/>
  <c r="DR112" i="3"/>
  <c r="DR156" i="3"/>
  <c r="DR167" i="3"/>
  <c r="DR147" i="3"/>
  <c r="DR85" i="3"/>
  <c r="DR185" i="3"/>
  <c r="DR90" i="3"/>
  <c r="DR114" i="3"/>
  <c r="DR95" i="3"/>
  <c r="DR130" i="3"/>
  <c r="DR87" i="3"/>
  <c r="DR115" i="3"/>
  <c r="DR159" i="3"/>
  <c r="DR99" i="3"/>
  <c r="DR135" i="3"/>
  <c r="DR110" i="3"/>
  <c r="DR179" i="3"/>
  <c r="DR160" i="3"/>
  <c r="DR157" i="3"/>
  <c r="DR84" i="3"/>
  <c r="DR134" i="3"/>
  <c r="DR145" i="3"/>
  <c r="DR105" i="3"/>
  <c r="DR171" i="3"/>
  <c r="DR144" i="3"/>
  <c r="DR140" i="3"/>
  <c r="DR149" i="3"/>
  <c r="DQ42" i="3"/>
  <c r="DQ29" i="3"/>
  <c r="DQ35" i="3"/>
  <c r="DQ17" i="3"/>
  <c r="DQ61" i="3"/>
  <c r="DQ6" i="3"/>
  <c r="DQ46" i="3"/>
  <c r="DQ75" i="3"/>
  <c r="DQ11" i="3"/>
  <c r="DQ65" i="3"/>
  <c r="DQ40" i="3"/>
  <c r="DQ36" i="3"/>
  <c r="DQ30" i="3"/>
  <c r="DQ25" i="3"/>
  <c r="DQ55" i="3"/>
  <c r="DQ7" i="3"/>
  <c r="DQ18" i="3"/>
  <c r="DQ24" i="3"/>
  <c r="DQ39" i="3"/>
  <c r="DQ37" i="3"/>
  <c r="DQ53" i="3"/>
  <c r="DQ79" i="3"/>
  <c r="DQ52" i="3"/>
  <c r="DQ71" i="3"/>
  <c r="DQ74" i="3"/>
  <c r="DQ66" i="3"/>
  <c r="DQ26" i="3"/>
  <c r="DQ45" i="3"/>
  <c r="DQ80" i="3"/>
  <c r="DQ49" i="3"/>
  <c r="DQ54" i="3"/>
  <c r="DQ72" i="3"/>
  <c r="DQ63" i="3"/>
  <c r="DQ43" i="3"/>
  <c r="DQ81" i="3"/>
  <c r="DQ23" i="3"/>
  <c r="DQ34" i="3"/>
  <c r="DQ19" i="3"/>
  <c r="DQ13" i="3"/>
  <c r="DQ56" i="3"/>
  <c r="DQ69" i="3"/>
  <c r="DQ27" i="3"/>
  <c r="DQ57" i="3"/>
  <c r="DQ3" i="3"/>
  <c r="DQ78" i="3" l="1"/>
  <c r="DQ50" i="3"/>
  <c r="DR121" i="3"/>
  <c r="DR96" i="3"/>
  <c r="DR172" i="3"/>
  <c r="DR141" i="3"/>
  <c r="DR199" i="3"/>
  <c r="DR82" i="3"/>
  <c r="DR151" i="3"/>
  <c r="DQ32" i="3"/>
  <c r="DQ14" i="3"/>
  <c r="DQ59" i="3"/>
  <c r="DR106" i="3"/>
  <c r="DR118" i="3"/>
  <c r="DR176" i="3"/>
  <c r="DR97" i="3"/>
  <c r="DR186" i="3"/>
  <c r="DR191" i="3"/>
  <c r="DR109" i="3"/>
  <c r="DR123" i="3"/>
  <c r="DR131" i="3"/>
  <c r="DR197" i="3"/>
  <c r="DR154" i="3"/>
  <c r="DQ9" i="3"/>
  <c r="DQ15" i="3"/>
  <c r="DQ73" i="3"/>
  <c r="DQ64" i="3"/>
  <c r="DQ31" i="3"/>
  <c r="DQ4" i="3"/>
  <c r="DQ16" i="3"/>
  <c r="DQ20" i="3"/>
  <c r="DQ28" i="3"/>
  <c r="DQ5" i="3"/>
  <c r="DQ10" i="3"/>
  <c r="DQ58" i="3"/>
  <c r="DR146" i="3"/>
  <c r="DR137" i="3"/>
  <c r="DR133" i="3"/>
  <c r="DR148" i="3"/>
  <c r="DR198" i="3"/>
  <c r="DQ44" i="3"/>
  <c r="T38" i="1"/>
  <c r="T47" i="1"/>
  <c r="T70" i="1"/>
  <c r="T62" i="1"/>
  <c r="DQ2" i="3"/>
  <c r="V2" i="1" s="1"/>
  <c r="T2" i="1"/>
  <c r="V36" i="1"/>
  <c r="V20" i="1"/>
  <c r="V35" i="1"/>
  <c r="V14" i="1"/>
  <c r="V63" i="1"/>
  <c r="V32" i="1"/>
  <c r="V26" i="1"/>
  <c r="V23" i="1"/>
  <c r="V6" i="1"/>
  <c r="V71" i="1"/>
  <c r="V30" i="1"/>
  <c r="V45" i="1"/>
  <c r="V53" i="1"/>
  <c r="V37" i="1"/>
  <c r="V28" i="1"/>
  <c r="V40" i="1"/>
  <c r="V34" i="1"/>
  <c r="V22" i="1"/>
  <c r="V78" i="1"/>
  <c r="V61" i="1"/>
  <c r="V65" i="1"/>
  <c r="V15" i="1"/>
  <c r="V67" i="1"/>
  <c r="V64" i="1"/>
  <c r="V75" i="1"/>
  <c r="V3" i="1"/>
  <c r="V76" i="1"/>
  <c r="V39" i="1"/>
  <c r="V51" i="1"/>
  <c r="V4" i="1"/>
  <c r="V42" i="1"/>
  <c r="V7" i="1"/>
  <c r="V50" i="1"/>
  <c r="V10" i="1"/>
  <c r="V59" i="1"/>
  <c r="V66" i="1"/>
  <c r="V33" i="1"/>
  <c r="V18" i="1"/>
  <c r="V56" i="1"/>
  <c r="V47" i="1"/>
  <c r="V69" i="1"/>
  <c r="V70" i="1"/>
  <c r="V8" i="1"/>
  <c r="V54" i="1"/>
  <c r="V29" i="1"/>
  <c r="V74" i="1"/>
  <c r="V79" i="1"/>
  <c r="V77" i="1"/>
  <c r="V46" i="1"/>
  <c r="V9" i="1"/>
  <c r="V43" i="1"/>
  <c r="V12" i="1"/>
  <c r="V16" i="1"/>
  <c r="V11" i="1"/>
  <c r="V31" i="1"/>
  <c r="V17" i="1"/>
  <c r="V13" i="1"/>
  <c r="V49" i="1"/>
  <c r="V52" i="1"/>
  <c r="V44" i="1"/>
  <c r="V55" i="1"/>
  <c r="V21" i="1"/>
  <c r="V68" i="1"/>
  <c r="V38" i="1"/>
  <c r="V80" i="1"/>
  <c r="V58" i="1"/>
  <c r="V25" i="1"/>
  <c r="V41" i="1"/>
  <c r="V48" i="1"/>
  <c r="V24" i="1"/>
  <c r="V27" i="1"/>
  <c r="V73" i="1"/>
  <c r="V19" i="1"/>
  <c r="V62" i="1"/>
  <c r="V60" i="1"/>
  <c r="V72" i="1"/>
  <c r="V57" i="1"/>
  <c r="V5" i="1"/>
  <c r="DR72" i="3"/>
  <c r="DR45" i="3"/>
  <c r="DR39" i="3"/>
  <c r="DR77" i="3"/>
  <c r="DR3" i="3"/>
  <c r="DR76" i="3"/>
  <c r="DR79" i="3"/>
  <c r="DR70" i="3"/>
  <c r="DR66" i="3"/>
  <c r="DR81" i="3"/>
  <c r="DR13" i="3"/>
  <c r="DR54" i="3"/>
  <c r="DR75" i="3"/>
  <c r="DR41" i="3"/>
  <c r="DR29" i="3"/>
  <c r="DR19" i="3"/>
  <c r="DR74" i="3"/>
  <c r="DR8" i="3"/>
  <c r="DR11" i="3"/>
  <c r="DR6" i="3"/>
  <c r="DR68" i="3"/>
  <c r="DR23" i="3"/>
  <c r="DR42" i="3"/>
  <c r="DR62" i="3"/>
  <c r="DR46" i="3"/>
  <c r="DR24" i="3"/>
  <c r="DR52" i="3"/>
  <c r="DR57" i="3"/>
  <c r="DR47" i="3"/>
  <c r="DR27" i="3"/>
  <c r="DR51" i="3"/>
  <c r="DR22" i="3"/>
  <c r="DR43" i="3"/>
  <c r="DR80" i="3"/>
  <c r="DR26" i="3"/>
  <c r="DR71" i="3"/>
  <c r="DR53" i="3"/>
  <c r="DR18" i="3"/>
  <c r="DR55" i="3"/>
  <c r="DR36" i="3"/>
  <c r="DR60" i="3"/>
  <c r="DR61" i="3"/>
  <c r="DR35" i="3"/>
  <c r="DR12" i="3"/>
  <c r="DR25" i="3"/>
  <c r="DR38" i="3"/>
  <c r="DR30" i="3"/>
  <c r="DR49" i="3"/>
  <c r="DR33" i="3"/>
  <c r="DR69" i="3"/>
  <c r="DR65" i="3"/>
  <c r="DR48" i="3"/>
  <c r="DR7" i="3"/>
  <c r="DR67" i="3"/>
  <c r="DR56" i="3"/>
  <c r="DR34" i="3"/>
  <c r="DR63" i="3"/>
  <c r="DR21" i="3"/>
  <c r="DR37" i="3"/>
  <c r="DR40" i="3"/>
  <c r="DR17" i="3"/>
  <c r="DR50" i="3" l="1"/>
  <c r="DR78" i="3"/>
  <c r="DR59" i="3"/>
  <c r="DR32" i="3"/>
  <c r="DR14" i="3"/>
  <c r="DR20" i="3"/>
  <c r="DR16" i="3"/>
  <c r="DR58" i="3"/>
  <c r="DR5" i="3"/>
  <c r="DR28" i="3"/>
  <c r="DR9" i="3"/>
  <c r="DR10" i="3"/>
  <c r="DR15" i="3"/>
  <c r="DR73" i="3"/>
  <c r="DR64" i="3"/>
  <c r="DR31" i="3"/>
  <c r="DR4" i="3"/>
  <c r="DR44" i="3"/>
  <c r="DR2" i="3"/>
  <c r="W2" i="1" s="1"/>
  <c r="W46" i="1"/>
  <c r="W66" i="1"/>
  <c r="W32" i="1"/>
  <c r="W21" i="1"/>
  <c r="W35" i="1"/>
  <c r="W44" i="1"/>
  <c r="W40" i="1"/>
  <c r="W12" i="1"/>
  <c r="W33" i="1"/>
  <c r="W54" i="1"/>
  <c r="W30" i="1"/>
  <c r="W77" i="1"/>
  <c r="W14" i="1"/>
  <c r="W51" i="1"/>
  <c r="W49" i="1"/>
  <c r="W13" i="1"/>
  <c r="W10" i="1"/>
  <c r="W17" i="1"/>
  <c r="W36" i="1"/>
  <c r="W37" i="1"/>
  <c r="W75" i="1"/>
  <c r="W74" i="1"/>
  <c r="W15" i="1"/>
  <c r="W55" i="1"/>
  <c r="W76" i="1"/>
  <c r="W38" i="1"/>
  <c r="W7" i="1"/>
  <c r="W71" i="1"/>
  <c r="W58" i="1"/>
  <c r="W39" i="1"/>
  <c r="W45" i="1"/>
  <c r="W6" i="1"/>
  <c r="W18" i="1"/>
  <c r="W65" i="1"/>
  <c r="W70" i="1"/>
  <c r="W52" i="1"/>
  <c r="W50" i="1"/>
  <c r="W80" i="1"/>
  <c r="W53" i="1"/>
  <c r="W57" i="1"/>
  <c r="W22" i="1"/>
  <c r="W69" i="1"/>
  <c r="W79" i="1"/>
  <c r="W61" i="1"/>
  <c r="W9" i="1"/>
  <c r="W68" i="1"/>
  <c r="W3" i="1"/>
  <c r="W25" i="1"/>
  <c r="W27" i="1"/>
  <c r="W4" i="1"/>
  <c r="W31" i="1"/>
  <c r="W41" i="1"/>
  <c r="W67" i="1"/>
  <c r="W43" i="1"/>
  <c r="W11" i="1"/>
  <c r="W5" i="1"/>
  <c r="W24" i="1"/>
  <c r="W63" i="1"/>
  <c r="W34" i="1"/>
  <c r="W56" i="1"/>
  <c r="W72" i="1"/>
  <c r="W59" i="1"/>
  <c r="W28" i="1"/>
  <c r="W29" i="1"/>
  <c r="W47" i="1"/>
  <c r="W16" i="1"/>
  <c r="W60" i="1"/>
  <c r="W73" i="1"/>
  <c r="W62" i="1"/>
  <c r="W48" i="1"/>
  <c r="W78" i="1"/>
  <c r="W64" i="1"/>
  <c r="W19" i="1"/>
  <c r="W23" i="1"/>
  <c r="W8" i="1"/>
  <c r="W26" i="1"/>
  <c r="W20" i="1"/>
  <c r="W42" i="1"/>
</calcChain>
</file>

<file path=xl/sharedStrings.xml><?xml version="1.0" encoding="utf-8"?>
<sst xmlns="http://schemas.openxmlformats.org/spreadsheetml/2006/main" count="156" uniqueCount="122">
  <si>
    <t>Door</t>
  </si>
  <si>
    <t>Store</t>
  </si>
  <si>
    <t>Trailer</t>
  </si>
  <si>
    <t>Operational Cut Time</t>
  </si>
  <si>
    <t>Co-Load</t>
  </si>
  <si>
    <t>Open Time</t>
  </si>
  <si>
    <t>Age</t>
  </si>
  <si>
    <t>Weight</t>
  </si>
  <si>
    <t>Cube %</t>
  </si>
  <si>
    <t>Trailer Size</t>
  </si>
  <si>
    <t>Total</t>
  </si>
  <si>
    <t>Con</t>
  </si>
  <si>
    <t>Non-Con</t>
  </si>
  <si>
    <t>Overpack</t>
  </si>
  <si>
    <t>Age(G2)</t>
  </si>
  <si>
    <t>Left (Hours)</t>
  </si>
  <si>
    <t>Right 6</t>
  </si>
  <si>
    <t>Left (Min)</t>
  </si>
  <si>
    <t>Time Decimal</t>
  </si>
  <si>
    <t>Total Cartons</t>
  </si>
  <si>
    <t>Cube/Hour</t>
  </si>
  <si>
    <t>Date (Today)</t>
  </si>
  <si>
    <t>Year</t>
  </si>
  <si>
    <t>Current Month</t>
  </si>
  <si>
    <t>Month</t>
  </si>
  <si>
    <t>Day</t>
  </si>
  <si>
    <t>In Door Month</t>
  </si>
  <si>
    <t>Date at Door</t>
  </si>
  <si>
    <t>Time at Door</t>
  </si>
  <si>
    <t>Time at Door (24)</t>
  </si>
  <si>
    <t>Date and Time at Door</t>
  </si>
  <si>
    <t>Current Date and Time</t>
  </si>
  <si>
    <t>Time Zone Listed on Apollo (Ex. PDT - Pacific Daylight Time)</t>
  </si>
  <si>
    <t>2nd Time Zone from Apollo, if the same, enter same as  Cell A2 (Ex. PST - Pacific Standard Time)</t>
  </si>
  <si>
    <t>Building Dowtime Hours</t>
  </si>
  <si>
    <t>Building Downtime Start (Time)</t>
  </si>
  <si>
    <t>B1 Start of Shift</t>
  </si>
  <si>
    <t>B2 Start of Shift 16:30</t>
  </si>
  <si>
    <t>A2 Start of Shift</t>
  </si>
  <si>
    <t>PDT</t>
  </si>
  <si>
    <t>PST</t>
  </si>
  <si>
    <t>Weekday #</t>
  </si>
  <si>
    <t>Current Date</t>
  </si>
  <si>
    <t>Current Time</t>
  </si>
  <si>
    <t>Downtime Start</t>
  </si>
  <si>
    <t>4th Downtime Before</t>
  </si>
  <si>
    <t>3rd Downtime Before</t>
  </si>
  <si>
    <t>2nd Downtime Before</t>
  </si>
  <si>
    <t>1st Downtime Before</t>
  </si>
  <si>
    <t>Weekday of Past Downtime</t>
  </si>
  <si>
    <t>Over-pack</t>
  </si>
  <si>
    <t>Cartons Per Hour</t>
  </si>
  <si>
    <t>Start of Downtime</t>
  </si>
  <si>
    <t>End of Downtime</t>
  </si>
  <si>
    <t>Additional Building Downtime (Date and Time)</t>
  </si>
  <si>
    <t>Last Time of Each Day</t>
  </si>
  <si>
    <t>Mid-Night</t>
  </si>
  <si>
    <t>Date and Time at door for Past Downtime</t>
  </si>
  <si>
    <t>Date and Time at door for Future Downtime</t>
  </si>
  <si>
    <t>Weekday at Door</t>
  </si>
  <si>
    <t>Hours Since Downtime Ended</t>
  </si>
  <si>
    <t>Hours of Downtime</t>
  </si>
  <si>
    <t>Downtime Still Remaining</t>
  </si>
  <si>
    <t>B1 and A1 Start</t>
  </si>
  <si>
    <t>B1 (End)</t>
  </si>
  <si>
    <t>A2 (Start)</t>
  </si>
  <si>
    <t>Last Time of Day</t>
  </si>
  <si>
    <t>Key</t>
  </si>
  <si>
    <t>Shift</t>
  </si>
  <si>
    <t>Downtime Hours</t>
  </si>
  <si>
    <t>Type</t>
  </si>
  <si>
    <t>At Door Prior to 4th Before</t>
  </si>
  <si>
    <t>At Door Prior to 3rd Before</t>
  </si>
  <si>
    <t>At Door Prior to 2nd Before</t>
  </si>
  <si>
    <t>At Door Prior to 1st Before</t>
  </si>
  <si>
    <t>At Door Prior to Previous Downtime</t>
  </si>
  <si>
    <t>Weekday of Downtime</t>
  </si>
  <si>
    <t>Add. DT Before 4th</t>
  </si>
  <si>
    <t>Add. DT Before 3rd</t>
  </si>
  <si>
    <t>Add. DT Before 2nd</t>
  </si>
  <si>
    <t>Add. DT Before 1st</t>
  </si>
  <si>
    <t>Previous Downtime Before</t>
  </si>
  <si>
    <t>Downtime That Has Passed (Not Including Normal Downtime)</t>
  </si>
  <si>
    <t>at Door 4th (#)</t>
  </si>
  <si>
    <t>at Door 3rd (#)</t>
  </si>
  <si>
    <t>at Door 2nd (#)</t>
  </si>
  <si>
    <t>at Door 1st (#)</t>
  </si>
  <si>
    <t>at Door Prev. (#)</t>
  </si>
  <si>
    <t>DT 4th (#)</t>
  </si>
  <si>
    <t>DT 3rd (#)</t>
  </si>
  <si>
    <t>DT 2nd (#)</t>
  </si>
  <si>
    <t>DT 1st (#)</t>
  </si>
  <si>
    <t>DT Prev. (#)</t>
  </si>
  <si>
    <t>Difference</t>
  </si>
  <si>
    <t>Adjusted Hours at Door</t>
  </si>
  <si>
    <t>Remap Carton Count</t>
  </si>
  <si>
    <t>Store on Remap Tab</t>
  </si>
  <si>
    <t>Remap Store #</t>
  </si>
  <si>
    <t>Est. Hours Until Target</t>
  </si>
  <si>
    <t>Est. Time at Target</t>
  </si>
  <si>
    <t>Carton Threshold Target</t>
  </si>
  <si>
    <t>Total Cartons w/Remap</t>
  </si>
  <si>
    <t>Est Time at Target</t>
  </si>
  <si>
    <t>Hours at Door</t>
  </si>
  <si>
    <t>Time Exported:</t>
  </si>
  <si>
    <t>Date</t>
  </si>
  <si>
    <t>Version</t>
  </si>
  <si>
    <t>Information</t>
  </si>
  <si>
    <t>Added remap, downtime, and additional downtime into calculations.  Added export date and time for visuals.</t>
  </si>
  <si>
    <t>DT Start Before Prev.</t>
  </si>
  <si>
    <t>DT End Before 4th</t>
  </si>
  <si>
    <t>DT End Before 3rd</t>
  </si>
  <si>
    <t>DT End Before 2nd</t>
  </si>
  <si>
    <t>DT End Before 1st</t>
  </si>
  <si>
    <t>DT End Before Prev.</t>
  </si>
  <si>
    <t>End 4th (#)</t>
  </si>
  <si>
    <t>End 3rd (#)</t>
  </si>
  <si>
    <t>End 2nd (#)</t>
  </si>
  <si>
    <t>End 1st (#)</t>
  </si>
  <si>
    <t>End Prev. (#)</t>
  </si>
  <si>
    <t>Fixed calculations for additional building down time.</t>
  </si>
  <si>
    <t>Trailer At Door Before DT?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</si>
</sst>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#,##0.0"/>
  </numFmts>
  <fonts count="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33333"/>
      <name val="Inherit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20" fontId="0" fillId="4" borderId="1" xfId="0" applyNumberFormat="1" applyFill="1" applyBorder="1" applyAlignment="1">
      <alignment horizontal="center"/>
    </xf>
    <xf numFmtId="20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5" borderId="2" xfId="0" applyFont="1" applyFill="1" applyBorder="1" applyAlignment="1">
      <alignment horizontal="left" vertical="center" indent="1"/>
    </xf>
    <xf numFmtId="0" fontId="2" fillId="6" borderId="2" xfId="0" applyFont="1" applyFill="1" applyBorder="1" applyAlignment="1">
      <alignment horizontal="left" vertical="center" indent="1"/>
    </xf>
    <xf numFmtId="2" fontId="1" fillId="2" borderId="0" xfId="0" applyNumberFormat="1" applyFont="1" applyFill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4" fontId="1" fillId="2" borderId="0" xfId="0" applyNumberFormat="1" applyFont="1" applyFill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22" fontId="1" fillId="2" borderId="0" xfId="0" applyNumberFormat="1" applyFont="1" applyFill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164" fontId="1" fillId="2" borderId="0" xfId="0" applyNumberFormat="1" applyFont="1" applyFill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1" fillId="3" borderId="0" xfId="0" applyFont="1" applyFill="1" applyAlignment="1">
      <alignment horizontal="center" wrapText="1"/>
    </xf>
    <xf numFmtId="20" fontId="0" fillId="0" borderId="1" xfId="0" applyNumberFormat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22" fontId="0" fillId="0" borderId="1" xfId="0" applyNumberFormat="1" applyBorder="1" applyAlignment="1">
      <alignment horizontal="center"/>
    </xf>
    <xf numFmtId="22" fontId="0" fillId="4" borderId="0" xfId="0" applyNumberFormat="1" applyFill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1" fillId="2" borderId="3" xfId="0" applyFont="1" applyFill="1" applyBorder="1" applyAlignment="1">
      <alignment horizontal="center" vertical="center" wrapText="1"/>
    </xf>
    <xf numFmtId="1" fontId="1" fillId="2" borderId="0" xfId="0" applyNumberFormat="1" applyFont="1" applyFill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1" fillId="8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right" vertical="center" wrapText="1"/>
    </xf>
    <xf numFmtId="0" fontId="3" fillId="9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2" fontId="3" fillId="4" borderId="4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0" fontId="3" fillId="9" borderId="0" xfId="0" applyFont="1" applyFill="1" applyAlignment="1">
      <alignment horizontal="center"/>
    </xf>
    <xf numFmtId="22" fontId="0" fillId="9" borderId="0" xfId="0" applyNumberFormat="1" applyFill="1" applyAlignment="1">
      <alignment horizontal="center"/>
    </xf>
    <xf numFmtId="0" fontId="1" fillId="10" borderId="5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6" fillId="8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2" fontId="7" fillId="9" borderId="0" xfId="0" applyNumberFormat="1" applyFont="1" applyFill="1" applyAlignment="1">
      <alignment horizontal="center"/>
    </xf>
    <xf numFmtId="2" fontId="7" fillId="0" borderId="0" xfId="0" applyNumberFormat="1" applyFont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</xdr:row>
          <xdr:rowOff>95250</xdr:rowOff>
        </xdr:from>
        <xdr:to>
          <xdr:col>27</xdr:col>
          <xdr:colOff>1009650</xdr:colOff>
          <xdr:row>3</xdr:row>
          <xdr:rowOff>190500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9F8DB-08C2-42C4-B4A6-14F201B763A2}">
  <sheetPr codeName="Sheet1"/>
  <dimension ref="A1:AB202"/>
  <sheetViews>
    <sheetView tabSelected="1" workbookViewId="0">
      <selection activeCell="A2" sqref="A2"/>
    </sheetView>
  </sheetViews>
  <sheetFormatPr defaultRowHeight="15"/>
  <cols>
    <col min="1" max="1" width="9.7109375" style="1" customWidth="1"/>
    <col min="2" max="2" width="7.42578125" style="1" customWidth="1"/>
    <col min="3" max="3" width="11.85546875" style="1" customWidth="1"/>
    <col min="4" max="4" width="23.42578125" style="1" customWidth="1"/>
    <col min="5" max="5" width="6.140625" style="1" customWidth="1"/>
    <col min="6" max="6" width="24" style="1" bestFit="1" customWidth="1"/>
    <col min="7" max="7" width="7.7109375" style="1" customWidth="1"/>
    <col min="8" max="8" width="11.28515625" style="1" customWidth="1"/>
    <col min="9" max="9" width="5.85546875" style="1" customWidth="1"/>
    <col min="10" max="10" width="9.28515625" style="1" customWidth="1"/>
    <col min="11" max="11" width="8.42578125" style="1" customWidth="1"/>
    <col min="12" max="12" width="7.140625" style="1" customWidth="1"/>
    <col min="13" max="13" width="7.28515625" style="1" customWidth="1"/>
    <col min="14" max="14" width="6.85546875" style="1" customWidth="1"/>
    <col min="15" max="15" width="0.7109375" style="1" customWidth="1"/>
    <col min="16" max="16" width="0" style="33" hidden="1" customWidth="1"/>
    <col min="17" max="17" width="6.85546875" style="33" customWidth="1"/>
    <col min="18" max="18" width="11.85546875" style="45" customWidth="1"/>
    <col min="19" max="19" width="10.140625" style="1" customWidth="1"/>
    <col min="20" max="20" width="9.140625" style="45"/>
    <col min="21" max="21" width="7.140625" style="33" customWidth="1"/>
    <col min="22" max="22" width="11" style="1" customWidth="1"/>
    <col min="23" max="23" width="16.28515625" style="1" customWidth="1"/>
    <col min="24" max="24" width="0.7109375" style="1" customWidth="1"/>
    <col min="25" max="25" width="11.140625" style="1" customWidth="1"/>
    <col min="26" max="26" width="6" style="1" customWidth="1"/>
    <col min="27" max="27" width="9.28515625" style="1" customWidth="1"/>
    <col min="28" max="28" width="15.42578125" style="1" customWidth="1"/>
    <col min="29" max="16384" width="9.140625" style="1"/>
  </cols>
  <sheetData>
    <row r="1" spans="1:28" s="7" customFormat="1" ht="51.75" customHeight="1" thickBot="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50</v>
      </c>
      <c r="P1" s="30" t="s">
        <v>19</v>
      </c>
      <c r="Q1" s="30" t="s">
        <v>1</v>
      </c>
      <c r="R1" s="43" t="s">
        <v>2</v>
      </c>
      <c r="S1" s="30" t="s">
        <v>19</v>
      </c>
      <c r="T1" s="43" t="s">
        <v>51</v>
      </c>
      <c r="U1" s="30" t="s">
        <v>0</v>
      </c>
      <c r="V1" s="40" t="s">
        <v>98</v>
      </c>
      <c r="W1" s="30" t="s">
        <v>99</v>
      </c>
      <c r="Y1" s="31" t="s">
        <v>100</v>
      </c>
      <c r="Z1" s="32">
        <v>2300</v>
      </c>
      <c r="AA1" s="31" t="s">
        <v>104</v>
      </c>
      <c r="AB1" s="34" t="str">
        <f ca="1">IFERROR(Calculations!AN2,"")</f>
        <v/>
      </c>
    </row>
    <row r="2" spans="1:28" ht="15.75" thickBot="1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P2" s="33" t="str">
        <f t="shared" ref="P2:P33" si="0">IF(ISBLANK(A2),"",K2)</f>
        <v/>
      </c>
      <c r="Q2" s="38" t="str">
        <f t="shared" ref="Q2:Q33" si="1">IF(ISBLANK(A2),"",B2)</f>
        <v/>
      </c>
      <c r="R2" s="44" t="str">
        <f t="shared" ref="R2:R33" si="2">IF(ISBLANK(A2),"",C2)</f>
        <v/>
      </c>
      <c r="S2" s="36" t="str">
        <f>IFERROR(INDEX(Calculations!$DP$2:$DP$200,MATCH(B2,Calculations!$B$2:$B$200,0)),"")</f>
        <v/>
      </c>
      <c r="T2" s="46" t="str">
        <f>IFERROR(INDEX(Calculations!$DO$2:$DO$200,MATCH(B2,Calculations!$B$2:$B$200,0)),"")</f>
        <v/>
      </c>
      <c r="U2" s="38" t="str">
        <f>IFERROR(INDEX(Calculations!$Z$2:$Z$200,MATCH(B2,Calculations!$B$2:$B$200,0)),"")</f>
        <v/>
      </c>
      <c r="V2" s="37" t="str">
        <f>IFERROR(INDEX(Calculations!$DQ$2:$DQ$200,MATCH(B2,Calculations!$B$2:$B$200,0)),"")</f>
        <v/>
      </c>
      <c r="W2" s="39" t="str">
        <f>IFERROR(INDEX(Calculations!$DR$2:$DR$200,MATCH(B2,Calculations!$B$2:$B$200,0)),"")</f>
        <v/>
      </c>
    </row>
    <row r="3" spans="1:28" ht="15.75" thickBo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P3" s="33" t="str">
        <f t="shared" si="0"/>
        <v/>
      </c>
      <c r="Q3" s="38" t="str">
        <f t="shared" si="1"/>
        <v/>
      </c>
      <c r="R3" s="44" t="str">
        <f t="shared" si="2"/>
        <v/>
      </c>
      <c r="S3" s="36" t="str">
        <f>IFERROR(INDEX(Calculations!$DP$2:$DP$200,MATCH(B3,Calculations!$B$2:$B$200,0)),"")</f>
        <v/>
      </c>
      <c r="T3" s="46" t="str">
        <f>IFERROR(INDEX(Calculations!$DO$2:$DO$200,MATCH(B3,Calculations!$B$2:$B$200,0)),"")</f>
        <v/>
      </c>
      <c r="U3" s="38" t="str">
        <f>IFERROR(INDEX(Calculations!$Z$2:$Z$200,MATCH(B3,Calculations!$B$2:$B$200,0)),"")</f>
        <v/>
      </c>
      <c r="V3" s="37" t="str">
        <f>IFERROR(INDEX(Calculations!$DQ$2:$DQ$200,MATCH(B3,Calculations!$B$2:$B$200,0)),"")</f>
        <v/>
      </c>
      <c r="W3" s="39" t="str">
        <f>IFERROR(INDEX(Calculations!$DR$2:$DR$200,MATCH(B3,Calculations!$B$2:$B$200,0)),"")</f>
        <v/>
      </c>
    </row>
    <row r="4" spans="1:28" ht="15.75" thickBot="1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P4" s="33" t="str">
        <f t="shared" si="0"/>
        <v/>
      </c>
      <c r="Q4" s="38" t="str">
        <f t="shared" si="1"/>
        <v/>
      </c>
      <c r="R4" s="44" t="str">
        <f t="shared" si="2"/>
        <v/>
      </c>
      <c r="S4" s="36" t="str">
        <f>IFERROR(INDEX(Calculations!$DP$2:$DP$200,MATCH(B4,Calculations!$B$2:$B$200,0)),"")</f>
        <v/>
      </c>
      <c r="T4" s="46" t="str">
        <f>IFERROR(INDEX(Calculations!$DO$2:$DO$200,MATCH(B4,Calculations!$B$2:$B$200,0)),"")</f>
        <v/>
      </c>
      <c r="U4" s="38" t="str">
        <f>IFERROR(INDEX(Calculations!$Z$2:$Z$200,MATCH(B4,Calculations!$B$2:$B$200,0)),"")</f>
        <v/>
      </c>
      <c r="V4" s="37" t="str">
        <f>IFERROR(INDEX(Calculations!$DQ$2:$DQ$200,MATCH(B4,Calculations!$B$2:$B$200,0)),"")</f>
        <v/>
      </c>
      <c r="W4" s="39" t="str">
        <f>IFERROR(INDEX(Calculations!$DR$2:$DR$200,MATCH(B4,Calculations!$B$2:$B$200,0)),"")</f>
        <v/>
      </c>
    </row>
    <row r="5" spans="1:28" ht="15.75" thickBot="1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P5" s="33" t="str">
        <f t="shared" si="0"/>
        <v/>
      </c>
      <c r="Q5" s="38" t="str">
        <f t="shared" si="1"/>
        <v/>
      </c>
      <c r="R5" s="44" t="str">
        <f t="shared" si="2"/>
        <v/>
      </c>
      <c r="S5" s="36" t="str">
        <f>IFERROR(INDEX(Calculations!$DP$2:$DP$200,MATCH(B5,Calculations!$B$2:$B$200,0)),"")</f>
        <v/>
      </c>
      <c r="T5" s="46" t="str">
        <f>IFERROR(INDEX(Calculations!$DO$2:$DO$200,MATCH(B5,Calculations!$B$2:$B$200,0)),"")</f>
        <v/>
      </c>
      <c r="U5" s="38" t="str">
        <f>IFERROR(INDEX(Calculations!$Z$2:$Z$200,MATCH(B5,Calculations!$B$2:$B$200,0)),"")</f>
        <v/>
      </c>
      <c r="V5" s="37" t="str">
        <f>IFERROR(INDEX(Calculations!$DQ$2:$DQ$200,MATCH(B5,Calculations!$B$2:$B$200,0)),"")</f>
        <v/>
      </c>
      <c r="W5" s="39" t="str">
        <f>IFERROR(INDEX(Calculations!$DR$2:$DR$200,MATCH(B5,Calculations!$B$2:$B$200,0)),"")</f>
        <v/>
      </c>
    </row>
    <row r="6" spans="1:28" ht="15.75" thickBot="1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P6" s="33" t="str">
        <f t="shared" si="0"/>
        <v/>
      </c>
      <c r="Q6" s="38" t="str">
        <f t="shared" si="1"/>
        <v/>
      </c>
      <c r="R6" s="44" t="str">
        <f t="shared" si="2"/>
        <v/>
      </c>
      <c r="S6" s="36" t="str">
        <f>IFERROR(INDEX(Calculations!$DP$2:$DP$200,MATCH(B6,Calculations!$B$2:$B$200,0)),"")</f>
        <v/>
      </c>
      <c r="T6" s="46" t="str">
        <f>IFERROR(INDEX(Calculations!$DO$2:$DO$200,MATCH(B6,Calculations!$B$2:$B$200,0)),"")</f>
        <v/>
      </c>
      <c r="U6" s="38" t="str">
        <f>IFERROR(INDEX(Calculations!$Z$2:$Z$200,MATCH(B6,Calculations!$B$2:$B$200,0)),"")</f>
        <v/>
      </c>
      <c r="V6" s="37" t="str">
        <f>IFERROR(INDEX(Calculations!$DQ$2:$DQ$200,MATCH(B6,Calculations!$B$2:$B$200,0)),"")</f>
        <v/>
      </c>
      <c r="W6" s="39" t="str">
        <f>IFERROR(INDEX(Calculations!$DR$2:$DR$200,MATCH(B6,Calculations!$B$2:$B$200,0)),"")</f>
        <v/>
      </c>
    </row>
    <row r="7" spans="1:28" ht="15.75" thickBo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P7" s="33" t="str">
        <f t="shared" si="0"/>
        <v/>
      </c>
      <c r="Q7" s="38" t="str">
        <f t="shared" si="1"/>
        <v/>
      </c>
      <c r="R7" s="44" t="str">
        <f t="shared" si="2"/>
        <v/>
      </c>
      <c r="S7" s="36" t="str">
        <f>IFERROR(INDEX(Calculations!$DP$2:$DP$200,MATCH(B7,Calculations!$B$2:$B$200,0)),"")</f>
        <v/>
      </c>
      <c r="T7" s="46" t="str">
        <f>IFERROR(INDEX(Calculations!$DO$2:$DO$200,MATCH(B7,Calculations!$B$2:$B$200,0)),"")</f>
        <v/>
      </c>
      <c r="U7" s="38" t="str">
        <f>IFERROR(INDEX(Calculations!$Z$2:$Z$200,MATCH(B7,Calculations!$B$2:$B$200,0)),"")</f>
        <v/>
      </c>
      <c r="V7" s="37" t="str">
        <f>IFERROR(INDEX(Calculations!$DQ$2:$DQ$200,MATCH(B7,Calculations!$B$2:$B$200,0)),"")</f>
        <v/>
      </c>
      <c r="W7" s="39" t="str">
        <f>IFERROR(INDEX(Calculations!$DR$2:$DR$200,MATCH(B7,Calculations!$B$2:$B$200,0)),"")</f>
        <v/>
      </c>
    </row>
    <row r="8" spans="1:28" ht="15.75" thickBot="1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P8" s="33" t="str">
        <f t="shared" si="0"/>
        <v/>
      </c>
      <c r="Q8" s="38" t="str">
        <f t="shared" si="1"/>
        <v/>
      </c>
      <c r="R8" s="44" t="str">
        <f t="shared" si="2"/>
        <v/>
      </c>
      <c r="S8" s="36" t="str">
        <f>IFERROR(INDEX(Calculations!$DP$2:$DP$200,MATCH(B8,Calculations!$B$2:$B$200,0)),"")</f>
        <v/>
      </c>
      <c r="T8" s="46" t="str">
        <f>IFERROR(INDEX(Calculations!$DO$2:$DO$200,MATCH(B8,Calculations!$B$2:$B$200,0)),"")</f>
        <v/>
      </c>
      <c r="U8" s="38" t="str">
        <f>IFERROR(INDEX(Calculations!$Z$2:$Z$200,MATCH(B8,Calculations!$B$2:$B$200,0)),"")</f>
        <v/>
      </c>
      <c r="V8" s="37" t="str">
        <f>IFERROR(INDEX(Calculations!$DQ$2:$DQ$200,MATCH(B8,Calculations!$B$2:$B$200,0)),"")</f>
        <v/>
      </c>
      <c r="W8" s="39" t="str">
        <f>IFERROR(INDEX(Calculations!$DR$2:$DR$200,MATCH(B8,Calculations!$B$2:$B$200,0)),"")</f>
        <v/>
      </c>
    </row>
    <row r="9" spans="1:28" ht="15.75" thickBo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P9" s="33" t="str">
        <f t="shared" si="0"/>
        <v/>
      </c>
      <c r="Q9" s="38" t="str">
        <f t="shared" si="1"/>
        <v/>
      </c>
      <c r="R9" s="44" t="str">
        <f t="shared" si="2"/>
        <v/>
      </c>
      <c r="S9" s="36" t="str">
        <f>IFERROR(INDEX(Calculations!$DP$2:$DP$200,MATCH(B9,Calculations!$B$2:$B$200,0)),"")</f>
        <v/>
      </c>
      <c r="T9" s="46" t="str">
        <f>IFERROR(INDEX(Calculations!$DO$2:$DO$200,MATCH(B9,Calculations!$B$2:$B$200,0)),"")</f>
        <v/>
      </c>
      <c r="U9" s="38" t="str">
        <f>IFERROR(INDEX(Calculations!$Z$2:$Z$200,MATCH(B9,Calculations!$B$2:$B$200,0)),"")</f>
        <v/>
      </c>
      <c r="V9" s="37" t="str">
        <f>IFERROR(INDEX(Calculations!$DQ$2:$DQ$200,MATCH(B9,Calculations!$B$2:$B$200,0)),"")</f>
        <v/>
      </c>
      <c r="W9" s="39" t="str">
        <f>IFERROR(INDEX(Calculations!$DR$2:$DR$200,MATCH(B9,Calculations!$B$2:$B$200,0)),"")</f>
        <v/>
      </c>
    </row>
    <row r="10" spans="1:28" ht="15.75" thickBot="1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P10" s="33" t="str">
        <f t="shared" si="0"/>
        <v/>
      </c>
      <c r="Q10" s="38" t="str">
        <f t="shared" si="1"/>
        <v/>
      </c>
      <c r="R10" s="44" t="str">
        <f t="shared" si="2"/>
        <v/>
      </c>
      <c r="S10" s="36" t="str">
        <f>IFERROR(INDEX(Calculations!$DP$2:$DP$200,MATCH(B10,Calculations!$B$2:$B$200,0)),"")</f>
        <v/>
      </c>
      <c r="T10" s="46" t="str">
        <f>IFERROR(INDEX(Calculations!$DO$2:$DO$200,MATCH(B10,Calculations!$B$2:$B$200,0)),"")</f>
        <v/>
      </c>
      <c r="U10" s="38" t="str">
        <f>IFERROR(INDEX(Calculations!$Z$2:$Z$200,MATCH(B10,Calculations!$B$2:$B$200,0)),"")</f>
        <v/>
      </c>
      <c r="V10" s="37" t="str">
        <f>IFERROR(INDEX(Calculations!$DQ$2:$DQ$200,MATCH(B10,Calculations!$B$2:$B$200,0)),"")</f>
        <v/>
      </c>
      <c r="W10" s="39" t="str">
        <f>IFERROR(INDEX(Calculations!$DR$2:$DR$200,MATCH(B10,Calculations!$B$2:$B$200,0)),"")</f>
        <v/>
      </c>
    </row>
    <row r="11" spans="1:28" ht="15.75" thickBot="1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P11" s="33" t="str">
        <f t="shared" si="0"/>
        <v/>
      </c>
      <c r="Q11" s="38" t="str">
        <f t="shared" si="1"/>
        <v/>
      </c>
      <c r="R11" s="44" t="str">
        <f t="shared" si="2"/>
        <v/>
      </c>
      <c r="S11" s="36" t="str">
        <f>IFERROR(INDEX(Calculations!$DP$2:$DP$200,MATCH(B11,Calculations!$B$2:$B$200,0)),"")</f>
        <v/>
      </c>
      <c r="T11" s="46" t="str">
        <f>IFERROR(INDEX(Calculations!$DO$2:$DO$200,MATCH(B11,Calculations!$B$2:$B$200,0)),"")</f>
        <v/>
      </c>
      <c r="U11" s="38" t="str">
        <f>IFERROR(INDEX(Calculations!$Z$2:$Z$200,MATCH(B11,Calculations!$B$2:$B$200,0)),"")</f>
        <v/>
      </c>
      <c r="V11" s="37" t="str">
        <f>IFERROR(INDEX(Calculations!$DQ$2:$DQ$200,MATCH(B11,Calculations!$B$2:$B$200,0)),"")</f>
        <v/>
      </c>
      <c r="W11" s="39" t="str">
        <f>IFERROR(INDEX(Calculations!$DR$2:$DR$200,MATCH(B11,Calculations!$B$2:$B$200,0)),"")</f>
        <v/>
      </c>
    </row>
    <row r="12" spans="1:28" ht="15.75" thickBot="1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P12" s="33" t="str">
        <f t="shared" si="0"/>
        <v/>
      </c>
      <c r="Q12" s="38" t="str">
        <f t="shared" si="1"/>
        <v/>
      </c>
      <c r="R12" s="44" t="str">
        <f t="shared" si="2"/>
        <v/>
      </c>
      <c r="S12" s="36" t="str">
        <f>IFERROR(INDEX(Calculations!$DP$2:$DP$200,MATCH(B12,Calculations!$B$2:$B$200,0)),"")</f>
        <v/>
      </c>
      <c r="T12" s="46" t="str">
        <f>IFERROR(INDEX(Calculations!$DO$2:$DO$200,MATCH(B12,Calculations!$B$2:$B$200,0)),"")</f>
        <v/>
      </c>
      <c r="U12" s="38" t="str">
        <f>IFERROR(INDEX(Calculations!$Z$2:$Z$200,MATCH(B12,Calculations!$B$2:$B$200,0)),"")</f>
        <v/>
      </c>
      <c r="V12" s="37" t="str">
        <f>IFERROR(INDEX(Calculations!$DQ$2:$DQ$200,MATCH(B12,Calculations!$B$2:$B$200,0)),"")</f>
        <v/>
      </c>
      <c r="W12" s="39" t="str">
        <f>IFERROR(INDEX(Calculations!$DR$2:$DR$200,MATCH(B12,Calculations!$B$2:$B$200,0)),"")</f>
        <v/>
      </c>
    </row>
    <row r="13" spans="1:28" ht="15.75" thickBot="1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P13" s="33" t="str">
        <f t="shared" si="0"/>
        <v/>
      </c>
      <c r="Q13" s="38" t="str">
        <f t="shared" si="1"/>
        <v/>
      </c>
      <c r="R13" s="44" t="str">
        <f t="shared" si="2"/>
        <v/>
      </c>
      <c r="S13" s="36" t="str">
        <f>IFERROR(INDEX(Calculations!$DP$2:$DP$200,MATCH(B13,Calculations!$B$2:$B$200,0)),"")</f>
        <v/>
      </c>
      <c r="T13" s="46" t="str">
        <f>IFERROR(INDEX(Calculations!$DO$2:$DO$200,MATCH(B13,Calculations!$B$2:$B$200,0)),"")</f>
        <v/>
      </c>
      <c r="U13" s="38" t="str">
        <f>IFERROR(INDEX(Calculations!$Z$2:$Z$200,MATCH(B13,Calculations!$B$2:$B$200,0)),"")</f>
        <v/>
      </c>
      <c r="V13" s="37" t="str">
        <f>IFERROR(INDEX(Calculations!$DQ$2:$DQ$200,MATCH(B13,Calculations!$B$2:$B$200,0)),"")</f>
        <v/>
      </c>
      <c r="W13" s="39" t="str">
        <f>IFERROR(INDEX(Calculations!$DR$2:$DR$200,MATCH(B13,Calculations!$B$2:$B$200,0)),"")</f>
        <v/>
      </c>
    </row>
    <row r="14" spans="1:28" ht="15.75" thickBot="1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P14" s="33" t="str">
        <f t="shared" si="0"/>
        <v/>
      </c>
      <c r="Q14" s="38" t="str">
        <f t="shared" si="1"/>
        <v/>
      </c>
      <c r="R14" s="44" t="str">
        <f t="shared" si="2"/>
        <v/>
      </c>
      <c r="S14" s="36" t="str">
        <f>IFERROR(INDEX(Calculations!$DP$2:$DP$200,MATCH(B14,Calculations!$B$2:$B$200,0)),"")</f>
        <v/>
      </c>
      <c r="T14" s="46" t="str">
        <f>IFERROR(INDEX(Calculations!$DO$2:$DO$200,MATCH(B14,Calculations!$B$2:$B$200,0)),"")</f>
        <v/>
      </c>
      <c r="U14" s="38" t="str">
        <f>IFERROR(INDEX(Calculations!$Z$2:$Z$200,MATCH(B14,Calculations!$B$2:$B$200,0)),"")</f>
        <v/>
      </c>
      <c r="V14" s="37" t="str">
        <f>IFERROR(INDEX(Calculations!$DQ$2:$DQ$200,MATCH(B14,Calculations!$B$2:$B$200,0)),"")</f>
        <v/>
      </c>
      <c r="W14" s="39" t="str">
        <f>IFERROR(INDEX(Calculations!$DR$2:$DR$200,MATCH(B14,Calculations!$B$2:$B$200,0)),"")</f>
        <v/>
      </c>
    </row>
    <row r="15" spans="1:28" ht="15.75" thickBot="1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P15" s="33" t="str">
        <f t="shared" si="0"/>
        <v/>
      </c>
      <c r="Q15" s="38" t="str">
        <f t="shared" si="1"/>
        <v/>
      </c>
      <c r="R15" s="44" t="str">
        <f t="shared" si="2"/>
        <v/>
      </c>
      <c r="S15" s="36" t="str">
        <f>IFERROR(INDEX(Calculations!$DP$2:$DP$200,MATCH(B15,Calculations!$B$2:$B$200,0)),"")</f>
        <v/>
      </c>
      <c r="T15" s="46" t="str">
        <f>IFERROR(INDEX(Calculations!$DO$2:$DO$200,MATCH(B15,Calculations!$B$2:$B$200,0)),"")</f>
        <v/>
      </c>
      <c r="U15" s="38" t="str">
        <f>IFERROR(INDEX(Calculations!$Z$2:$Z$200,MATCH(B15,Calculations!$B$2:$B$200,0)),"")</f>
        <v/>
      </c>
      <c r="V15" s="37" t="str">
        <f>IFERROR(INDEX(Calculations!$DQ$2:$DQ$200,MATCH(B15,Calculations!$B$2:$B$200,0)),"")</f>
        <v/>
      </c>
      <c r="W15" s="39" t="str">
        <f>IFERROR(INDEX(Calculations!$DR$2:$DR$200,MATCH(B15,Calculations!$B$2:$B$200,0)),"")</f>
        <v/>
      </c>
    </row>
    <row r="16" spans="1:28" ht="15.75" thickBot="1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P16" s="33" t="str">
        <f t="shared" si="0"/>
        <v/>
      </c>
      <c r="Q16" s="38" t="str">
        <f t="shared" si="1"/>
        <v/>
      </c>
      <c r="R16" s="44" t="str">
        <f t="shared" si="2"/>
        <v/>
      </c>
      <c r="S16" s="36" t="str">
        <f>IFERROR(INDEX(Calculations!$DP$2:$DP$200,MATCH(B16,Calculations!$B$2:$B$200,0)),"")</f>
        <v/>
      </c>
      <c r="T16" s="46" t="str">
        <f>IFERROR(INDEX(Calculations!$DO$2:$DO$200,MATCH(B16,Calculations!$B$2:$B$200,0)),"")</f>
        <v/>
      </c>
      <c r="U16" s="38" t="str">
        <f>IFERROR(INDEX(Calculations!$Z$2:$Z$200,MATCH(B16,Calculations!$B$2:$B$200,0)),"")</f>
        <v/>
      </c>
      <c r="V16" s="37" t="str">
        <f>IFERROR(INDEX(Calculations!$DQ$2:$DQ$200,MATCH(B16,Calculations!$B$2:$B$200,0)),"")</f>
        <v/>
      </c>
      <c r="W16" s="39" t="str">
        <f>IFERROR(INDEX(Calculations!$DR$2:$DR$200,MATCH(B16,Calculations!$B$2:$B$200,0)),"")</f>
        <v/>
      </c>
    </row>
    <row r="17" spans="1:23" ht="15.75" thickBot="1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P17" s="33" t="str">
        <f t="shared" si="0"/>
        <v/>
      </c>
      <c r="Q17" s="38" t="str">
        <f t="shared" si="1"/>
        <v/>
      </c>
      <c r="R17" s="44" t="str">
        <f t="shared" si="2"/>
        <v/>
      </c>
      <c r="S17" s="36" t="str">
        <f>IFERROR(INDEX(Calculations!$DP$2:$DP$200,MATCH(B17,Calculations!$B$2:$B$200,0)),"")</f>
        <v/>
      </c>
      <c r="T17" s="46" t="str">
        <f>IFERROR(INDEX(Calculations!$DO$2:$DO$200,MATCH(B17,Calculations!$B$2:$B$200,0)),"")</f>
        <v/>
      </c>
      <c r="U17" s="38" t="str">
        <f>IFERROR(INDEX(Calculations!$Z$2:$Z$200,MATCH(B17,Calculations!$B$2:$B$200,0)),"")</f>
        <v/>
      </c>
      <c r="V17" s="37" t="str">
        <f>IFERROR(INDEX(Calculations!$DQ$2:$DQ$200,MATCH(B17,Calculations!$B$2:$B$200,0)),"")</f>
        <v/>
      </c>
      <c r="W17" s="39" t="str">
        <f>IFERROR(INDEX(Calculations!$DR$2:$DR$200,MATCH(B17,Calculations!$B$2:$B$200,0)),"")</f>
        <v/>
      </c>
    </row>
    <row r="18" spans="1:23" ht="15.75" thickBot="1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P18" s="33" t="str">
        <f t="shared" si="0"/>
        <v/>
      </c>
      <c r="Q18" s="38" t="str">
        <f t="shared" si="1"/>
        <v/>
      </c>
      <c r="R18" s="44" t="str">
        <f t="shared" si="2"/>
        <v/>
      </c>
      <c r="S18" s="36" t="str">
        <f>IFERROR(INDEX(Calculations!$DP$2:$DP$200,MATCH(B18,Calculations!$B$2:$B$200,0)),"")</f>
        <v/>
      </c>
      <c r="T18" s="46" t="str">
        <f>IFERROR(INDEX(Calculations!$DO$2:$DO$200,MATCH(B18,Calculations!$B$2:$B$200,0)),"")</f>
        <v/>
      </c>
      <c r="U18" s="38" t="str">
        <f>IFERROR(INDEX(Calculations!$Z$2:$Z$200,MATCH(B18,Calculations!$B$2:$B$200,0)),"")</f>
        <v/>
      </c>
      <c r="V18" s="37" t="str">
        <f>IFERROR(INDEX(Calculations!$DQ$2:$DQ$200,MATCH(B18,Calculations!$B$2:$B$200,0)),"")</f>
        <v/>
      </c>
      <c r="W18" s="39" t="str">
        <f>IFERROR(INDEX(Calculations!$DR$2:$DR$200,MATCH(B18,Calculations!$B$2:$B$200,0)),"")</f>
        <v/>
      </c>
    </row>
    <row r="19" spans="1:23" ht="15.75" thickBot="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P19" s="33" t="str">
        <f t="shared" si="0"/>
        <v/>
      </c>
      <c r="Q19" s="38" t="str">
        <f t="shared" si="1"/>
        <v/>
      </c>
      <c r="R19" s="44" t="str">
        <f t="shared" si="2"/>
        <v/>
      </c>
      <c r="S19" s="36" t="str">
        <f>IFERROR(INDEX(Calculations!$DP$2:$DP$200,MATCH(B19,Calculations!$B$2:$B$200,0)),"")</f>
        <v/>
      </c>
      <c r="T19" s="46" t="str">
        <f>IFERROR(INDEX(Calculations!$DO$2:$DO$200,MATCH(B19,Calculations!$B$2:$B$200,0)),"")</f>
        <v/>
      </c>
      <c r="U19" s="38" t="str">
        <f>IFERROR(INDEX(Calculations!$Z$2:$Z$200,MATCH(B19,Calculations!$B$2:$B$200,0)),"")</f>
        <v/>
      </c>
      <c r="V19" s="37" t="str">
        <f>IFERROR(INDEX(Calculations!$DQ$2:$DQ$200,MATCH(B19,Calculations!$B$2:$B$200,0)),"")</f>
        <v/>
      </c>
      <c r="W19" s="39" t="str">
        <f>IFERROR(INDEX(Calculations!$DR$2:$DR$200,MATCH(B19,Calculations!$B$2:$B$200,0)),"")</f>
        <v/>
      </c>
    </row>
    <row r="20" spans="1:23" ht="15.75" thickBot="1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P20" s="33" t="str">
        <f t="shared" si="0"/>
        <v/>
      </c>
      <c r="Q20" s="38" t="str">
        <f t="shared" si="1"/>
        <v/>
      </c>
      <c r="R20" s="44" t="str">
        <f t="shared" si="2"/>
        <v/>
      </c>
      <c r="S20" s="36" t="str">
        <f>IFERROR(INDEX(Calculations!$DP$2:$DP$200,MATCH(B20,Calculations!$B$2:$B$200,0)),"")</f>
        <v/>
      </c>
      <c r="T20" s="46" t="str">
        <f>IFERROR(INDEX(Calculations!$DO$2:$DO$200,MATCH(B20,Calculations!$B$2:$B$200,0)),"")</f>
        <v/>
      </c>
      <c r="U20" s="38" t="str">
        <f>IFERROR(INDEX(Calculations!$Z$2:$Z$200,MATCH(B20,Calculations!$B$2:$B$200,0)),"")</f>
        <v/>
      </c>
      <c r="V20" s="37" t="str">
        <f>IFERROR(INDEX(Calculations!$DQ$2:$DQ$200,MATCH(B20,Calculations!$B$2:$B$200,0)),"")</f>
        <v/>
      </c>
      <c r="W20" s="39" t="str">
        <f>IFERROR(INDEX(Calculations!$DR$2:$DR$200,MATCH(B20,Calculations!$B$2:$B$200,0)),"")</f>
        <v/>
      </c>
    </row>
    <row r="21" spans="1:23" ht="15.75" thickBot="1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P21" s="33" t="str">
        <f t="shared" si="0"/>
        <v/>
      </c>
      <c r="Q21" s="38" t="str">
        <f t="shared" si="1"/>
        <v/>
      </c>
      <c r="R21" s="44" t="str">
        <f t="shared" si="2"/>
        <v/>
      </c>
      <c r="S21" s="36" t="str">
        <f>IFERROR(INDEX(Calculations!$DP$2:$DP$200,MATCH(B21,Calculations!$B$2:$B$200,0)),"")</f>
        <v/>
      </c>
      <c r="T21" s="46" t="str">
        <f>IFERROR(INDEX(Calculations!$DO$2:$DO$200,MATCH(B21,Calculations!$B$2:$B$200,0)),"")</f>
        <v/>
      </c>
      <c r="U21" s="38" t="str">
        <f>IFERROR(INDEX(Calculations!$Z$2:$Z$200,MATCH(B21,Calculations!$B$2:$B$200,0)),"")</f>
        <v/>
      </c>
      <c r="V21" s="37" t="str">
        <f>IFERROR(INDEX(Calculations!$DQ$2:$DQ$200,MATCH(B21,Calculations!$B$2:$B$200,0)),"")</f>
        <v/>
      </c>
      <c r="W21" s="39" t="str">
        <f>IFERROR(INDEX(Calculations!$DR$2:$DR$200,MATCH(B21,Calculations!$B$2:$B$200,0)),"")</f>
        <v/>
      </c>
    </row>
    <row r="22" spans="1:23" ht="15.75" thickBot="1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P22" s="33" t="str">
        <f t="shared" si="0"/>
        <v/>
      </c>
      <c r="Q22" s="38" t="str">
        <f t="shared" si="1"/>
        <v/>
      </c>
      <c r="R22" s="44" t="str">
        <f t="shared" si="2"/>
        <v/>
      </c>
      <c r="S22" s="36" t="str">
        <f>IFERROR(INDEX(Calculations!$DP$2:$DP$200,MATCH(B22,Calculations!$B$2:$B$200,0)),"")</f>
        <v/>
      </c>
      <c r="T22" s="46" t="str">
        <f>IFERROR(INDEX(Calculations!$DO$2:$DO$200,MATCH(B22,Calculations!$B$2:$B$200,0)),"")</f>
        <v/>
      </c>
      <c r="U22" s="38" t="str">
        <f>IFERROR(INDEX(Calculations!$Z$2:$Z$200,MATCH(B22,Calculations!$B$2:$B$200,0)),"")</f>
        <v/>
      </c>
      <c r="V22" s="37" t="str">
        <f>IFERROR(INDEX(Calculations!$DQ$2:$DQ$200,MATCH(B22,Calculations!$B$2:$B$200,0)),"")</f>
        <v/>
      </c>
      <c r="W22" s="39" t="str">
        <f>IFERROR(INDEX(Calculations!$DR$2:$DR$200,MATCH(B22,Calculations!$B$2:$B$200,0)),"")</f>
        <v/>
      </c>
    </row>
    <row r="23" spans="1:23" ht="15.75" thickBot="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P23" s="33" t="str">
        <f t="shared" si="0"/>
        <v/>
      </c>
      <c r="Q23" s="38" t="str">
        <f t="shared" si="1"/>
        <v/>
      </c>
      <c r="R23" s="44" t="str">
        <f t="shared" si="2"/>
        <v/>
      </c>
      <c r="S23" s="36" t="str">
        <f>IFERROR(INDEX(Calculations!$DP$2:$DP$200,MATCH(B23,Calculations!$B$2:$B$200,0)),"")</f>
        <v/>
      </c>
      <c r="T23" s="46" t="str">
        <f>IFERROR(INDEX(Calculations!$DO$2:$DO$200,MATCH(B23,Calculations!$B$2:$B$200,0)),"")</f>
        <v/>
      </c>
      <c r="U23" s="38" t="str">
        <f>IFERROR(INDEX(Calculations!$Z$2:$Z$200,MATCH(B23,Calculations!$B$2:$B$200,0)),"")</f>
        <v/>
      </c>
      <c r="V23" s="37" t="str">
        <f>IFERROR(INDEX(Calculations!$DQ$2:$DQ$200,MATCH(B23,Calculations!$B$2:$B$200,0)),"")</f>
        <v/>
      </c>
      <c r="W23" s="39" t="str">
        <f>IFERROR(INDEX(Calculations!$DR$2:$DR$200,MATCH(B23,Calculations!$B$2:$B$200,0)),"")</f>
        <v/>
      </c>
    </row>
    <row r="24" spans="1:23" ht="15.75" thickBot="1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P24" s="33" t="str">
        <f t="shared" si="0"/>
        <v/>
      </c>
      <c r="Q24" s="38" t="str">
        <f t="shared" si="1"/>
        <v/>
      </c>
      <c r="R24" s="44" t="str">
        <f t="shared" si="2"/>
        <v/>
      </c>
      <c r="S24" s="36" t="str">
        <f>IFERROR(INDEX(Calculations!$DP$2:$DP$200,MATCH(B24,Calculations!$B$2:$B$200,0)),"")</f>
        <v/>
      </c>
      <c r="T24" s="46" t="str">
        <f>IFERROR(INDEX(Calculations!$DO$2:$DO$200,MATCH(B24,Calculations!$B$2:$B$200,0)),"")</f>
        <v/>
      </c>
      <c r="U24" s="38" t="str">
        <f>IFERROR(INDEX(Calculations!$Z$2:$Z$200,MATCH(B24,Calculations!$B$2:$B$200,0)),"")</f>
        <v/>
      </c>
      <c r="V24" s="37" t="str">
        <f>IFERROR(INDEX(Calculations!$DQ$2:$DQ$200,MATCH(B24,Calculations!$B$2:$B$200,0)),"")</f>
        <v/>
      </c>
      <c r="W24" s="39" t="str">
        <f>IFERROR(INDEX(Calculations!$DR$2:$DR$200,MATCH(B24,Calculations!$B$2:$B$200,0)),"")</f>
        <v/>
      </c>
    </row>
    <row r="25" spans="1:23" ht="15.75" thickBo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P25" s="33" t="str">
        <f t="shared" si="0"/>
        <v/>
      </c>
      <c r="Q25" s="38" t="str">
        <f t="shared" si="1"/>
        <v/>
      </c>
      <c r="R25" s="44" t="str">
        <f t="shared" si="2"/>
        <v/>
      </c>
      <c r="S25" s="36" t="str">
        <f>IFERROR(INDEX(Calculations!$DP$2:$DP$200,MATCH(B25,Calculations!$B$2:$B$200,0)),"")</f>
        <v/>
      </c>
      <c r="T25" s="46" t="str">
        <f>IFERROR(INDEX(Calculations!$DO$2:$DO$200,MATCH(B25,Calculations!$B$2:$B$200,0)),"")</f>
        <v/>
      </c>
      <c r="U25" s="38" t="str">
        <f>IFERROR(INDEX(Calculations!$Z$2:$Z$200,MATCH(B25,Calculations!$B$2:$B$200,0)),"")</f>
        <v/>
      </c>
      <c r="V25" s="37" t="str">
        <f>IFERROR(INDEX(Calculations!$DQ$2:$DQ$200,MATCH(B25,Calculations!$B$2:$B$200,0)),"")</f>
        <v/>
      </c>
      <c r="W25" s="39" t="str">
        <f>IFERROR(INDEX(Calculations!$DR$2:$DR$200,MATCH(B25,Calculations!$B$2:$B$200,0)),"")</f>
        <v/>
      </c>
    </row>
    <row r="26" spans="1:23" ht="15.75" thickBot="1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P26" s="33" t="str">
        <f t="shared" si="0"/>
        <v/>
      </c>
      <c r="Q26" s="38" t="str">
        <f t="shared" si="1"/>
        <v/>
      </c>
      <c r="R26" s="44" t="str">
        <f t="shared" si="2"/>
        <v/>
      </c>
      <c r="S26" s="36" t="str">
        <f>IFERROR(INDEX(Calculations!$DP$2:$DP$200,MATCH(B26,Calculations!$B$2:$B$200,0)),"")</f>
        <v/>
      </c>
      <c r="T26" s="46" t="str">
        <f>IFERROR(INDEX(Calculations!$DO$2:$DO$200,MATCH(B26,Calculations!$B$2:$B$200,0)),"")</f>
        <v/>
      </c>
      <c r="U26" s="38" t="str">
        <f>IFERROR(INDEX(Calculations!$Z$2:$Z$200,MATCH(B26,Calculations!$B$2:$B$200,0)),"")</f>
        <v/>
      </c>
      <c r="V26" s="37" t="str">
        <f>IFERROR(INDEX(Calculations!$DQ$2:$DQ$200,MATCH(B26,Calculations!$B$2:$B$200,0)),"")</f>
        <v/>
      </c>
      <c r="W26" s="39" t="str">
        <f>IFERROR(INDEX(Calculations!$DR$2:$DR$200,MATCH(B26,Calculations!$B$2:$B$200,0)),"")</f>
        <v/>
      </c>
    </row>
    <row r="27" spans="1:23" ht="15.75" thickBo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P27" s="33" t="str">
        <f t="shared" si="0"/>
        <v/>
      </c>
      <c r="Q27" s="38" t="str">
        <f t="shared" si="1"/>
        <v/>
      </c>
      <c r="R27" s="44" t="str">
        <f t="shared" si="2"/>
        <v/>
      </c>
      <c r="S27" s="36" t="str">
        <f>IFERROR(INDEX(Calculations!$DP$2:$DP$200,MATCH(B27,Calculations!$B$2:$B$200,0)),"")</f>
        <v/>
      </c>
      <c r="T27" s="46" t="str">
        <f>IFERROR(INDEX(Calculations!$DO$2:$DO$200,MATCH(B27,Calculations!$B$2:$B$200,0)),"")</f>
        <v/>
      </c>
      <c r="U27" s="38" t="str">
        <f>IFERROR(INDEX(Calculations!$Z$2:$Z$200,MATCH(B27,Calculations!$B$2:$B$200,0)),"")</f>
        <v/>
      </c>
      <c r="V27" s="37" t="str">
        <f>IFERROR(INDEX(Calculations!$DQ$2:$DQ$200,MATCH(B27,Calculations!$B$2:$B$200,0)),"")</f>
        <v/>
      </c>
      <c r="W27" s="39" t="str">
        <f>IFERROR(INDEX(Calculations!$DR$2:$DR$200,MATCH(B27,Calculations!$B$2:$B$200,0)),"")</f>
        <v/>
      </c>
    </row>
    <row r="28" spans="1:23" ht="15.75" thickBot="1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P28" s="33" t="str">
        <f t="shared" si="0"/>
        <v/>
      </c>
      <c r="Q28" s="38" t="str">
        <f t="shared" si="1"/>
        <v/>
      </c>
      <c r="R28" s="44" t="str">
        <f t="shared" si="2"/>
        <v/>
      </c>
      <c r="S28" s="36" t="str">
        <f>IFERROR(INDEX(Calculations!$DP$2:$DP$200,MATCH(B28,Calculations!$B$2:$B$200,0)),"")</f>
        <v/>
      </c>
      <c r="T28" s="46" t="str">
        <f>IFERROR(INDEX(Calculations!$DO$2:$DO$200,MATCH(B28,Calculations!$B$2:$B$200,0)),"")</f>
        <v/>
      </c>
      <c r="U28" s="38" t="str">
        <f>IFERROR(INDEX(Calculations!$Z$2:$Z$200,MATCH(B28,Calculations!$B$2:$B$200,0)),"")</f>
        <v/>
      </c>
      <c r="V28" s="37" t="str">
        <f>IFERROR(INDEX(Calculations!$DQ$2:$DQ$200,MATCH(B28,Calculations!$B$2:$B$200,0)),"")</f>
        <v/>
      </c>
      <c r="W28" s="39" t="str">
        <f>IFERROR(INDEX(Calculations!$DR$2:$DR$200,MATCH(B28,Calculations!$B$2:$B$200,0)),"")</f>
        <v/>
      </c>
    </row>
    <row r="29" spans="1:23" ht="15.75" thickBo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P29" s="33" t="str">
        <f t="shared" si="0"/>
        <v/>
      </c>
      <c r="Q29" s="38" t="str">
        <f t="shared" si="1"/>
        <v/>
      </c>
      <c r="R29" s="44" t="str">
        <f t="shared" si="2"/>
        <v/>
      </c>
      <c r="S29" s="36" t="str">
        <f>IFERROR(INDEX(Calculations!$DP$2:$DP$200,MATCH(B29,Calculations!$B$2:$B$200,0)),"")</f>
        <v/>
      </c>
      <c r="T29" s="46" t="str">
        <f>IFERROR(INDEX(Calculations!$DO$2:$DO$200,MATCH(B29,Calculations!$B$2:$B$200,0)),"")</f>
        <v/>
      </c>
      <c r="U29" s="38" t="str">
        <f>IFERROR(INDEX(Calculations!$Z$2:$Z$200,MATCH(B29,Calculations!$B$2:$B$200,0)),"")</f>
        <v/>
      </c>
      <c r="V29" s="37" t="str">
        <f>IFERROR(INDEX(Calculations!$DQ$2:$DQ$200,MATCH(B29,Calculations!$B$2:$B$200,0)),"")</f>
        <v/>
      </c>
      <c r="W29" s="39" t="str">
        <f>IFERROR(INDEX(Calculations!$DR$2:$DR$200,MATCH(B29,Calculations!$B$2:$B$200,0)),"")</f>
        <v/>
      </c>
    </row>
    <row r="30" spans="1:23" ht="15.75" thickBot="1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P30" s="33" t="str">
        <f t="shared" si="0"/>
        <v/>
      </c>
      <c r="Q30" s="38" t="str">
        <f t="shared" si="1"/>
        <v/>
      </c>
      <c r="R30" s="44" t="str">
        <f t="shared" si="2"/>
        <v/>
      </c>
      <c r="S30" s="36" t="str">
        <f>IFERROR(INDEX(Calculations!$DP$2:$DP$200,MATCH(B30,Calculations!$B$2:$B$200,0)),"")</f>
        <v/>
      </c>
      <c r="T30" s="46" t="str">
        <f>IFERROR(INDEX(Calculations!$DO$2:$DO$200,MATCH(B30,Calculations!$B$2:$B$200,0)),"")</f>
        <v/>
      </c>
      <c r="U30" s="38" t="str">
        <f>IFERROR(INDEX(Calculations!$Z$2:$Z$200,MATCH(B30,Calculations!$B$2:$B$200,0)),"")</f>
        <v/>
      </c>
      <c r="V30" s="37" t="str">
        <f>IFERROR(INDEX(Calculations!$DQ$2:$DQ$200,MATCH(B30,Calculations!$B$2:$B$200,0)),"")</f>
        <v/>
      </c>
      <c r="W30" s="39" t="str">
        <f>IFERROR(INDEX(Calculations!$DR$2:$DR$200,MATCH(B30,Calculations!$B$2:$B$200,0)),"")</f>
        <v/>
      </c>
    </row>
    <row r="31" spans="1:23" ht="15.75" thickBo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P31" s="33" t="str">
        <f t="shared" si="0"/>
        <v/>
      </c>
      <c r="Q31" s="38" t="str">
        <f t="shared" si="1"/>
        <v/>
      </c>
      <c r="R31" s="44" t="str">
        <f t="shared" si="2"/>
        <v/>
      </c>
      <c r="S31" s="36" t="str">
        <f>IFERROR(INDEX(Calculations!$DP$2:$DP$200,MATCH(B31,Calculations!$B$2:$B$200,0)),"")</f>
        <v/>
      </c>
      <c r="T31" s="46" t="str">
        <f>IFERROR(INDEX(Calculations!$DO$2:$DO$200,MATCH(B31,Calculations!$B$2:$B$200,0)),"")</f>
        <v/>
      </c>
      <c r="U31" s="38" t="str">
        <f>IFERROR(INDEX(Calculations!$Z$2:$Z$200,MATCH(B31,Calculations!$B$2:$B$200,0)),"")</f>
        <v/>
      </c>
      <c r="V31" s="37" t="str">
        <f>IFERROR(INDEX(Calculations!$DQ$2:$DQ$200,MATCH(B31,Calculations!$B$2:$B$200,0)),"")</f>
        <v/>
      </c>
      <c r="W31" s="39" t="str">
        <f>IFERROR(INDEX(Calculations!$DR$2:$DR$200,MATCH(B31,Calculations!$B$2:$B$200,0)),"")</f>
        <v/>
      </c>
    </row>
    <row r="32" spans="1:23" ht="15.75" thickBot="1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P32" s="33" t="str">
        <f t="shared" si="0"/>
        <v/>
      </c>
      <c r="Q32" s="38" t="str">
        <f t="shared" si="1"/>
        <v/>
      </c>
      <c r="R32" s="44" t="str">
        <f t="shared" si="2"/>
        <v/>
      </c>
      <c r="S32" s="36" t="str">
        <f>IFERROR(INDEX(Calculations!$DP$2:$DP$200,MATCH(B32,Calculations!$B$2:$B$200,0)),"")</f>
        <v/>
      </c>
      <c r="T32" s="46" t="str">
        <f>IFERROR(INDEX(Calculations!$DO$2:$DO$200,MATCH(B32,Calculations!$B$2:$B$200,0)),"")</f>
        <v/>
      </c>
      <c r="U32" s="38" t="str">
        <f>IFERROR(INDEX(Calculations!$Z$2:$Z$200,MATCH(B32,Calculations!$B$2:$B$200,0)),"")</f>
        <v/>
      </c>
      <c r="V32" s="37" t="str">
        <f>IFERROR(INDEX(Calculations!$DQ$2:$DQ$200,MATCH(B32,Calculations!$B$2:$B$200,0)),"")</f>
        <v/>
      </c>
      <c r="W32" s="39" t="str">
        <f>IFERROR(INDEX(Calculations!$DR$2:$DR$200,MATCH(B32,Calculations!$B$2:$B$200,0)),"")</f>
        <v/>
      </c>
    </row>
    <row r="33" spans="1:23" ht="15.75" thickBot="1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P33" s="33" t="str">
        <f t="shared" si="0"/>
        <v/>
      </c>
      <c r="Q33" s="38" t="str">
        <f t="shared" si="1"/>
        <v/>
      </c>
      <c r="R33" s="44" t="str">
        <f t="shared" si="2"/>
        <v/>
      </c>
      <c r="S33" s="36" t="str">
        <f>IFERROR(INDEX(Calculations!$DP$2:$DP$200,MATCH(B33,Calculations!$B$2:$B$200,0)),"")</f>
        <v/>
      </c>
      <c r="T33" s="46" t="str">
        <f>IFERROR(INDEX(Calculations!$DO$2:$DO$200,MATCH(B33,Calculations!$B$2:$B$200,0)),"")</f>
        <v/>
      </c>
      <c r="U33" s="38" t="str">
        <f>IFERROR(INDEX(Calculations!$Z$2:$Z$200,MATCH(B33,Calculations!$B$2:$B$200,0)),"")</f>
        <v/>
      </c>
      <c r="V33" s="37" t="str">
        <f>IFERROR(INDEX(Calculations!$DQ$2:$DQ$200,MATCH(B33,Calculations!$B$2:$B$200,0)),"")</f>
        <v/>
      </c>
      <c r="W33" s="39" t="str">
        <f>IFERROR(INDEX(Calculations!$DR$2:$DR$200,MATCH(B33,Calculations!$B$2:$B$200,0)),"")</f>
        <v/>
      </c>
    </row>
    <row r="34" spans="1:23" ht="15.75" thickBot="1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P34" s="33" t="str">
        <f t="shared" ref="P34:P65" si="3">IF(ISBLANK(A34),"",K34)</f>
        <v/>
      </c>
      <c r="Q34" s="38" t="str">
        <f t="shared" ref="Q34:Q65" si="4">IF(ISBLANK(A34),"",B34)</f>
        <v/>
      </c>
      <c r="R34" s="44" t="str">
        <f t="shared" ref="R34:R65" si="5">IF(ISBLANK(A34),"",C34)</f>
        <v/>
      </c>
      <c r="S34" s="36" t="str">
        <f>IFERROR(INDEX(Calculations!$DP$2:$DP$200,MATCH(B34,Calculations!$B$2:$B$200,0)),"")</f>
        <v/>
      </c>
      <c r="T34" s="46" t="str">
        <f>IFERROR(INDEX(Calculations!$DO$2:$DO$200,MATCH(B34,Calculations!$B$2:$B$200,0)),"")</f>
        <v/>
      </c>
      <c r="U34" s="38" t="str">
        <f>IFERROR(INDEX(Calculations!$Z$2:$Z$200,MATCH(B34,Calculations!$B$2:$B$200,0)),"")</f>
        <v/>
      </c>
      <c r="V34" s="37" t="str">
        <f>IFERROR(INDEX(Calculations!$DQ$2:$DQ$200,MATCH(B34,Calculations!$B$2:$B$200,0)),"")</f>
        <v/>
      </c>
      <c r="W34" s="39" t="str">
        <f>IFERROR(INDEX(Calculations!$DR$2:$DR$200,MATCH(B34,Calculations!$B$2:$B$200,0)),"")</f>
        <v/>
      </c>
    </row>
    <row r="35" spans="1:23" ht="15.75" thickBot="1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P35" s="33" t="str">
        <f t="shared" si="3"/>
        <v/>
      </c>
      <c r="Q35" s="38" t="str">
        <f t="shared" si="4"/>
        <v/>
      </c>
      <c r="R35" s="44" t="str">
        <f t="shared" si="5"/>
        <v/>
      </c>
      <c r="S35" s="36" t="str">
        <f>IFERROR(INDEX(Calculations!$DP$2:$DP$200,MATCH(B35,Calculations!$B$2:$B$200,0)),"")</f>
        <v/>
      </c>
      <c r="T35" s="46" t="str">
        <f>IFERROR(INDEX(Calculations!$DO$2:$DO$200,MATCH(B35,Calculations!$B$2:$B$200,0)),"")</f>
        <v/>
      </c>
      <c r="U35" s="38" t="str">
        <f>IFERROR(INDEX(Calculations!$Z$2:$Z$200,MATCH(B35,Calculations!$B$2:$B$200,0)),"")</f>
        <v/>
      </c>
      <c r="V35" s="37" t="str">
        <f>IFERROR(INDEX(Calculations!$DQ$2:$DQ$200,MATCH(B35,Calculations!$B$2:$B$200,0)),"")</f>
        <v/>
      </c>
      <c r="W35" s="39" t="str">
        <f>IFERROR(INDEX(Calculations!$DR$2:$DR$200,MATCH(B35,Calculations!$B$2:$B$200,0)),"")</f>
        <v/>
      </c>
    </row>
    <row r="36" spans="1:23" ht="15.75" thickBot="1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P36" s="33" t="str">
        <f t="shared" si="3"/>
        <v/>
      </c>
      <c r="Q36" s="38" t="str">
        <f t="shared" si="4"/>
        <v/>
      </c>
      <c r="R36" s="44" t="str">
        <f t="shared" si="5"/>
        <v/>
      </c>
      <c r="S36" s="36" t="str">
        <f>IFERROR(INDEX(Calculations!$DP$2:$DP$200,MATCH(B36,Calculations!$B$2:$B$200,0)),"")</f>
        <v/>
      </c>
      <c r="T36" s="46" t="str">
        <f>IFERROR(INDEX(Calculations!$DO$2:$DO$200,MATCH(B36,Calculations!$B$2:$B$200,0)),"")</f>
        <v/>
      </c>
      <c r="U36" s="38" t="str">
        <f>IFERROR(INDEX(Calculations!$Z$2:$Z$200,MATCH(B36,Calculations!$B$2:$B$200,0)),"")</f>
        <v/>
      </c>
      <c r="V36" s="37" t="str">
        <f>IFERROR(INDEX(Calculations!$DQ$2:$DQ$200,MATCH(B36,Calculations!$B$2:$B$200,0)),"")</f>
        <v/>
      </c>
      <c r="W36" s="39" t="str">
        <f>IFERROR(INDEX(Calculations!$DR$2:$DR$200,MATCH(B36,Calculations!$B$2:$B$200,0)),"")</f>
        <v/>
      </c>
    </row>
    <row r="37" spans="1:23" ht="15.75" thickBot="1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P37" s="33" t="str">
        <f t="shared" si="3"/>
        <v/>
      </c>
      <c r="Q37" s="38" t="str">
        <f t="shared" si="4"/>
        <v/>
      </c>
      <c r="R37" s="44" t="str">
        <f t="shared" si="5"/>
        <v/>
      </c>
      <c r="S37" s="36" t="str">
        <f>IFERROR(INDEX(Calculations!$DP$2:$DP$200,MATCH(B37,Calculations!$B$2:$B$200,0)),"")</f>
        <v/>
      </c>
      <c r="T37" s="46" t="str">
        <f>IFERROR(INDEX(Calculations!$DO$2:$DO$200,MATCH(B37,Calculations!$B$2:$B$200,0)),"")</f>
        <v/>
      </c>
      <c r="U37" s="38" t="str">
        <f>IFERROR(INDEX(Calculations!$Z$2:$Z$200,MATCH(B37,Calculations!$B$2:$B$200,0)),"")</f>
        <v/>
      </c>
      <c r="V37" s="37" t="str">
        <f>IFERROR(INDEX(Calculations!$DQ$2:$DQ$200,MATCH(B37,Calculations!$B$2:$B$200,0)),"")</f>
        <v/>
      </c>
      <c r="W37" s="39" t="str">
        <f>IFERROR(INDEX(Calculations!$DR$2:$DR$200,MATCH(B37,Calculations!$B$2:$B$200,0)),"")</f>
        <v/>
      </c>
    </row>
    <row r="38" spans="1:23" ht="15.75" thickBot="1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P38" s="33" t="str">
        <f t="shared" si="3"/>
        <v/>
      </c>
      <c r="Q38" s="38" t="str">
        <f t="shared" si="4"/>
        <v/>
      </c>
      <c r="R38" s="44" t="str">
        <f t="shared" si="5"/>
        <v/>
      </c>
      <c r="S38" s="36" t="str">
        <f>IFERROR(INDEX(Calculations!$DP$2:$DP$200,MATCH(B38,Calculations!$B$2:$B$200,0)),"")</f>
        <v/>
      </c>
      <c r="T38" s="46" t="str">
        <f>IFERROR(INDEX(Calculations!$DO$2:$DO$200,MATCH(B38,Calculations!$B$2:$B$200,0)),"")</f>
        <v/>
      </c>
      <c r="U38" s="38" t="str">
        <f>IFERROR(INDEX(Calculations!$Z$2:$Z$200,MATCH(B38,Calculations!$B$2:$B$200,0)),"")</f>
        <v/>
      </c>
      <c r="V38" s="37" t="str">
        <f>IFERROR(INDEX(Calculations!$DQ$2:$DQ$200,MATCH(B38,Calculations!$B$2:$B$200,0)),"")</f>
        <v/>
      </c>
      <c r="W38" s="39" t="str">
        <f>IFERROR(INDEX(Calculations!$DR$2:$DR$200,MATCH(B38,Calculations!$B$2:$B$200,0)),"")</f>
        <v/>
      </c>
    </row>
    <row r="39" spans="1:23" ht="15.75" thickBot="1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P39" s="33" t="str">
        <f t="shared" si="3"/>
        <v/>
      </c>
      <c r="Q39" s="38" t="str">
        <f t="shared" si="4"/>
        <v/>
      </c>
      <c r="R39" s="44" t="str">
        <f t="shared" si="5"/>
        <v/>
      </c>
      <c r="S39" s="36" t="str">
        <f>IFERROR(INDEX(Calculations!$DP$2:$DP$200,MATCH(B39,Calculations!$B$2:$B$200,0)),"")</f>
        <v/>
      </c>
      <c r="T39" s="46" t="str">
        <f>IFERROR(INDEX(Calculations!$DO$2:$DO$200,MATCH(B39,Calculations!$B$2:$B$200,0)),"")</f>
        <v/>
      </c>
      <c r="U39" s="38" t="str">
        <f>IFERROR(INDEX(Calculations!$Z$2:$Z$200,MATCH(B39,Calculations!$B$2:$B$200,0)),"")</f>
        <v/>
      </c>
      <c r="V39" s="37" t="str">
        <f>IFERROR(INDEX(Calculations!$DQ$2:$DQ$200,MATCH(B39,Calculations!$B$2:$B$200,0)),"")</f>
        <v/>
      </c>
      <c r="W39" s="39" t="str">
        <f>IFERROR(INDEX(Calculations!$DR$2:$DR$200,MATCH(B39,Calculations!$B$2:$B$200,0)),"")</f>
        <v/>
      </c>
    </row>
    <row r="40" spans="1:23" ht="15.75" thickBot="1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P40" s="33" t="str">
        <f t="shared" si="3"/>
        <v/>
      </c>
      <c r="Q40" s="38" t="str">
        <f t="shared" si="4"/>
        <v/>
      </c>
      <c r="R40" s="44" t="str">
        <f t="shared" si="5"/>
        <v/>
      </c>
      <c r="S40" s="36" t="str">
        <f>IFERROR(INDEX(Calculations!$DP$2:$DP$200,MATCH(B40,Calculations!$B$2:$B$200,0)),"")</f>
        <v/>
      </c>
      <c r="T40" s="46" t="str">
        <f>IFERROR(INDEX(Calculations!$DO$2:$DO$200,MATCH(B40,Calculations!$B$2:$B$200,0)),"")</f>
        <v/>
      </c>
      <c r="U40" s="38" t="str">
        <f>IFERROR(INDEX(Calculations!$Z$2:$Z$200,MATCH(B40,Calculations!$B$2:$B$200,0)),"")</f>
        <v/>
      </c>
      <c r="V40" s="37" t="str">
        <f>IFERROR(INDEX(Calculations!$DQ$2:$DQ$200,MATCH(B40,Calculations!$B$2:$B$200,0)),"")</f>
        <v/>
      </c>
      <c r="W40" s="39" t="str">
        <f>IFERROR(INDEX(Calculations!$DR$2:$DR$200,MATCH(B40,Calculations!$B$2:$B$200,0)),"")</f>
        <v/>
      </c>
    </row>
    <row r="41" spans="1:23" ht="15.75" thickBot="1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P41" s="33" t="str">
        <f t="shared" si="3"/>
        <v/>
      </c>
      <c r="Q41" s="38" t="str">
        <f t="shared" si="4"/>
        <v/>
      </c>
      <c r="R41" s="44" t="str">
        <f t="shared" si="5"/>
        <v/>
      </c>
      <c r="S41" s="36" t="str">
        <f>IFERROR(INDEX(Calculations!$DP$2:$DP$200,MATCH(B41,Calculations!$B$2:$B$200,0)),"")</f>
        <v/>
      </c>
      <c r="T41" s="46" t="str">
        <f>IFERROR(INDEX(Calculations!$DO$2:$DO$200,MATCH(B41,Calculations!$B$2:$B$200,0)),"")</f>
        <v/>
      </c>
      <c r="U41" s="38" t="str">
        <f>IFERROR(INDEX(Calculations!$Z$2:$Z$200,MATCH(B41,Calculations!$B$2:$B$200,0)),"")</f>
        <v/>
      </c>
      <c r="V41" s="37" t="str">
        <f>IFERROR(INDEX(Calculations!$DQ$2:$DQ$200,MATCH(B41,Calculations!$B$2:$B$200,0)),"")</f>
        <v/>
      </c>
      <c r="W41" s="39" t="str">
        <f>IFERROR(INDEX(Calculations!$DR$2:$DR$200,MATCH(B41,Calculations!$B$2:$B$200,0)),"")</f>
        <v/>
      </c>
    </row>
    <row r="42" spans="1:23" ht="15.75" thickBot="1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P42" s="33" t="str">
        <f t="shared" si="3"/>
        <v/>
      </c>
      <c r="Q42" s="38" t="str">
        <f t="shared" si="4"/>
        <v/>
      </c>
      <c r="R42" s="44" t="str">
        <f t="shared" si="5"/>
        <v/>
      </c>
      <c r="S42" s="36" t="str">
        <f>IFERROR(INDEX(Calculations!$DP$2:$DP$200,MATCH(B42,Calculations!$B$2:$B$200,0)),"")</f>
        <v/>
      </c>
      <c r="T42" s="46" t="str">
        <f>IFERROR(INDEX(Calculations!$DO$2:$DO$200,MATCH(B42,Calculations!$B$2:$B$200,0)),"")</f>
        <v/>
      </c>
      <c r="U42" s="38" t="str">
        <f>IFERROR(INDEX(Calculations!$Z$2:$Z$200,MATCH(B42,Calculations!$B$2:$B$200,0)),"")</f>
        <v/>
      </c>
      <c r="V42" s="37" t="str">
        <f>IFERROR(INDEX(Calculations!$DQ$2:$DQ$200,MATCH(B42,Calculations!$B$2:$B$200,0)),"")</f>
        <v/>
      </c>
      <c r="W42" s="39" t="str">
        <f>IFERROR(INDEX(Calculations!$DR$2:$DR$200,MATCH(B42,Calculations!$B$2:$B$200,0)),"")</f>
        <v/>
      </c>
    </row>
    <row r="43" spans="1:23" ht="15.75" thickBot="1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P43" s="33" t="str">
        <f t="shared" si="3"/>
        <v/>
      </c>
      <c r="Q43" s="38" t="str">
        <f t="shared" si="4"/>
        <v/>
      </c>
      <c r="R43" s="44" t="str">
        <f t="shared" si="5"/>
        <v/>
      </c>
      <c r="S43" s="36" t="str">
        <f>IFERROR(INDEX(Calculations!$DP$2:$DP$200,MATCH(B43,Calculations!$B$2:$B$200,0)),"")</f>
        <v/>
      </c>
      <c r="T43" s="46" t="str">
        <f>IFERROR(INDEX(Calculations!$DO$2:$DO$200,MATCH(B43,Calculations!$B$2:$B$200,0)),"")</f>
        <v/>
      </c>
      <c r="U43" s="38" t="str">
        <f>IFERROR(INDEX(Calculations!$Z$2:$Z$200,MATCH(B43,Calculations!$B$2:$B$200,0)),"")</f>
        <v/>
      </c>
      <c r="V43" s="37" t="str">
        <f>IFERROR(INDEX(Calculations!$DQ$2:$DQ$200,MATCH(B43,Calculations!$B$2:$B$200,0)),"")</f>
        <v/>
      </c>
      <c r="W43" s="39" t="str">
        <f>IFERROR(INDEX(Calculations!$DR$2:$DR$200,MATCH(B43,Calculations!$B$2:$B$200,0)),"")</f>
        <v/>
      </c>
    </row>
    <row r="44" spans="1:23" ht="15.75" thickBot="1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P44" s="33" t="str">
        <f t="shared" si="3"/>
        <v/>
      </c>
      <c r="Q44" s="38" t="str">
        <f t="shared" si="4"/>
        <v/>
      </c>
      <c r="R44" s="44" t="str">
        <f t="shared" si="5"/>
        <v/>
      </c>
      <c r="S44" s="36" t="str">
        <f>IFERROR(INDEX(Calculations!$DP$2:$DP$200,MATCH(B44,Calculations!$B$2:$B$200,0)),"")</f>
        <v/>
      </c>
      <c r="T44" s="46" t="str">
        <f>IFERROR(INDEX(Calculations!$DO$2:$DO$200,MATCH(B44,Calculations!$B$2:$B$200,0)),"")</f>
        <v/>
      </c>
      <c r="U44" s="38" t="str">
        <f>IFERROR(INDEX(Calculations!$Z$2:$Z$200,MATCH(B44,Calculations!$B$2:$B$200,0)),"")</f>
        <v/>
      </c>
      <c r="V44" s="37" t="str">
        <f>IFERROR(INDEX(Calculations!$DQ$2:$DQ$200,MATCH(B44,Calculations!$B$2:$B$200,0)),"")</f>
        <v/>
      </c>
      <c r="W44" s="39" t="str">
        <f>IFERROR(INDEX(Calculations!$DR$2:$DR$200,MATCH(B44,Calculations!$B$2:$B$200,0)),"")</f>
        <v/>
      </c>
    </row>
    <row r="45" spans="1:23" ht="15.75" thickBot="1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P45" s="33" t="str">
        <f t="shared" si="3"/>
        <v/>
      </c>
      <c r="Q45" s="38" t="str">
        <f t="shared" si="4"/>
        <v/>
      </c>
      <c r="R45" s="44" t="str">
        <f t="shared" si="5"/>
        <v/>
      </c>
      <c r="S45" s="36" t="str">
        <f>IFERROR(INDEX(Calculations!$DP$2:$DP$200,MATCH(B45,Calculations!$B$2:$B$200,0)),"")</f>
        <v/>
      </c>
      <c r="T45" s="46" t="str">
        <f>IFERROR(INDEX(Calculations!$DO$2:$DO$200,MATCH(B45,Calculations!$B$2:$B$200,0)),"")</f>
        <v/>
      </c>
      <c r="U45" s="38" t="str">
        <f>IFERROR(INDEX(Calculations!$Z$2:$Z$200,MATCH(B45,Calculations!$B$2:$B$200,0)),"")</f>
        <v/>
      </c>
      <c r="V45" s="37" t="str">
        <f>IFERROR(INDEX(Calculations!$DQ$2:$DQ$200,MATCH(B45,Calculations!$B$2:$B$200,0)),"")</f>
        <v/>
      </c>
      <c r="W45" s="39" t="str">
        <f>IFERROR(INDEX(Calculations!$DR$2:$DR$200,MATCH(B45,Calculations!$B$2:$B$200,0)),"")</f>
        <v/>
      </c>
    </row>
    <row r="46" spans="1:23" ht="15.75" thickBot="1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P46" s="33" t="str">
        <f t="shared" si="3"/>
        <v/>
      </c>
      <c r="Q46" s="38" t="str">
        <f t="shared" si="4"/>
        <v/>
      </c>
      <c r="R46" s="44" t="str">
        <f t="shared" si="5"/>
        <v/>
      </c>
      <c r="S46" s="36" t="str">
        <f>IFERROR(INDEX(Calculations!$DP$2:$DP$200,MATCH(B46,Calculations!$B$2:$B$200,0)),"")</f>
        <v/>
      </c>
      <c r="T46" s="46" t="str">
        <f>IFERROR(INDEX(Calculations!$DO$2:$DO$200,MATCH(B46,Calculations!$B$2:$B$200,0)),"")</f>
        <v/>
      </c>
      <c r="U46" s="38" t="str">
        <f>IFERROR(INDEX(Calculations!$Z$2:$Z$200,MATCH(B46,Calculations!$B$2:$B$200,0)),"")</f>
        <v/>
      </c>
      <c r="V46" s="37" t="str">
        <f>IFERROR(INDEX(Calculations!$DQ$2:$DQ$200,MATCH(B46,Calculations!$B$2:$B$200,0)),"")</f>
        <v/>
      </c>
      <c r="W46" s="39" t="str">
        <f>IFERROR(INDEX(Calculations!$DR$2:$DR$200,MATCH(B46,Calculations!$B$2:$B$200,0)),"")</f>
        <v/>
      </c>
    </row>
    <row r="47" spans="1:23" ht="15.75" thickBot="1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P47" s="33" t="str">
        <f t="shared" si="3"/>
        <v/>
      </c>
      <c r="Q47" s="38" t="str">
        <f t="shared" si="4"/>
        <v/>
      </c>
      <c r="R47" s="44" t="str">
        <f t="shared" si="5"/>
        <v/>
      </c>
      <c r="S47" s="36" t="str">
        <f>IFERROR(INDEX(Calculations!$DP$2:$DP$200,MATCH(B47,Calculations!$B$2:$B$200,0)),"")</f>
        <v/>
      </c>
      <c r="T47" s="46" t="str">
        <f>IFERROR(INDEX(Calculations!$DO$2:$DO$200,MATCH(B47,Calculations!$B$2:$B$200,0)),"")</f>
        <v/>
      </c>
      <c r="U47" s="38" t="str">
        <f>IFERROR(INDEX(Calculations!$Z$2:$Z$200,MATCH(B47,Calculations!$B$2:$B$200,0)),"")</f>
        <v/>
      </c>
      <c r="V47" s="37" t="str">
        <f>IFERROR(INDEX(Calculations!$DQ$2:$DQ$200,MATCH(B47,Calculations!$B$2:$B$200,0)),"")</f>
        <v/>
      </c>
      <c r="W47" s="39" t="str">
        <f>IFERROR(INDEX(Calculations!$DR$2:$DR$200,MATCH(B47,Calculations!$B$2:$B$200,0)),"")</f>
        <v/>
      </c>
    </row>
    <row r="48" spans="1:23" ht="15.75" thickBo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P48" s="33" t="str">
        <f t="shared" si="3"/>
        <v/>
      </c>
      <c r="Q48" s="38" t="str">
        <f t="shared" si="4"/>
        <v/>
      </c>
      <c r="R48" s="44" t="str">
        <f t="shared" si="5"/>
        <v/>
      </c>
      <c r="S48" s="36" t="str">
        <f>IFERROR(INDEX(Calculations!$DP$2:$DP$200,MATCH(B48,Calculations!$B$2:$B$200,0)),"")</f>
        <v/>
      </c>
      <c r="T48" s="46" t="str">
        <f>IFERROR(INDEX(Calculations!$DO$2:$DO$200,MATCH(B48,Calculations!$B$2:$B$200,0)),"")</f>
        <v/>
      </c>
      <c r="U48" s="38" t="str">
        <f>IFERROR(INDEX(Calculations!$Z$2:$Z$200,MATCH(B48,Calculations!$B$2:$B$200,0)),"")</f>
        <v/>
      </c>
      <c r="V48" s="37" t="str">
        <f>IFERROR(INDEX(Calculations!$DQ$2:$DQ$200,MATCH(B48,Calculations!$B$2:$B$200,0)),"")</f>
        <v/>
      </c>
      <c r="W48" s="39" t="str">
        <f>IFERROR(INDEX(Calculations!$DR$2:$DR$200,MATCH(B48,Calculations!$B$2:$B$200,0)),"")</f>
        <v/>
      </c>
    </row>
    <row r="49" spans="1:23" ht="15.75" thickBot="1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P49" s="33" t="str">
        <f t="shared" si="3"/>
        <v/>
      </c>
      <c r="Q49" s="38" t="str">
        <f t="shared" si="4"/>
        <v/>
      </c>
      <c r="R49" s="44" t="str">
        <f t="shared" si="5"/>
        <v/>
      </c>
      <c r="S49" s="36" t="str">
        <f>IFERROR(INDEX(Calculations!$DP$2:$DP$200,MATCH(B49,Calculations!$B$2:$B$200,0)),"")</f>
        <v/>
      </c>
      <c r="T49" s="46" t="str">
        <f>IFERROR(INDEX(Calculations!$DO$2:$DO$200,MATCH(B49,Calculations!$B$2:$B$200,0)),"")</f>
        <v/>
      </c>
      <c r="U49" s="38" t="str">
        <f>IFERROR(INDEX(Calculations!$Z$2:$Z$200,MATCH(B49,Calculations!$B$2:$B$200,0)),"")</f>
        <v/>
      </c>
      <c r="V49" s="37" t="str">
        <f>IFERROR(INDEX(Calculations!$DQ$2:$DQ$200,MATCH(B49,Calculations!$B$2:$B$200,0)),"")</f>
        <v/>
      </c>
      <c r="W49" s="39" t="str">
        <f>IFERROR(INDEX(Calculations!$DR$2:$DR$200,MATCH(B49,Calculations!$B$2:$B$200,0)),"")</f>
        <v/>
      </c>
    </row>
    <row r="50" spans="1:23" ht="15.75" thickBo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P50" s="33" t="str">
        <f t="shared" si="3"/>
        <v/>
      </c>
      <c r="Q50" s="38" t="str">
        <f t="shared" si="4"/>
        <v/>
      </c>
      <c r="R50" s="44" t="str">
        <f t="shared" si="5"/>
        <v/>
      </c>
      <c r="S50" s="36" t="str">
        <f>IFERROR(INDEX(Calculations!$DP$2:$DP$200,MATCH(B50,Calculations!$B$2:$B$200,0)),"")</f>
        <v/>
      </c>
      <c r="T50" s="46" t="str">
        <f>IFERROR(INDEX(Calculations!$DO$2:$DO$200,MATCH(B50,Calculations!$B$2:$B$200,0)),"")</f>
        <v/>
      </c>
      <c r="U50" s="38" t="str">
        <f>IFERROR(INDEX(Calculations!$Z$2:$Z$200,MATCH(B50,Calculations!$B$2:$B$200,0)),"")</f>
        <v/>
      </c>
      <c r="V50" s="37" t="str">
        <f>IFERROR(INDEX(Calculations!$DQ$2:$DQ$200,MATCH(B50,Calculations!$B$2:$B$200,0)),"")</f>
        <v/>
      </c>
      <c r="W50" s="39" t="str">
        <f>IFERROR(INDEX(Calculations!$DR$2:$DR$200,MATCH(B50,Calculations!$B$2:$B$200,0)),"")</f>
        <v/>
      </c>
    </row>
    <row r="51" spans="1:23" ht="15.75" thickBot="1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P51" s="33" t="str">
        <f t="shared" si="3"/>
        <v/>
      </c>
      <c r="Q51" s="38" t="str">
        <f t="shared" si="4"/>
        <v/>
      </c>
      <c r="R51" s="44" t="str">
        <f t="shared" si="5"/>
        <v/>
      </c>
      <c r="S51" s="36" t="str">
        <f>IFERROR(INDEX(Calculations!$DP$2:$DP$200,MATCH(B51,Calculations!$B$2:$B$200,0)),"")</f>
        <v/>
      </c>
      <c r="T51" s="46" t="str">
        <f>IFERROR(INDEX(Calculations!$DO$2:$DO$200,MATCH(B51,Calculations!$B$2:$B$200,0)),"")</f>
        <v/>
      </c>
      <c r="U51" s="38" t="str">
        <f>IFERROR(INDEX(Calculations!$Z$2:$Z$200,MATCH(B51,Calculations!$B$2:$B$200,0)),"")</f>
        <v/>
      </c>
      <c r="V51" s="37" t="str">
        <f>IFERROR(INDEX(Calculations!$DQ$2:$DQ$200,MATCH(B51,Calculations!$B$2:$B$200,0)),"")</f>
        <v/>
      </c>
      <c r="W51" s="39" t="str">
        <f>IFERROR(INDEX(Calculations!$DR$2:$DR$200,MATCH(B51,Calculations!$B$2:$B$200,0)),"")</f>
        <v/>
      </c>
    </row>
    <row r="52" spans="1:23" ht="15.75" thickBo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P52" s="33" t="str">
        <f t="shared" si="3"/>
        <v/>
      </c>
      <c r="Q52" s="38" t="str">
        <f t="shared" si="4"/>
        <v/>
      </c>
      <c r="R52" s="44" t="str">
        <f t="shared" si="5"/>
        <v/>
      </c>
      <c r="S52" s="36" t="str">
        <f>IFERROR(INDEX(Calculations!$DP$2:$DP$200,MATCH(B52,Calculations!$B$2:$B$200,0)),"")</f>
        <v/>
      </c>
      <c r="T52" s="46" t="str">
        <f>IFERROR(INDEX(Calculations!$DO$2:$DO$200,MATCH(B52,Calculations!$B$2:$B$200,0)),"")</f>
        <v/>
      </c>
      <c r="U52" s="38" t="str">
        <f>IFERROR(INDEX(Calculations!$Z$2:$Z$200,MATCH(B52,Calculations!$B$2:$B$200,0)),"")</f>
        <v/>
      </c>
      <c r="V52" s="37" t="str">
        <f>IFERROR(INDEX(Calculations!$DQ$2:$DQ$200,MATCH(B52,Calculations!$B$2:$B$200,0)),"")</f>
        <v/>
      </c>
      <c r="W52" s="39" t="str">
        <f>IFERROR(INDEX(Calculations!$DR$2:$DR$200,MATCH(B52,Calculations!$B$2:$B$200,0)),"")</f>
        <v/>
      </c>
    </row>
    <row r="53" spans="1:23" ht="15.75" thickBot="1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P53" s="33" t="str">
        <f t="shared" si="3"/>
        <v/>
      </c>
      <c r="Q53" s="38" t="str">
        <f t="shared" si="4"/>
        <v/>
      </c>
      <c r="R53" s="44" t="str">
        <f t="shared" si="5"/>
        <v/>
      </c>
      <c r="S53" s="36" t="str">
        <f>IFERROR(INDEX(Calculations!$DP$2:$DP$200,MATCH(B53,Calculations!$B$2:$B$200,0)),"")</f>
        <v/>
      </c>
      <c r="T53" s="46" t="str">
        <f>IFERROR(INDEX(Calculations!$DO$2:$DO$200,MATCH(B53,Calculations!$B$2:$B$200,0)),"")</f>
        <v/>
      </c>
      <c r="U53" s="38" t="str">
        <f>IFERROR(INDEX(Calculations!$Z$2:$Z$200,MATCH(B53,Calculations!$B$2:$B$200,0)),"")</f>
        <v/>
      </c>
      <c r="V53" s="37" t="str">
        <f>IFERROR(INDEX(Calculations!$DQ$2:$DQ$200,MATCH(B53,Calculations!$B$2:$B$200,0)),"")</f>
        <v/>
      </c>
      <c r="W53" s="39" t="str">
        <f>IFERROR(INDEX(Calculations!$DR$2:$DR$200,MATCH(B53,Calculations!$B$2:$B$200,0)),"")</f>
        <v/>
      </c>
    </row>
    <row r="54" spans="1:23" ht="15.75" thickBo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P54" s="33" t="str">
        <f t="shared" si="3"/>
        <v/>
      </c>
      <c r="Q54" s="38" t="str">
        <f t="shared" si="4"/>
        <v/>
      </c>
      <c r="R54" s="44" t="str">
        <f t="shared" si="5"/>
        <v/>
      </c>
      <c r="S54" s="36" t="str">
        <f>IFERROR(INDEX(Calculations!$DP$2:$DP$200,MATCH(B54,Calculations!$B$2:$B$200,0)),"")</f>
        <v/>
      </c>
      <c r="T54" s="46" t="str">
        <f>IFERROR(INDEX(Calculations!$DO$2:$DO$200,MATCH(B54,Calculations!$B$2:$B$200,0)),"")</f>
        <v/>
      </c>
      <c r="U54" s="38" t="str">
        <f>IFERROR(INDEX(Calculations!$Z$2:$Z$200,MATCH(B54,Calculations!$B$2:$B$200,0)),"")</f>
        <v/>
      </c>
      <c r="V54" s="37" t="str">
        <f>IFERROR(INDEX(Calculations!$DQ$2:$DQ$200,MATCH(B54,Calculations!$B$2:$B$200,0)),"")</f>
        <v/>
      </c>
      <c r="W54" s="39" t="str">
        <f>IFERROR(INDEX(Calculations!$DR$2:$DR$200,MATCH(B54,Calculations!$B$2:$B$200,0)),"")</f>
        <v/>
      </c>
    </row>
    <row r="55" spans="1:23" ht="15.75" thickBot="1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P55" s="33" t="str">
        <f t="shared" si="3"/>
        <v/>
      </c>
      <c r="Q55" s="38" t="str">
        <f t="shared" si="4"/>
        <v/>
      </c>
      <c r="R55" s="44" t="str">
        <f t="shared" si="5"/>
        <v/>
      </c>
      <c r="S55" s="36" t="str">
        <f>IFERROR(INDEX(Calculations!$DP$2:$DP$200,MATCH(B55,Calculations!$B$2:$B$200,0)),"")</f>
        <v/>
      </c>
      <c r="T55" s="46" t="str">
        <f>IFERROR(INDEX(Calculations!$DO$2:$DO$200,MATCH(B55,Calculations!$B$2:$B$200,0)),"")</f>
        <v/>
      </c>
      <c r="U55" s="38" t="str">
        <f>IFERROR(INDEX(Calculations!$Z$2:$Z$200,MATCH(B55,Calculations!$B$2:$B$200,0)),"")</f>
        <v/>
      </c>
      <c r="V55" s="37" t="str">
        <f>IFERROR(INDEX(Calculations!$DQ$2:$DQ$200,MATCH(B55,Calculations!$B$2:$B$200,0)),"")</f>
        <v/>
      </c>
      <c r="W55" s="39" t="str">
        <f>IFERROR(INDEX(Calculations!$DR$2:$DR$200,MATCH(B55,Calculations!$B$2:$B$200,0)),"")</f>
        <v/>
      </c>
    </row>
    <row r="56" spans="1:23" ht="15.75" thickBo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P56" s="33" t="str">
        <f t="shared" si="3"/>
        <v/>
      </c>
      <c r="Q56" s="38" t="str">
        <f t="shared" si="4"/>
        <v/>
      </c>
      <c r="R56" s="44" t="str">
        <f t="shared" si="5"/>
        <v/>
      </c>
      <c r="S56" s="36" t="str">
        <f>IFERROR(INDEX(Calculations!$DP$2:$DP$200,MATCH(B56,Calculations!$B$2:$B$200,0)),"")</f>
        <v/>
      </c>
      <c r="T56" s="46" t="str">
        <f>IFERROR(INDEX(Calculations!$DO$2:$DO$200,MATCH(B56,Calculations!$B$2:$B$200,0)),"")</f>
        <v/>
      </c>
      <c r="U56" s="38" t="str">
        <f>IFERROR(INDEX(Calculations!$Z$2:$Z$200,MATCH(B56,Calculations!$B$2:$B$200,0)),"")</f>
        <v/>
      </c>
      <c r="V56" s="37" t="str">
        <f>IFERROR(INDEX(Calculations!$DQ$2:$DQ$200,MATCH(B56,Calculations!$B$2:$B$200,0)),"")</f>
        <v/>
      </c>
      <c r="W56" s="39" t="str">
        <f>IFERROR(INDEX(Calculations!$DR$2:$DR$200,MATCH(B56,Calculations!$B$2:$B$200,0)),"")</f>
        <v/>
      </c>
    </row>
    <row r="57" spans="1:23" ht="15.75" thickBot="1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P57" s="33" t="str">
        <f t="shared" si="3"/>
        <v/>
      </c>
      <c r="Q57" s="38" t="str">
        <f t="shared" si="4"/>
        <v/>
      </c>
      <c r="R57" s="44" t="str">
        <f t="shared" si="5"/>
        <v/>
      </c>
      <c r="S57" s="36" t="str">
        <f>IFERROR(INDEX(Calculations!$DP$2:$DP$200,MATCH(B57,Calculations!$B$2:$B$200,0)),"")</f>
        <v/>
      </c>
      <c r="T57" s="46" t="str">
        <f>IFERROR(INDEX(Calculations!$DO$2:$DO$200,MATCH(B57,Calculations!$B$2:$B$200,0)),"")</f>
        <v/>
      </c>
      <c r="U57" s="38" t="str">
        <f>IFERROR(INDEX(Calculations!$Z$2:$Z$200,MATCH(B57,Calculations!$B$2:$B$200,0)),"")</f>
        <v/>
      </c>
      <c r="V57" s="37" t="str">
        <f>IFERROR(INDEX(Calculations!$DQ$2:$DQ$200,MATCH(B57,Calculations!$B$2:$B$200,0)),"")</f>
        <v/>
      </c>
      <c r="W57" s="39" t="str">
        <f>IFERROR(INDEX(Calculations!$DR$2:$DR$200,MATCH(B57,Calculations!$B$2:$B$200,0)),"")</f>
        <v/>
      </c>
    </row>
    <row r="58" spans="1:23" ht="15.75" thickBo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P58" s="33" t="str">
        <f t="shared" si="3"/>
        <v/>
      </c>
      <c r="Q58" s="38" t="str">
        <f t="shared" si="4"/>
        <v/>
      </c>
      <c r="R58" s="44" t="str">
        <f t="shared" si="5"/>
        <v/>
      </c>
      <c r="S58" s="36" t="str">
        <f>IFERROR(INDEX(Calculations!$DP$2:$DP$200,MATCH(B58,Calculations!$B$2:$B$200,0)),"")</f>
        <v/>
      </c>
      <c r="T58" s="46" t="str">
        <f>IFERROR(INDEX(Calculations!$DO$2:$DO$200,MATCH(B58,Calculations!$B$2:$B$200,0)),"")</f>
        <v/>
      </c>
      <c r="U58" s="38" t="str">
        <f>IFERROR(INDEX(Calculations!$Z$2:$Z$200,MATCH(B58,Calculations!$B$2:$B$200,0)),"")</f>
        <v/>
      </c>
      <c r="V58" s="37" t="str">
        <f>IFERROR(INDEX(Calculations!$DQ$2:$DQ$200,MATCH(B58,Calculations!$B$2:$B$200,0)),"")</f>
        <v/>
      </c>
      <c r="W58" s="39" t="str">
        <f>IFERROR(INDEX(Calculations!$DR$2:$DR$200,MATCH(B58,Calculations!$B$2:$B$200,0)),"")</f>
        <v/>
      </c>
    </row>
    <row r="59" spans="1:23" ht="15.75" thickBot="1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P59" s="33" t="str">
        <f t="shared" si="3"/>
        <v/>
      </c>
      <c r="Q59" s="38" t="str">
        <f t="shared" si="4"/>
        <v/>
      </c>
      <c r="R59" s="44" t="str">
        <f t="shared" si="5"/>
        <v/>
      </c>
      <c r="S59" s="36" t="str">
        <f>IFERROR(INDEX(Calculations!$DP$2:$DP$200,MATCH(B59,Calculations!$B$2:$B$200,0)),"")</f>
        <v/>
      </c>
      <c r="T59" s="46" t="str">
        <f>IFERROR(INDEX(Calculations!$DO$2:$DO$200,MATCH(B59,Calculations!$B$2:$B$200,0)),"")</f>
        <v/>
      </c>
      <c r="U59" s="38" t="str">
        <f>IFERROR(INDEX(Calculations!$Z$2:$Z$200,MATCH(B59,Calculations!$B$2:$B$200,0)),"")</f>
        <v/>
      </c>
      <c r="V59" s="37" t="str">
        <f>IFERROR(INDEX(Calculations!$DQ$2:$DQ$200,MATCH(B59,Calculations!$B$2:$B$200,0)),"")</f>
        <v/>
      </c>
      <c r="W59" s="39" t="str">
        <f>IFERROR(INDEX(Calculations!$DR$2:$DR$200,MATCH(B59,Calculations!$B$2:$B$200,0)),"")</f>
        <v/>
      </c>
    </row>
    <row r="60" spans="1:23" ht="15.75" thickBo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P60" s="33" t="str">
        <f t="shared" si="3"/>
        <v/>
      </c>
      <c r="Q60" s="38" t="str">
        <f t="shared" si="4"/>
        <v/>
      </c>
      <c r="R60" s="44" t="str">
        <f t="shared" si="5"/>
        <v/>
      </c>
      <c r="S60" s="36" t="str">
        <f>IFERROR(INDEX(Calculations!$DP$2:$DP$200,MATCH(B60,Calculations!$B$2:$B$200,0)),"")</f>
        <v/>
      </c>
      <c r="T60" s="46" t="str">
        <f>IFERROR(INDEX(Calculations!$DO$2:$DO$200,MATCH(B60,Calculations!$B$2:$B$200,0)),"")</f>
        <v/>
      </c>
      <c r="U60" s="38" t="str">
        <f>IFERROR(INDEX(Calculations!$Z$2:$Z$200,MATCH(B60,Calculations!$B$2:$B$200,0)),"")</f>
        <v/>
      </c>
      <c r="V60" s="37" t="str">
        <f>IFERROR(INDEX(Calculations!$DQ$2:$DQ$200,MATCH(B60,Calculations!$B$2:$B$200,0)),"")</f>
        <v/>
      </c>
      <c r="W60" s="39" t="str">
        <f>IFERROR(INDEX(Calculations!$DR$2:$DR$200,MATCH(B60,Calculations!$B$2:$B$200,0)),"")</f>
        <v/>
      </c>
    </row>
    <row r="61" spans="1:23" ht="15.75" thickBot="1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P61" s="33" t="str">
        <f t="shared" si="3"/>
        <v/>
      </c>
      <c r="Q61" s="38" t="str">
        <f t="shared" si="4"/>
        <v/>
      </c>
      <c r="R61" s="44" t="str">
        <f t="shared" si="5"/>
        <v/>
      </c>
      <c r="S61" s="36" t="str">
        <f>IFERROR(INDEX(Calculations!$DP$2:$DP$200,MATCH(B61,Calculations!$B$2:$B$200,0)),"")</f>
        <v/>
      </c>
      <c r="T61" s="46" t="str">
        <f>IFERROR(INDEX(Calculations!$DO$2:$DO$200,MATCH(B61,Calculations!$B$2:$B$200,0)),"")</f>
        <v/>
      </c>
      <c r="U61" s="38" t="str">
        <f>IFERROR(INDEX(Calculations!$Z$2:$Z$200,MATCH(B61,Calculations!$B$2:$B$200,0)),"")</f>
        <v/>
      </c>
      <c r="V61" s="37" t="str">
        <f>IFERROR(INDEX(Calculations!$DQ$2:$DQ$200,MATCH(B61,Calculations!$B$2:$B$200,0)),"")</f>
        <v/>
      </c>
      <c r="W61" s="39" t="str">
        <f>IFERROR(INDEX(Calculations!$DR$2:$DR$200,MATCH(B61,Calculations!$B$2:$B$200,0)),"")</f>
        <v/>
      </c>
    </row>
    <row r="62" spans="1:23" ht="15.75" thickBo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P62" s="33" t="str">
        <f t="shared" si="3"/>
        <v/>
      </c>
      <c r="Q62" s="38" t="str">
        <f t="shared" si="4"/>
        <v/>
      </c>
      <c r="R62" s="44" t="str">
        <f t="shared" si="5"/>
        <v/>
      </c>
      <c r="S62" s="36" t="str">
        <f>IFERROR(INDEX(Calculations!$DP$2:$DP$200,MATCH(B62,Calculations!$B$2:$B$200,0)),"")</f>
        <v/>
      </c>
      <c r="T62" s="46" t="str">
        <f>IFERROR(INDEX(Calculations!$DO$2:$DO$200,MATCH(B62,Calculations!$B$2:$B$200,0)),"")</f>
        <v/>
      </c>
      <c r="U62" s="38" t="str">
        <f>IFERROR(INDEX(Calculations!$Z$2:$Z$200,MATCH(B62,Calculations!$B$2:$B$200,0)),"")</f>
        <v/>
      </c>
      <c r="V62" s="37" t="str">
        <f>IFERROR(INDEX(Calculations!$DQ$2:$DQ$200,MATCH(B62,Calculations!$B$2:$B$200,0)),"")</f>
        <v/>
      </c>
      <c r="W62" s="39" t="str">
        <f>IFERROR(INDEX(Calculations!$DR$2:$DR$200,MATCH(B62,Calculations!$B$2:$B$200,0)),"")</f>
        <v/>
      </c>
    </row>
    <row r="63" spans="1:23" ht="15.75" thickBot="1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P63" s="33" t="str">
        <f t="shared" si="3"/>
        <v/>
      </c>
      <c r="Q63" s="38" t="str">
        <f t="shared" si="4"/>
        <v/>
      </c>
      <c r="R63" s="44" t="str">
        <f t="shared" si="5"/>
        <v/>
      </c>
      <c r="S63" s="36" t="str">
        <f>IFERROR(INDEX(Calculations!$DP$2:$DP$200,MATCH(B63,Calculations!$B$2:$B$200,0)),"")</f>
        <v/>
      </c>
      <c r="T63" s="46" t="str">
        <f>IFERROR(INDEX(Calculations!$DO$2:$DO$200,MATCH(B63,Calculations!$B$2:$B$200,0)),"")</f>
        <v/>
      </c>
      <c r="U63" s="38" t="str">
        <f>IFERROR(INDEX(Calculations!$Z$2:$Z$200,MATCH(B63,Calculations!$B$2:$B$200,0)),"")</f>
        <v/>
      </c>
      <c r="V63" s="37" t="str">
        <f>IFERROR(INDEX(Calculations!$DQ$2:$DQ$200,MATCH(B63,Calculations!$B$2:$B$200,0)),"")</f>
        <v/>
      </c>
      <c r="W63" s="39" t="str">
        <f>IFERROR(INDEX(Calculations!$DR$2:$DR$200,MATCH(B63,Calculations!$B$2:$B$200,0)),"")</f>
        <v/>
      </c>
    </row>
    <row r="64" spans="1:23" ht="15.75" thickBo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P64" s="33" t="str">
        <f t="shared" si="3"/>
        <v/>
      </c>
      <c r="Q64" s="38" t="str">
        <f t="shared" si="4"/>
        <v/>
      </c>
      <c r="R64" s="44" t="str">
        <f t="shared" si="5"/>
        <v/>
      </c>
      <c r="S64" s="36" t="str">
        <f>IFERROR(INDEX(Calculations!$DP$2:$DP$200,MATCH(B64,Calculations!$B$2:$B$200,0)),"")</f>
        <v/>
      </c>
      <c r="T64" s="46" t="str">
        <f>IFERROR(INDEX(Calculations!$DO$2:$DO$200,MATCH(B64,Calculations!$B$2:$B$200,0)),"")</f>
        <v/>
      </c>
      <c r="U64" s="38" t="str">
        <f>IFERROR(INDEX(Calculations!$Z$2:$Z$200,MATCH(B64,Calculations!$B$2:$B$200,0)),"")</f>
        <v/>
      </c>
      <c r="V64" s="37" t="str">
        <f>IFERROR(INDEX(Calculations!$DQ$2:$DQ$200,MATCH(B64,Calculations!$B$2:$B$200,0)),"")</f>
        <v/>
      </c>
      <c r="W64" s="39" t="str">
        <f>IFERROR(INDEX(Calculations!$DR$2:$DR$200,MATCH(B64,Calculations!$B$2:$B$200,0)),"")</f>
        <v/>
      </c>
    </row>
    <row r="65" spans="1:23" ht="15.75" thickBot="1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P65" s="33" t="str">
        <f t="shared" si="3"/>
        <v/>
      </c>
      <c r="Q65" s="38" t="str">
        <f t="shared" si="4"/>
        <v/>
      </c>
      <c r="R65" s="44" t="str">
        <f t="shared" si="5"/>
        <v/>
      </c>
      <c r="S65" s="36" t="str">
        <f>IFERROR(INDEX(Calculations!$DP$2:$DP$200,MATCH(B65,Calculations!$B$2:$B$200,0)),"")</f>
        <v/>
      </c>
      <c r="T65" s="46" t="str">
        <f>IFERROR(INDEX(Calculations!$DO$2:$DO$200,MATCH(B65,Calculations!$B$2:$B$200,0)),"")</f>
        <v/>
      </c>
      <c r="U65" s="38" t="str">
        <f>IFERROR(INDEX(Calculations!$Z$2:$Z$200,MATCH(B65,Calculations!$B$2:$B$200,0)),"")</f>
        <v/>
      </c>
      <c r="V65" s="37" t="str">
        <f>IFERROR(INDEX(Calculations!$DQ$2:$DQ$200,MATCH(B65,Calculations!$B$2:$B$200,0)),"")</f>
        <v/>
      </c>
      <c r="W65" s="39" t="str">
        <f>IFERROR(INDEX(Calculations!$DR$2:$DR$200,MATCH(B65,Calculations!$B$2:$B$200,0)),"")</f>
        <v/>
      </c>
    </row>
    <row r="66" spans="1:23" ht="15.75" thickBo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P66" s="33" t="str">
        <f t="shared" ref="P66:P80" si="6">IF(ISBLANK(A66),"",K66)</f>
        <v/>
      </c>
      <c r="Q66" s="38" t="str">
        <f t="shared" ref="Q66:Q97" si="7">IF(ISBLANK(A66),"",B66)</f>
        <v/>
      </c>
      <c r="R66" s="44" t="str">
        <f t="shared" ref="R66:R97" si="8">IF(ISBLANK(A66),"",C66)</f>
        <v/>
      </c>
      <c r="S66" s="36" t="str">
        <f>IFERROR(INDEX(Calculations!$DP$2:$DP$200,MATCH(B66,Calculations!$B$2:$B$200,0)),"")</f>
        <v/>
      </c>
      <c r="T66" s="46" t="str">
        <f>IFERROR(INDEX(Calculations!$DO$2:$DO$200,MATCH(B66,Calculations!$B$2:$B$200,0)),"")</f>
        <v/>
      </c>
      <c r="U66" s="38" t="str">
        <f>IFERROR(INDEX(Calculations!$Z$2:$Z$200,MATCH(B66,Calculations!$B$2:$B$200,0)),"")</f>
        <v/>
      </c>
      <c r="V66" s="37" t="str">
        <f>IFERROR(INDEX(Calculations!$DQ$2:$DQ$200,MATCH(B66,Calculations!$B$2:$B$200,0)),"")</f>
        <v/>
      </c>
      <c r="W66" s="39" t="str">
        <f>IFERROR(INDEX(Calculations!$DR$2:$DR$200,MATCH(B66,Calculations!$B$2:$B$200,0)),"")</f>
        <v/>
      </c>
    </row>
    <row r="67" spans="1:23" ht="15.75" thickBot="1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P67" s="33" t="str">
        <f t="shared" si="6"/>
        <v/>
      </c>
      <c r="Q67" s="38" t="str">
        <f t="shared" si="7"/>
        <v/>
      </c>
      <c r="R67" s="44" t="str">
        <f t="shared" si="8"/>
        <v/>
      </c>
      <c r="S67" s="36" t="str">
        <f>IFERROR(INDEX(Calculations!$DP$2:$DP$200,MATCH(B67,Calculations!$B$2:$B$200,0)),"")</f>
        <v/>
      </c>
      <c r="T67" s="46" t="str">
        <f>IFERROR(INDEX(Calculations!$DO$2:$DO$200,MATCH(B67,Calculations!$B$2:$B$200,0)),"")</f>
        <v/>
      </c>
      <c r="U67" s="38" t="str">
        <f>IFERROR(INDEX(Calculations!$Z$2:$Z$200,MATCH(B67,Calculations!$B$2:$B$200,0)),"")</f>
        <v/>
      </c>
      <c r="V67" s="37" t="str">
        <f>IFERROR(INDEX(Calculations!$DQ$2:$DQ$200,MATCH(B67,Calculations!$B$2:$B$200,0)),"")</f>
        <v/>
      </c>
      <c r="W67" s="39" t="str">
        <f>IFERROR(INDEX(Calculations!$DR$2:$DR$200,MATCH(B67,Calculations!$B$2:$B$200,0)),"")</f>
        <v/>
      </c>
    </row>
    <row r="68" spans="1:23" ht="15.75" thickBot="1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P68" s="33" t="str">
        <f t="shared" si="6"/>
        <v/>
      </c>
      <c r="Q68" s="38" t="str">
        <f t="shared" si="7"/>
        <v/>
      </c>
      <c r="R68" s="44" t="str">
        <f t="shared" si="8"/>
        <v/>
      </c>
      <c r="S68" s="36" t="str">
        <f>IFERROR(INDEX(Calculations!$DP$2:$DP$200,MATCH(B68,Calculations!$B$2:$B$200,0)),"")</f>
        <v/>
      </c>
      <c r="T68" s="46" t="str">
        <f>IFERROR(INDEX(Calculations!$DO$2:$DO$200,MATCH(B68,Calculations!$B$2:$B$200,0)),"")</f>
        <v/>
      </c>
      <c r="U68" s="38" t="str">
        <f>IFERROR(INDEX(Calculations!$Z$2:$Z$200,MATCH(B68,Calculations!$B$2:$B$200,0)),"")</f>
        <v/>
      </c>
      <c r="V68" s="37" t="str">
        <f>IFERROR(INDEX(Calculations!$DQ$2:$DQ$200,MATCH(B68,Calculations!$B$2:$B$200,0)),"")</f>
        <v/>
      </c>
      <c r="W68" s="39" t="str">
        <f>IFERROR(INDEX(Calculations!$DR$2:$DR$200,MATCH(B68,Calculations!$B$2:$B$200,0)),"")</f>
        <v/>
      </c>
    </row>
    <row r="69" spans="1:23" ht="15.75" thickBot="1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P69" s="33" t="str">
        <f t="shared" si="6"/>
        <v/>
      </c>
      <c r="Q69" s="38" t="str">
        <f t="shared" si="7"/>
        <v/>
      </c>
      <c r="R69" s="44" t="str">
        <f t="shared" si="8"/>
        <v/>
      </c>
      <c r="S69" s="36" t="str">
        <f>IFERROR(INDEX(Calculations!$DP$2:$DP$200,MATCH(B69,Calculations!$B$2:$B$200,0)),"")</f>
        <v/>
      </c>
      <c r="T69" s="46" t="str">
        <f>IFERROR(INDEX(Calculations!$DO$2:$DO$200,MATCH(B69,Calculations!$B$2:$B$200,0)),"")</f>
        <v/>
      </c>
      <c r="U69" s="38" t="str">
        <f>IFERROR(INDEX(Calculations!$Z$2:$Z$200,MATCH(B69,Calculations!$B$2:$B$200,0)),"")</f>
        <v/>
      </c>
      <c r="V69" s="37" t="str">
        <f>IFERROR(INDEX(Calculations!$DQ$2:$DQ$200,MATCH(B69,Calculations!$B$2:$B$200,0)),"")</f>
        <v/>
      </c>
      <c r="W69" s="39" t="str">
        <f>IFERROR(INDEX(Calculations!$DR$2:$DR$200,MATCH(B69,Calculations!$B$2:$B$200,0)),"")</f>
        <v/>
      </c>
    </row>
    <row r="70" spans="1:23" ht="15.75" thickBot="1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P70" s="33" t="str">
        <f t="shared" si="6"/>
        <v/>
      </c>
      <c r="Q70" s="38" t="str">
        <f t="shared" si="7"/>
        <v/>
      </c>
      <c r="R70" s="44" t="str">
        <f t="shared" si="8"/>
        <v/>
      </c>
      <c r="S70" s="36" t="str">
        <f>IFERROR(INDEX(Calculations!$DP$2:$DP$200,MATCH(B70,Calculations!$B$2:$B$200,0)),"")</f>
        <v/>
      </c>
      <c r="T70" s="46" t="str">
        <f>IFERROR(INDEX(Calculations!$DO$2:$DO$200,MATCH(B70,Calculations!$B$2:$B$200,0)),"")</f>
        <v/>
      </c>
      <c r="U70" s="38" t="str">
        <f>IFERROR(INDEX(Calculations!$Z$2:$Z$200,MATCH(B70,Calculations!$B$2:$B$200,0)),"")</f>
        <v/>
      </c>
      <c r="V70" s="37" t="str">
        <f>IFERROR(INDEX(Calculations!$DQ$2:$DQ$200,MATCH(B70,Calculations!$B$2:$B$200,0)),"")</f>
        <v/>
      </c>
      <c r="W70" s="39" t="str">
        <f>IFERROR(INDEX(Calculations!$DR$2:$DR$200,MATCH(B70,Calculations!$B$2:$B$200,0)),"")</f>
        <v/>
      </c>
    </row>
    <row r="71" spans="1:23" ht="15.75" thickBot="1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P71" s="33" t="str">
        <f t="shared" si="6"/>
        <v/>
      </c>
      <c r="Q71" s="38" t="str">
        <f t="shared" si="7"/>
        <v/>
      </c>
      <c r="R71" s="44" t="str">
        <f t="shared" si="8"/>
        <v/>
      </c>
      <c r="S71" s="36" t="str">
        <f>IFERROR(INDEX(Calculations!$DP$2:$DP$200,MATCH(B71,Calculations!$B$2:$B$200,0)),"")</f>
        <v/>
      </c>
      <c r="T71" s="46" t="str">
        <f>IFERROR(INDEX(Calculations!$DO$2:$DO$200,MATCH(B71,Calculations!$B$2:$B$200,0)),"")</f>
        <v/>
      </c>
      <c r="U71" s="38" t="str">
        <f>IFERROR(INDEX(Calculations!$Z$2:$Z$200,MATCH(B71,Calculations!$B$2:$B$200,0)),"")</f>
        <v/>
      </c>
      <c r="V71" s="37" t="str">
        <f>IFERROR(INDEX(Calculations!$DQ$2:$DQ$200,MATCH(B71,Calculations!$B$2:$B$200,0)),"")</f>
        <v/>
      </c>
      <c r="W71" s="39" t="str">
        <f>IFERROR(INDEX(Calculations!$DR$2:$DR$200,MATCH(B71,Calculations!$B$2:$B$200,0)),"")</f>
        <v/>
      </c>
    </row>
    <row r="72" spans="1:23" ht="15.75" thickBot="1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P72" s="33" t="str">
        <f t="shared" si="6"/>
        <v/>
      </c>
      <c r="Q72" s="38" t="str">
        <f t="shared" si="7"/>
        <v/>
      </c>
      <c r="R72" s="44" t="str">
        <f t="shared" si="8"/>
        <v/>
      </c>
      <c r="S72" s="36" t="str">
        <f>IFERROR(INDEX(Calculations!$DP$2:$DP$200,MATCH(B72,Calculations!$B$2:$B$200,0)),"")</f>
        <v/>
      </c>
      <c r="T72" s="46" t="str">
        <f>IFERROR(INDEX(Calculations!$DO$2:$DO$200,MATCH(B72,Calculations!$B$2:$B$200,0)),"")</f>
        <v/>
      </c>
      <c r="U72" s="38" t="str">
        <f>IFERROR(INDEX(Calculations!$Z$2:$Z$200,MATCH(B72,Calculations!$B$2:$B$200,0)),"")</f>
        <v/>
      </c>
      <c r="V72" s="37" t="str">
        <f>IFERROR(INDEX(Calculations!$DQ$2:$DQ$200,MATCH(B72,Calculations!$B$2:$B$200,0)),"")</f>
        <v/>
      </c>
      <c r="W72" s="39" t="str">
        <f>IFERROR(INDEX(Calculations!$DR$2:$DR$200,MATCH(B72,Calculations!$B$2:$B$200,0)),"")</f>
        <v/>
      </c>
    </row>
    <row r="73" spans="1:23" ht="15.75" thickBot="1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P73" s="33" t="str">
        <f t="shared" si="6"/>
        <v/>
      </c>
      <c r="Q73" s="38" t="str">
        <f t="shared" si="7"/>
        <v/>
      </c>
      <c r="R73" s="44" t="str">
        <f t="shared" si="8"/>
        <v/>
      </c>
      <c r="S73" s="36" t="str">
        <f>IFERROR(INDEX(Calculations!$DP$2:$DP$200,MATCH(B73,Calculations!$B$2:$B$200,0)),"")</f>
        <v/>
      </c>
      <c r="T73" s="46" t="str">
        <f>IFERROR(INDEX(Calculations!$DO$2:$DO$200,MATCH(B73,Calculations!$B$2:$B$200,0)),"")</f>
        <v/>
      </c>
      <c r="U73" s="38" t="str">
        <f>IFERROR(INDEX(Calculations!$Z$2:$Z$200,MATCH(B73,Calculations!$B$2:$B$200,0)),"")</f>
        <v/>
      </c>
      <c r="V73" s="37" t="str">
        <f>IFERROR(INDEX(Calculations!$DQ$2:$DQ$200,MATCH(B73,Calculations!$B$2:$B$200,0)),"")</f>
        <v/>
      </c>
      <c r="W73" s="39" t="str">
        <f>IFERROR(INDEX(Calculations!$DR$2:$DR$200,MATCH(B73,Calculations!$B$2:$B$200,0)),"")</f>
        <v/>
      </c>
    </row>
    <row r="74" spans="1:23" ht="15.75" thickBot="1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P74" s="33" t="str">
        <f t="shared" si="6"/>
        <v/>
      </c>
      <c r="Q74" s="38" t="str">
        <f t="shared" si="7"/>
        <v/>
      </c>
      <c r="R74" s="44" t="str">
        <f t="shared" si="8"/>
        <v/>
      </c>
      <c r="S74" s="36" t="str">
        <f>IFERROR(INDEX(Calculations!$DP$2:$DP$200,MATCH(B74,Calculations!$B$2:$B$200,0)),"")</f>
        <v/>
      </c>
      <c r="T74" s="46" t="str">
        <f>IFERROR(INDEX(Calculations!$DO$2:$DO$200,MATCH(B74,Calculations!$B$2:$B$200,0)),"")</f>
        <v/>
      </c>
      <c r="U74" s="38" t="str">
        <f>IFERROR(INDEX(Calculations!$Z$2:$Z$200,MATCH(B74,Calculations!$B$2:$B$200,0)),"")</f>
        <v/>
      </c>
      <c r="V74" s="37" t="str">
        <f>IFERROR(INDEX(Calculations!$DQ$2:$DQ$200,MATCH(B74,Calculations!$B$2:$B$200,0)),"")</f>
        <v/>
      </c>
      <c r="W74" s="39" t="str">
        <f>IFERROR(INDEX(Calculations!$DR$2:$DR$200,MATCH(B74,Calculations!$B$2:$B$200,0)),"")</f>
        <v/>
      </c>
    </row>
    <row r="75" spans="1:23" ht="15.75" thickBot="1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P75" s="33" t="str">
        <f t="shared" si="6"/>
        <v/>
      </c>
      <c r="Q75" s="38" t="str">
        <f t="shared" si="7"/>
        <v/>
      </c>
      <c r="R75" s="44" t="str">
        <f t="shared" si="8"/>
        <v/>
      </c>
      <c r="S75" s="36" t="str">
        <f>IFERROR(INDEX(Calculations!$DP$2:$DP$200,MATCH(B75,Calculations!$B$2:$B$200,0)),"")</f>
        <v/>
      </c>
      <c r="T75" s="46" t="str">
        <f>IFERROR(INDEX(Calculations!$DO$2:$DO$200,MATCH(B75,Calculations!$B$2:$B$200,0)),"")</f>
        <v/>
      </c>
      <c r="U75" s="38" t="str">
        <f>IFERROR(INDEX(Calculations!$Z$2:$Z$200,MATCH(B75,Calculations!$B$2:$B$200,0)),"")</f>
        <v/>
      </c>
      <c r="V75" s="37" t="str">
        <f>IFERROR(INDEX(Calculations!$DQ$2:$DQ$200,MATCH(B75,Calculations!$B$2:$B$200,0)),"")</f>
        <v/>
      </c>
      <c r="W75" s="39" t="str">
        <f>IFERROR(INDEX(Calculations!$DR$2:$DR$200,MATCH(B75,Calculations!$B$2:$B$200,0)),"")</f>
        <v/>
      </c>
    </row>
    <row r="76" spans="1:23" ht="15.75" thickBot="1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P76" s="33" t="str">
        <f t="shared" si="6"/>
        <v/>
      </c>
      <c r="Q76" s="38" t="str">
        <f t="shared" si="7"/>
        <v/>
      </c>
      <c r="R76" s="44" t="str">
        <f t="shared" si="8"/>
        <v/>
      </c>
      <c r="S76" s="36" t="str">
        <f>IFERROR(INDEX(Calculations!$DP$2:$DP$200,MATCH(B76,Calculations!$B$2:$B$200,0)),"")</f>
        <v/>
      </c>
      <c r="T76" s="46" t="str">
        <f>IFERROR(INDEX(Calculations!$DO$2:$DO$200,MATCH(B76,Calculations!$B$2:$B$200,0)),"")</f>
        <v/>
      </c>
      <c r="U76" s="38" t="str">
        <f>IFERROR(INDEX(Calculations!$Z$2:$Z$200,MATCH(B76,Calculations!$B$2:$B$200,0)),"")</f>
        <v/>
      </c>
      <c r="V76" s="37" t="str">
        <f>IFERROR(INDEX(Calculations!$DQ$2:$DQ$200,MATCH(B76,Calculations!$B$2:$B$200,0)),"")</f>
        <v/>
      </c>
      <c r="W76" s="39" t="str">
        <f>IFERROR(INDEX(Calculations!$DR$2:$DR$200,MATCH(B76,Calculations!$B$2:$B$200,0)),"")</f>
        <v/>
      </c>
    </row>
    <row r="77" spans="1:23" ht="15.75" thickBot="1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P77" s="33" t="str">
        <f t="shared" si="6"/>
        <v/>
      </c>
      <c r="Q77" s="38" t="str">
        <f t="shared" si="7"/>
        <v/>
      </c>
      <c r="R77" s="44" t="str">
        <f t="shared" si="8"/>
        <v/>
      </c>
      <c r="S77" s="36" t="str">
        <f>IFERROR(INDEX(Calculations!$DP$2:$DP$200,MATCH(B77,Calculations!$B$2:$B$200,0)),"")</f>
        <v/>
      </c>
      <c r="T77" s="46" t="str">
        <f>IFERROR(INDEX(Calculations!$DO$2:$DO$200,MATCH(B77,Calculations!$B$2:$B$200,0)),"")</f>
        <v/>
      </c>
      <c r="U77" s="38" t="str">
        <f>IFERROR(INDEX(Calculations!$Z$2:$Z$200,MATCH(B77,Calculations!$B$2:$B$200,0)),"")</f>
        <v/>
      </c>
      <c r="V77" s="37" t="str">
        <f>IFERROR(INDEX(Calculations!$DQ$2:$DQ$200,MATCH(B77,Calculations!$B$2:$B$200,0)),"")</f>
        <v/>
      </c>
      <c r="W77" s="39" t="str">
        <f>IFERROR(INDEX(Calculations!$DR$2:$DR$200,MATCH(B77,Calculations!$B$2:$B$200,0)),"")</f>
        <v/>
      </c>
    </row>
    <row r="78" spans="1:23" ht="15.75" thickBot="1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P78" s="33" t="str">
        <f t="shared" si="6"/>
        <v/>
      </c>
      <c r="Q78" s="38" t="str">
        <f t="shared" si="7"/>
        <v/>
      </c>
      <c r="R78" s="44" t="str">
        <f t="shared" si="8"/>
        <v/>
      </c>
      <c r="S78" s="36" t="str">
        <f>IFERROR(INDEX(Calculations!$DP$2:$DP$200,MATCH(B78,Calculations!$B$2:$B$200,0)),"")</f>
        <v/>
      </c>
      <c r="T78" s="46" t="str">
        <f>IFERROR(INDEX(Calculations!$DO$2:$DO$200,MATCH(B78,Calculations!$B$2:$B$200,0)),"")</f>
        <v/>
      </c>
      <c r="U78" s="38" t="str">
        <f>IFERROR(INDEX(Calculations!$Z$2:$Z$200,MATCH(B78,Calculations!$B$2:$B$200,0)),"")</f>
        <v/>
      </c>
      <c r="V78" s="37" t="str">
        <f>IFERROR(INDEX(Calculations!$DQ$2:$DQ$200,MATCH(B78,Calculations!$B$2:$B$200,0)),"")</f>
        <v/>
      </c>
      <c r="W78" s="39" t="str">
        <f>IFERROR(INDEX(Calculations!$DR$2:$DR$200,MATCH(B78,Calculations!$B$2:$B$200,0)),"")</f>
        <v/>
      </c>
    </row>
    <row r="79" spans="1:23" ht="15.75" thickBot="1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P79" s="33" t="str">
        <f t="shared" si="6"/>
        <v/>
      </c>
      <c r="Q79" s="38" t="str">
        <f t="shared" si="7"/>
        <v/>
      </c>
      <c r="R79" s="44" t="str">
        <f t="shared" si="8"/>
        <v/>
      </c>
      <c r="S79" s="36" t="str">
        <f>IFERROR(INDEX(Calculations!$DP$2:$DP$200,MATCH(B79,Calculations!$B$2:$B$200,0)),"")</f>
        <v/>
      </c>
      <c r="T79" s="46" t="str">
        <f>IFERROR(INDEX(Calculations!$DO$2:$DO$200,MATCH(B79,Calculations!$B$2:$B$200,0)),"")</f>
        <v/>
      </c>
      <c r="U79" s="38" t="str">
        <f>IFERROR(INDEX(Calculations!$Z$2:$Z$200,MATCH(B79,Calculations!$B$2:$B$200,0)),"")</f>
        <v/>
      </c>
      <c r="V79" s="37" t="str">
        <f>IFERROR(INDEX(Calculations!$DQ$2:$DQ$200,MATCH(B79,Calculations!$B$2:$B$200,0)),"")</f>
        <v/>
      </c>
      <c r="W79" s="39" t="str">
        <f>IFERROR(INDEX(Calculations!$DR$2:$DR$200,MATCH(B79,Calculations!$B$2:$B$200,0)),"")</f>
        <v/>
      </c>
    </row>
    <row r="80" spans="1:23" ht="15.75" thickBot="1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P80" s="33" t="str">
        <f t="shared" si="6"/>
        <v/>
      </c>
      <c r="Q80" s="38" t="str">
        <f t="shared" si="7"/>
        <v/>
      </c>
      <c r="R80" s="44" t="str">
        <f t="shared" si="8"/>
        <v/>
      </c>
      <c r="S80" s="36" t="str">
        <f>IFERROR(INDEX(Calculations!$DP$2:$DP$200,MATCH(B80,Calculations!$B$2:$B$200,0)),"")</f>
        <v/>
      </c>
      <c r="T80" s="46" t="str">
        <f>IFERROR(INDEX(Calculations!$DO$2:$DO$200,MATCH(B80,Calculations!$B$2:$B$200,0)),"")</f>
        <v/>
      </c>
      <c r="U80" s="38" t="str">
        <f>IFERROR(INDEX(Calculations!$Z$2:$Z$200,MATCH(B80,Calculations!$B$2:$B$200,0)),"")</f>
        <v/>
      </c>
      <c r="V80" s="37" t="str">
        <f>IFERROR(INDEX(Calculations!$DQ$2:$DQ$200,MATCH(B80,Calculations!$B$2:$B$200,0)),"")</f>
        <v/>
      </c>
      <c r="W80" s="39" t="str">
        <f>IFERROR(INDEX(Calculations!$DR$2:$DR$200,MATCH(B80,Calculations!$B$2:$B$200,0)),"")</f>
        <v/>
      </c>
    </row>
    <row r="81" spans="1:23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P81" s="33" t="str">
        <f t="shared" ref="P81" si="9">IF(ISBLANK(A81),"",K81)</f>
        <v/>
      </c>
      <c r="Q81" s="33" t="str">
        <f t="shared" si="7"/>
        <v/>
      </c>
      <c r="R81" s="45" t="str">
        <f t="shared" si="8"/>
        <v/>
      </c>
      <c r="S81" s="1" t="str">
        <f>IFERROR(INDEX(Calculations!$DP$2:$DP$200,MATCH(B81,Calculations!$B$2:$B$200,0)),"")</f>
        <v/>
      </c>
      <c r="T81" s="47" t="str">
        <f>IFERROR(INDEX(Calculations!$DO$2:$DO$200,MATCH(B81,Calculations!$B$2:$B$200,0)),"")</f>
        <v/>
      </c>
      <c r="U81" s="33" t="str">
        <f>IFERROR(INDEX(Calculations!$Z$2:$Z$200,MATCH(B81,Calculations!$B$2:$B$200,0)),"")</f>
        <v/>
      </c>
      <c r="V81" s="11" t="str">
        <f>IFERROR(INDEX(Calculations!$DQ$2:$DQ$200,MATCH(B81,Calculations!$B$2:$B$200,0)),"")</f>
        <v/>
      </c>
      <c r="W81" s="15" t="str">
        <f>IFERROR(INDEX(Calculations!$DR$2:$DR$200,MATCH(B81,Calculations!$B$2:$B$200,0)),"")</f>
        <v/>
      </c>
    </row>
    <row r="82" spans="1:23">
      <c r="P82" s="33" t="str">
        <f t="shared" ref="P82:P130" si="10">IF(ISBLANK(A82),"",K82)</f>
        <v/>
      </c>
      <c r="Q82" s="33" t="str">
        <f t="shared" si="7"/>
        <v/>
      </c>
      <c r="R82" s="45" t="str">
        <f t="shared" si="8"/>
        <v/>
      </c>
      <c r="S82" s="1" t="str">
        <f>IFERROR(INDEX(Calculations!$DP$2:$DP$200,MATCH(B82,Calculations!$B$2:$B$200,0)),"")</f>
        <v/>
      </c>
      <c r="T82" s="47" t="str">
        <f>IFERROR(INDEX(Calculations!$DO$2:$DO$200,MATCH(B82,Calculations!$B$2:$B$200,0)),"")</f>
        <v/>
      </c>
      <c r="U82" s="33" t="str">
        <f>IFERROR(INDEX(Calculations!$Z$2:$Z$200,MATCH(B82,Calculations!$B$2:$B$200,0)),"")</f>
        <v/>
      </c>
      <c r="V82" s="11" t="str">
        <f>IFERROR(INDEX(Calculations!$DQ$2:$DQ$200,MATCH(B82,Calculations!$B$2:$B$200,0)),"")</f>
        <v/>
      </c>
      <c r="W82" s="15" t="str">
        <f>IFERROR(INDEX(Calculations!$DR$2:$DR$200,MATCH(B82,Calculations!$B$2:$B$200,0)),"")</f>
        <v/>
      </c>
    </row>
    <row r="83" spans="1:23">
      <c r="P83" s="33" t="str">
        <f t="shared" si="10"/>
        <v/>
      </c>
      <c r="Q83" s="33" t="str">
        <f t="shared" si="7"/>
        <v/>
      </c>
      <c r="R83" s="45" t="str">
        <f t="shared" si="8"/>
        <v/>
      </c>
      <c r="S83" s="1" t="str">
        <f>IFERROR(INDEX(Calculations!$DP$2:$DP$200,MATCH(B83,Calculations!$B$2:$B$200,0)),"")</f>
        <v/>
      </c>
      <c r="T83" s="47" t="str">
        <f>IFERROR(INDEX(Calculations!$DO$2:$DO$200,MATCH(B83,Calculations!$B$2:$B$200,0)),"")</f>
        <v/>
      </c>
      <c r="U83" s="33" t="str">
        <f>IFERROR(INDEX(Calculations!$Z$2:$Z$200,MATCH(B83,Calculations!$B$2:$B$200,0)),"")</f>
        <v/>
      </c>
      <c r="V83" s="11" t="str">
        <f>IFERROR(INDEX(Calculations!$DQ$2:$DQ$200,MATCH(B83,Calculations!$B$2:$B$200,0)),"")</f>
        <v/>
      </c>
      <c r="W83" s="15" t="str">
        <f>IFERROR(INDEX(Calculations!$DR$2:$DR$200,MATCH(B83,Calculations!$B$2:$B$200,0)),"")</f>
        <v/>
      </c>
    </row>
    <row r="84" spans="1:23">
      <c r="P84" s="33" t="str">
        <f t="shared" si="10"/>
        <v/>
      </c>
      <c r="Q84" s="33" t="str">
        <f t="shared" si="7"/>
        <v/>
      </c>
      <c r="R84" s="45" t="str">
        <f t="shared" si="8"/>
        <v/>
      </c>
      <c r="S84" s="1" t="str">
        <f>IFERROR(INDEX(Calculations!$DP$2:$DP$200,MATCH(B84,Calculations!$B$2:$B$200,0)),"")</f>
        <v/>
      </c>
      <c r="T84" s="47" t="str">
        <f>IFERROR(INDEX(Calculations!$DO$2:$DO$200,MATCH(B84,Calculations!$B$2:$B$200,0)),"")</f>
        <v/>
      </c>
      <c r="U84" s="33" t="str">
        <f>IFERROR(INDEX(Calculations!$Z$2:$Z$200,MATCH(B84,Calculations!$B$2:$B$200,0)),"")</f>
        <v/>
      </c>
      <c r="V84" s="11" t="str">
        <f>IFERROR(INDEX(Calculations!$DQ$2:$DQ$200,MATCH(B84,Calculations!$B$2:$B$200,0)),"")</f>
        <v/>
      </c>
      <c r="W84" s="15" t="str">
        <f>IFERROR(INDEX(Calculations!$DR$2:$DR$200,MATCH(B84,Calculations!$B$2:$B$200,0)),"")</f>
        <v/>
      </c>
    </row>
    <row r="85" spans="1:23">
      <c r="P85" s="33" t="str">
        <f t="shared" si="10"/>
        <v/>
      </c>
      <c r="Q85" s="33" t="str">
        <f t="shared" si="7"/>
        <v/>
      </c>
      <c r="R85" s="45" t="str">
        <f t="shared" si="8"/>
        <v/>
      </c>
      <c r="S85" s="1" t="str">
        <f>IFERROR(INDEX(Calculations!$DP$2:$DP$200,MATCH(B85,Calculations!$B$2:$B$200,0)),"")</f>
        <v/>
      </c>
      <c r="T85" s="47" t="str">
        <f>IFERROR(INDEX(Calculations!$DO$2:$DO$200,MATCH(B85,Calculations!$B$2:$B$200,0)),"")</f>
        <v/>
      </c>
      <c r="U85" s="33" t="str">
        <f>IFERROR(INDEX(Calculations!$Z$2:$Z$200,MATCH(B85,Calculations!$B$2:$B$200,0)),"")</f>
        <v/>
      </c>
      <c r="V85" s="11" t="str">
        <f>IFERROR(INDEX(Calculations!$DQ$2:$DQ$200,MATCH(B85,Calculations!$B$2:$B$200,0)),"")</f>
        <v/>
      </c>
      <c r="W85" s="15" t="str">
        <f>IFERROR(INDEX(Calculations!$DR$2:$DR$200,MATCH(B85,Calculations!$B$2:$B$200,0)),"")</f>
        <v/>
      </c>
    </row>
    <row r="86" spans="1:23">
      <c r="P86" s="33" t="str">
        <f t="shared" si="10"/>
        <v/>
      </c>
      <c r="Q86" s="33" t="str">
        <f t="shared" si="7"/>
        <v/>
      </c>
      <c r="R86" s="45" t="str">
        <f t="shared" si="8"/>
        <v/>
      </c>
      <c r="S86" s="1" t="str">
        <f>IFERROR(INDEX(Calculations!$DP$2:$DP$200,MATCH(B86,Calculations!$B$2:$B$200,0)),"")</f>
        <v/>
      </c>
      <c r="T86" s="47" t="str">
        <f>IFERROR(INDEX(Calculations!$DO$2:$DO$200,MATCH(B86,Calculations!$B$2:$B$200,0)),"")</f>
        <v/>
      </c>
      <c r="U86" s="33" t="str">
        <f>IFERROR(INDEX(Calculations!$Z$2:$Z$200,MATCH(B86,Calculations!$B$2:$B$200,0)),"")</f>
        <v/>
      </c>
      <c r="V86" s="11" t="str">
        <f>IFERROR(INDEX(Calculations!$DQ$2:$DQ$200,MATCH(B86,Calculations!$B$2:$B$200,0)),"")</f>
        <v/>
      </c>
      <c r="W86" s="15" t="str">
        <f>IFERROR(INDEX(Calculations!$DR$2:$DR$200,MATCH(B86,Calculations!$B$2:$B$200,0)),"")</f>
        <v/>
      </c>
    </row>
    <row r="87" spans="1:23">
      <c r="P87" s="33" t="str">
        <f t="shared" si="10"/>
        <v/>
      </c>
      <c r="Q87" s="33" t="str">
        <f t="shared" si="7"/>
        <v/>
      </c>
      <c r="R87" s="45" t="str">
        <f t="shared" si="8"/>
        <v/>
      </c>
      <c r="S87" s="1" t="str">
        <f>IFERROR(INDEX(Calculations!$DP$2:$DP$200,MATCH(B87,Calculations!$B$2:$B$200,0)),"")</f>
        <v/>
      </c>
      <c r="T87" s="47" t="str">
        <f>IFERROR(INDEX(Calculations!$DO$2:$DO$200,MATCH(B87,Calculations!$B$2:$B$200,0)),"")</f>
        <v/>
      </c>
      <c r="U87" s="33" t="str">
        <f>IFERROR(INDEX(Calculations!$Z$2:$Z$200,MATCH(B87,Calculations!$B$2:$B$200,0)),"")</f>
        <v/>
      </c>
      <c r="V87" s="11" t="str">
        <f>IFERROR(INDEX(Calculations!$DQ$2:$DQ$200,MATCH(B87,Calculations!$B$2:$B$200,0)),"")</f>
        <v/>
      </c>
      <c r="W87" s="15" t="str">
        <f>IFERROR(INDEX(Calculations!$DR$2:$DR$200,MATCH(B87,Calculations!$B$2:$B$200,0)),"")</f>
        <v/>
      </c>
    </row>
    <row r="88" spans="1:23">
      <c r="P88" s="33" t="str">
        <f t="shared" si="10"/>
        <v/>
      </c>
      <c r="Q88" s="33" t="str">
        <f t="shared" si="7"/>
        <v/>
      </c>
      <c r="R88" s="45" t="str">
        <f t="shared" si="8"/>
        <v/>
      </c>
      <c r="S88" s="1" t="str">
        <f>IFERROR(INDEX(Calculations!$DP$2:$DP$200,MATCH(B88,Calculations!$B$2:$B$200,0)),"")</f>
        <v/>
      </c>
      <c r="T88" s="47" t="str">
        <f>IFERROR(INDEX(Calculations!$DO$2:$DO$200,MATCH(B88,Calculations!$B$2:$B$200,0)),"")</f>
        <v/>
      </c>
      <c r="U88" s="33" t="str">
        <f>IFERROR(INDEX(Calculations!$Z$2:$Z$200,MATCH(B88,Calculations!$B$2:$B$200,0)),"")</f>
        <v/>
      </c>
      <c r="V88" s="11" t="str">
        <f>IFERROR(INDEX(Calculations!$DQ$2:$DQ$200,MATCH(B88,Calculations!$B$2:$B$200,0)),"")</f>
        <v/>
      </c>
      <c r="W88" s="15" t="str">
        <f>IFERROR(INDEX(Calculations!$DR$2:$DR$200,MATCH(B88,Calculations!$B$2:$B$200,0)),"")</f>
        <v/>
      </c>
    </row>
    <row r="89" spans="1:23">
      <c r="P89" s="33" t="str">
        <f t="shared" si="10"/>
        <v/>
      </c>
      <c r="Q89" s="33" t="str">
        <f t="shared" si="7"/>
        <v/>
      </c>
      <c r="R89" s="45" t="str">
        <f t="shared" si="8"/>
        <v/>
      </c>
      <c r="S89" s="1" t="str">
        <f>IFERROR(INDEX(Calculations!$DP$2:$DP$200,MATCH(B89,Calculations!$B$2:$B$200,0)),"")</f>
        <v/>
      </c>
      <c r="T89" s="47" t="str">
        <f>IFERROR(INDEX(Calculations!$DO$2:$DO$200,MATCH(B89,Calculations!$B$2:$B$200,0)),"")</f>
        <v/>
      </c>
      <c r="U89" s="33" t="str">
        <f>IFERROR(INDEX(Calculations!$Z$2:$Z$200,MATCH(B89,Calculations!$B$2:$B$200,0)),"")</f>
        <v/>
      </c>
      <c r="V89" s="11" t="str">
        <f>IFERROR(INDEX(Calculations!$DQ$2:$DQ$200,MATCH(B89,Calculations!$B$2:$B$200,0)),"")</f>
        <v/>
      </c>
      <c r="W89" s="15" t="str">
        <f>IFERROR(INDEX(Calculations!$DR$2:$DR$200,MATCH(B89,Calculations!$B$2:$B$200,0)),"")</f>
        <v/>
      </c>
    </row>
    <row r="90" spans="1:23">
      <c r="P90" s="33" t="str">
        <f t="shared" si="10"/>
        <v/>
      </c>
      <c r="Q90" s="33" t="str">
        <f t="shared" si="7"/>
        <v/>
      </c>
      <c r="R90" s="45" t="str">
        <f t="shared" si="8"/>
        <v/>
      </c>
      <c r="S90" s="1" t="str">
        <f>IFERROR(INDEX(Calculations!$DP$2:$DP$200,MATCH(B90,Calculations!$B$2:$B$200,0)),"")</f>
        <v/>
      </c>
      <c r="T90" s="47" t="str">
        <f>IFERROR(INDEX(Calculations!$DO$2:$DO$200,MATCH(B90,Calculations!$B$2:$B$200,0)),"")</f>
        <v/>
      </c>
      <c r="U90" s="33" t="str">
        <f>IFERROR(INDEX(Calculations!$Z$2:$Z$200,MATCH(B90,Calculations!$B$2:$B$200,0)),"")</f>
        <v/>
      </c>
      <c r="V90" s="11" t="str">
        <f>IFERROR(INDEX(Calculations!$DQ$2:$DQ$200,MATCH(B90,Calculations!$B$2:$B$200,0)),"")</f>
        <v/>
      </c>
      <c r="W90" s="15" t="str">
        <f>IFERROR(INDEX(Calculations!$DR$2:$DR$200,MATCH(B90,Calculations!$B$2:$B$200,0)),"")</f>
        <v/>
      </c>
    </row>
    <row r="91" spans="1:23">
      <c r="P91" s="33" t="str">
        <f t="shared" si="10"/>
        <v/>
      </c>
      <c r="Q91" s="33" t="str">
        <f t="shared" si="7"/>
        <v/>
      </c>
      <c r="R91" s="45" t="str">
        <f t="shared" si="8"/>
        <v/>
      </c>
      <c r="S91" s="1" t="str">
        <f>IFERROR(INDEX(Calculations!$DP$2:$DP$200,MATCH(B91,Calculations!$B$2:$B$200,0)),"")</f>
        <v/>
      </c>
      <c r="T91" s="47" t="str">
        <f>IFERROR(INDEX(Calculations!$DO$2:$DO$200,MATCH(B91,Calculations!$B$2:$B$200,0)),"")</f>
        <v/>
      </c>
      <c r="U91" s="33" t="str">
        <f>IFERROR(INDEX(Calculations!$Z$2:$Z$200,MATCH(B91,Calculations!$B$2:$B$200,0)),"")</f>
        <v/>
      </c>
      <c r="V91" s="11" t="str">
        <f>IFERROR(INDEX(Calculations!$DQ$2:$DQ$200,MATCH(B91,Calculations!$B$2:$B$200,0)),"")</f>
        <v/>
      </c>
      <c r="W91" s="15" t="str">
        <f>IFERROR(INDEX(Calculations!$DR$2:$DR$200,MATCH(B91,Calculations!$B$2:$B$200,0)),"")</f>
        <v/>
      </c>
    </row>
    <row r="92" spans="1:23">
      <c r="P92" s="33" t="str">
        <f t="shared" si="10"/>
        <v/>
      </c>
      <c r="Q92" s="33" t="str">
        <f t="shared" si="7"/>
        <v/>
      </c>
      <c r="R92" s="45" t="str">
        <f t="shared" si="8"/>
        <v/>
      </c>
      <c r="S92" s="1" t="str">
        <f>IFERROR(INDEX(Calculations!$DP$2:$DP$200,MATCH(B92,Calculations!$B$2:$B$200,0)),"")</f>
        <v/>
      </c>
      <c r="T92" s="47" t="str">
        <f>IFERROR(INDEX(Calculations!$DO$2:$DO$200,MATCH(B92,Calculations!$B$2:$B$200,0)),"")</f>
        <v/>
      </c>
      <c r="U92" s="33" t="str">
        <f>IFERROR(INDEX(Calculations!$Z$2:$Z$200,MATCH(B92,Calculations!$B$2:$B$200,0)),"")</f>
        <v/>
      </c>
      <c r="V92" s="11" t="str">
        <f>IFERROR(INDEX(Calculations!$DQ$2:$DQ$200,MATCH(B92,Calculations!$B$2:$B$200,0)),"")</f>
        <v/>
      </c>
      <c r="W92" s="15" t="str">
        <f>IFERROR(INDEX(Calculations!$DR$2:$DR$200,MATCH(B92,Calculations!$B$2:$B$200,0)),"")</f>
        <v/>
      </c>
    </row>
    <row r="93" spans="1:23">
      <c r="P93" s="33" t="str">
        <f t="shared" si="10"/>
        <v/>
      </c>
      <c r="Q93" s="33" t="str">
        <f t="shared" si="7"/>
        <v/>
      </c>
      <c r="R93" s="45" t="str">
        <f t="shared" si="8"/>
        <v/>
      </c>
      <c r="S93" s="1" t="str">
        <f>IFERROR(INDEX(Calculations!$DP$2:$DP$200,MATCH(B93,Calculations!$B$2:$B$200,0)),"")</f>
        <v/>
      </c>
      <c r="T93" s="47" t="str">
        <f>IFERROR(INDEX(Calculations!$DO$2:$DO$200,MATCH(B93,Calculations!$B$2:$B$200,0)),"")</f>
        <v/>
      </c>
      <c r="U93" s="33" t="str">
        <f>IFERROR(INDEX(Calculations!$Z$2:$Z$200,MATCH(B93,Calculations!$B$2:$B$200,0)),"")</f>
        <v/>
      </c>
      <c r="V93" s="11" t="str">
        <f>IFERROR(INDEX(Calculations!$DQ$2:$DQ$200,MATCH(B93,Calculations!$B$2:$B$200,0)),"")</f>
        <v/>
      </c>
      <c r="W93" s="15" t="str">
        <f>IFERROR(INDEX(Calculations!$DR$2:$DR$200,MATCH(B93,Calculations!$B$2:$B$200,0)),"")</f>
        <v/>
      </c>
    </row>
    <row r="94" spans="1:23">
      <c r="P94" s="33" t="str">
        <f t="shared" si="10"/>
        <v/>
      </c>
      <c r="Q94" s="33" t="str">
        <f t="shared" si="7"/>
        <v/>
      </c>
      <c r="R94" s="45" t="str">
        <f t="shared" si="8"/>
        <v/>
      </c>
      <c r="S94" s="1" t="str">
        <f>IFERROR(INDEX(Calculations!$DP$2:$DP$200,MATCH(B94,Calculations!$B$2:$B$200,0)),"")</f>
        <v/>
      </c>
      <c r="T94" s="47" t="str">
        <f>IFERROR(INDEX(Calculations!$DO$2:$DO$200,MATCH(B94,Calculations!$B$2:$B$200,0)),"")</f>
        <v/>
      </c>
      <c r="U94" s="33" t="str">
        <f>IFERROR(INDEX(Calculations!$Z$2:$Z$200,MATCH(B94,Calculations!$B$2:$B$200,0)),"")</f>
        <v/>
      </c>
      <c r="V94" s="11" t="str">
        <f>IFERROR(INDEX(Calculations!$DQ$2:$DQ$200,MATCH(B94,Calculations!$B$2:$B$200,0)),"")</f>
        <v/>
      </c>
      <c r="W94" s="15" t="str">
        <f>IFERROR(INDEX(Calculations!$DR$2:$DR$200,MATCH(B94,Calculations!$B$2:$B$200,0)),"")</f>
        <v/>
      </c>
    </row>
    <row r="95" spans="1:23">
      <c r="P95" s="33" t="str">
        <f t="shared" si="10"/>
        <v/>
      </c>
      <c r="Q95" s="33" t="str">
        <f t="shared" si="7"/>
        <v/>
      </c>
      <c r="R95" s="45" t="str">
        <f t="shared" si="8"/>
        <v/>
      </c>
      <c r="S95" s="1" t="str">
        <f>IFERROR(INDEX(Calculations!$DP$2:$DP$200,MATCH(B95,Calculations!$B$2:$B$200,0)),"")</f>
        <v/>
      </c>
      <c r="T95" s="47" t="str">
        <f>IFERROR(INDEX(Calculations!$DO$2:$DO$200,MATCH(B95,Calculations!$B$2:$B$200,0)),"")</f>
        <v/>
      </c>
      <c r="U95" s="33" t="str">
        <f>IFERROR(INDEX(Calculations!$Z$2:$Z$200,MATCH(B95,Calculations!$B$2:$B$200,0)),"")</f>
        <v/>
      </c>
      <c r="V95" s="11" t="str">
        <f>IFERROR(INDEX(Calculations!$DQ$2:$DQ$200,MATCH(B95,Calculations!$B$2:$B$200,0)),"")</f>
        <v/>
      </c>
      <c r="W95" s="15" t="str">
        <f>IFERROR(INDEX(Calculations!$DR$2:$DR$200,MATCH(B95,Calculations!$B$2:$B$200,0)),"")</f>
        <v/>
      </c>
    </row>
    <row r="96" spans="1:23">
      <c r="P96" s="33" t="str">
        <f t="shared" si="10"/>
        <v/>
      </c>
      <c r="Q96" s="33" t="str">
        <f t="shared" si="7"/>
        <v/>
      </c>
      <c r="R96" s="45" t="str">
        <f t="shared" si="8"/>
        <v/>
      </c>
      <c r="S96" s="1" t="str">
        <f>IFERROR(INDEX(Calculations!$DP$2:$DP$200,MATCH(B96,Calculations!$B$2:$B$200,0)),"")</f>
        <v/>
      </c>
      <c r="T96" s="47" t="str">
        <f>IFERROR(INDEX(Calculations!$DO$2:$DO$200,MATCH(B96,Calculations!$B$2:$B$200,0)),"")</f>
        <v/>
      </c>
      <c r="U96" s="33" t="str">
        <f>IFERROR(INDEX(Calculations!$Z$2:$Z$200,MATCH(B96,Calculations!$B$2:$B$200,0)),"")</f>
        <v/>
      </c>
      <c r="V96" s="11" t="str">
        <f>IFERROR(INDEX(Calculations!$DQ$2:$DQ$200,MATCH(B96,Calculations!$B$2:$B$200,0)),"")</f>
        <v/>
      </c>
      <c r="W96" s="15" t="str">
        <f>IFERROR(INDEX(Calculations!$DR$2:$DR$200,MATCH(B96,Calculations!$B$2:$B$200,0)),"")</f>
        <v/>
      </c>
    </row>
    <row r="97" spans="16:23">
      <c r="P97" s="33" t="str">
        <f t="shared" si="10"/>
        <v/>
      </c>
      <c r="Q97" s="33" t="str">
        <f t="shared" si="7"/>
        <v/>
      </c>
      <c r="R97" s="45" t="str">
        <f t="shared" si="8"/>
        <v/>
      </c>
      <c r="S97" s="1" t="str">
        <f>IFERROR(INDEX(Calculations!$DP$2:$DP$200,MATCH(B97,Calculations!$B$2:$B$200,0)),"")</f>
        <v/>
      </c>
      <c r="T97" s="47" t="str">
        <f>IFERROR(INDEX(Calculations!$DO$2:$DO$200,MATCH(B97,Calculations!$B$2:$B$200,0)),"")</f>
        <v/>
      </c>
      <c r="U97" s="33" t="str">
        <f>IFERROR(INDEX(Calculations!$Z$2:$Z$200,MATCH(B97,Calculations!$B$2:$B$200,0)),"")</f>
        <v/>
      </c>
      <c r="V97" s="11" t="str">
        <f>IFERROR(INDEX(Calculations!$DQ$2:$DQ$200,MATCH(B97,Calculations!$B$2:$B$200,0)),"")</f>
        <v/>
      </c>
      <c r="W97" s="15" t="str">
        <f>IFERROR(INDEX(Calculations!$DR$2:$DR$200,MATCH(B97,Calculations!$B$2:$B$200,0)),"")</f>
        <v/>
      </c>
    </row>
    <row r="98" spans="16:23">
      <c r="P98" s="33" t="str">
        <f t="shared" si="10"/>
        <v/>
      </c>
      <c r="Q98" s="33" t="str">
        <f t="shared" ref="Q98:Q129" si="11">IF(ISBLANK(A98),"",B98)</f>
        <v/>
      </c>
      <c r="R98" s="45" t="str">
        <f t="shared" ref="R98:R129" si="12">IF(ISBLANK(A98),"",C98)</f>
        <v/>
      </c>
      <c r="S98" s="1" t="str">
        <f>IFERROR(INDEX(Calculations!$DP$2:$DP$200,MATCH(B98,Calculations!$B$2:$B$200,0)),"")</f>
        <v/>
      </c>
      <c r="T98" s="47" t="str">
        <f>IFERROR(INDEX(Calculations!$DO$2:$DO$200,MATCH(B98,Calculations!$B$2:$B$200,0)),"")</f>
        <v/>
      </c>
      <c r="U98" s="33" t="str">
        <f>IFERROR(INDEX(Calculations!$Z$2:$Z$200,MATCH(B98,Calculations!$B$2:$B$200,0)),"")</f>
        <v/>
      </c>
      <c r="V98" s="11" t="str">
        <f>IFERROR(INDEX(Calculations!$DQ$2:$DQ$200,MATCH(B98,Calculations!$B$2:$B$200,0)),"")</f>
        <v/>
      </c>
      <c r="W98" s="15" t="str">
        <f>IFERROR(INDEX(Calculations!$DR$2:$DR$200,MATCH(B98,Calculations!$B$2:$B$200,0)),"")</f>
        <v/>
      </c>
    </row>
    <row r="99" spans="16:23">
      <c r="P99" s="33" t="str">
        <f t="shared" si="10"/>
        <v/>
      </c>
      <c r="Q99" s="33" t="str">
        <f t="shared" si="11"/>
        <v/>
      </c>
      <c r="R99" s="45" t="str">
        <f t="shared" si="12"/>
        <v/>
      </c>
      <c r="S99" s="1" t="str">
        <f>IFERROR(INDEX(Calculations!$DP$2:$DP$200,MATCH(B99,Calculations!$B$2:$B$200,0)),"")</f>
        <v/>
      </c>
      <c r="T99" s="47" t="str">
        <f>IFERROR(INDEX(Calculations!$DO$2:$DO$200,MATCH(B99,Calculations!$B$2:$B$200,0)),"")</f>
        <v/>
      </c>
      <c r="U99" s="33" t="str">
        <f>IFERROR(INDEX(Calculations!$Z$2:$Z$200,MATCH(B99,Calculations!$B$2:$B$200,0)),"")</f>
        <v/>
      </c>
      <c r="V99" s="11" t="str">
        <f>IFERROR(INDEX(Calculations!$DQ$2:$DQ$200,MATCH(B99,Calculations!$B$2:$B$200,0)),"")</f>
        <v/>
      </c>
      <c r="W99" s="15" t="str">
        <f>IFERROR(INDEX(Calculations!$DR$2:$DR$200,MATCH(B99,Calculations!$B$2:$B$200,0)),"")</f>
        <v/>
      </c>
    </row>
    <row r="100" spans="16:23">
      <c r="P100" s="33" t="str">
        <f t="shared" si="10"/>
        <v/>
      </c>
      <c r="Q100" s="33" t="str">
        <f t="shared" si="11"/>
        <v/>
      </c>
      <c r="R100" s="45" t="str">
        <f t="shared" si="12"/>
        <v/>
      </c>
      <c r="S100" s="1" t="str">
        <f>IFERROR(INDEX(Calculations!$DP$2:$DP$200,MATCH(B100,Calculations!$B$2:$B$200,0)),"")</f>
        <v/>
      </c>
      <c r="T100" s="47" t="str">
        <f>IFERROR(INDEX(Calculations!$DO$2:$DO$200,MATCH(B100,Calculations!$B$2:$B$200,0)),"")</f>
        <v/>
      </c>
      <c r="U100" s="33" t="str">
        <f>IFERROR(INDEX(Calculations!$Z$2:$Z$200,MATCH(B100,Calculations!$B$2:$B$200,0)),"")</f>
        <v/>
      </c>
      <c r="V100" s="11" t="str">
        <f>IFERROR(INDEX(Calculations!$DQ$2:$DQ$200,MATCH(B100,Calculations!$B$2:$B$200,0)),"")</f>
        <v/>
      </c>
      <c r="W100" s="15" t="str">
        <f>IFERROR(INDEX(Calculations!$DR$2:$DR$200,MATCH(B100,Calculations!$B$2:$B$200,0)),"")</f>
        <v/>
      </c>
    </row>
    <row r="101" spans="16:23">
      <c r="P101" s="33" t="str">
        <f t="shared" si="10"/>
        <v/>
      </c>
      <c r="Q101" s="33" t="str">
        <f t="shared" si="11"/>
        <v/>
      </c>
      <c r="R101" s="45" t="str">
        <f t="shared" si="12"/>
        <v/>
      </c>
      <c r="S101" s="1" t="str">
        <f>IFERROR(INDEX(Calculations!$DP$2:$DP$200,MATCH(B101,Calculations!$B$2:$B$200,0)),"")</f>
        <v/>
      </c>
      <c r="T101" s="47" t="str">
        <f>IFERROR(INDEX(Calculations!$DO$2:$DO$200,MATCH(B101,Calculations!$B$2:$B$200,0)),"")</f>
        <v/>
      </c>
      <c r="U101" s="33" t="str">
        <f>IFERROR(INDEX(Calculations!$Z$2:$Z$200,MATCH(B101,Calculations!$B$2:$B$200,0)),"")</f>
        <v/>
      </c>
      <c r="V101" s="11" t="str">
        <f>IFERROR(INDEX(Calculations!$DQ$2:$DQ$200,MATCH(B101,Calculations!$B$2:$B$200,0)),"")</f>
        <v/>
      </c>
      <c r="W101" s="15" t="str">
        <f>IFERROR(INDEX(Calculations!$DR$2:$DR$200,MATCH(B101,Calculations!$B$2:$B$200,0)),"")</f>
        <v/>
      </c>
    </row>
    <row r="102" spans="16:23">
      <c r="P102" s="33" t="str">
        <f t="shared" si="10"/>
        <v/>
      </c>
      <c r="Q102" s="33" t="str">
        <f t="shared" si="11"/>
        <v/>
      </c>
      <c r="R102" s="45" t="str">
        <f t="shared" si="12"/>
        <v/>
      </c>
      <c r="S102" s="1" t="str">
        <f>IFERROR(INDEX(Calculations!$DP$2:$DP$200,MATCH(B102,Calculations!$B$2:$B$200,0)),"")</f>
        <v/>
      </c>
      <c r="T102" s="47" t="str">
        <f>IFERROR(INDEX(Calculations!$DO$2:$DO$200,MATCH(B102,Calculations!$B$2:$B$200,0)),"")</f>
        <v/>
      </c>
      <c r="U102" s="33" t="str">
        <f>IFERROR(INDEX(Calculations!$Z$2:$Z$200,MATCH(B102,Calculations!$B$2:$B$200,0)),"")</f>
        <v/>
      </c>
      <c r="V102" s="11" t="str">
        <f>IFERROR(INDEX(Calculations!$DQ$2:$DQ$200,MATCH(B102,Calculations!$B$2:$B$200,0)),"")</f>
        <v/>
      </c>
      <c r="W102" s="15" t="str">
        <f>IFERROR(INDEX(Calculations!$DR$2:$DR$200,MATCH(B102,Calculations!$B$2:$B$200,0)),"")</f>
        <v/>
      </c>
    </row>
    <row r="103" spans="16:23">
      <c r="P103" s="33" t="str">
        <f t="shared" si="10"/>
        <v/>
      </c>
      <c r="Q103" s="33" t="str">
        <f t="shared" si="11"/>
        <v/>
      </c>
      <c r="R103" s="45" t="str">
        <f t="shared" si="12"/>
        <v/>
      </c>
      <c r="S103" s="1" t="str">
        <f>IFERROR(INDEX(Calculations!$DP$2:$DP$200,MATCH(B103,Calculations!$B$2:$B$200,0)),"")</f>
        <v/>
      </c>
      <c r="T103" s="47" t="str">
        <f>IFERROR(INDEX(Calculations!$DO$2:$DO$200,MATCH(B103,Calculations!$B$2:$B$200,0)),"")</f>
        <v/>
      </c>
      <c r="U103" s="33" t="str">
        <f>IFERROR(INDEX(Calculations!$Z$2:$Z$200,MATCH(B103,Calculations!$B$2:$B$200,0)),"")</f>
        <v/>
      </c>
      <c r="V103" s="11" t="str">
        <f>IFERROR(INDEX(Calculations!$DQ$2:$DQ$200,MATCH(B103,Calculations!$B$2:$B$200,0)),"")</f>
        <v/>
      </c>
      <c r="W103" s="15" t="str">
        <f>IFERROR(INDEX(Calculations!$DR$2:$DR$200,MATCH(B103,Calculations!$B$2:$B$200,0)),"")</f>
        <v/>
      </c>
    </row>
    <row r="104" spans="16:23">
      <c r="P104" s="33" t="str">
        <f t="shared" si="10"/>
        <v/>
      </c>
      <c r="Q104" s="33" t="str">
        <f t="shared" si="11"/>
        <v/>
      </c>
      <c r="R104" s="45" t="str">
        <f t="shared" si="12"/>
        <v/>
      </c>
      <c r="S104" s="1" t="str">
        <f>IFERROR(INDEX(Calculations!$DP$2:$DP$200,MATCH(B104,Calculations!$B$2:$B$200,0)),"")</f>
        <v/>
      </c>
      <c r="T104" s="47" t="str">
        <f>IFERROR(INDEX(Calculations!$DO$2:$DO$200,MATCH(B104,Calculations!$B$2:$B$200,0)),"")</f>
        <v/>
      </c>
      <c r="U104" s="33" t="str">
        <f>IFERROR(INDEX(Calculations!$Z$2:$Z$200,MATCH(B104,Calculations!$B$2:$B$200,0)),"")</f>
        <v/>
      </c>
      <c r="V104" s="11" t="str">
        <f>IFERROR(INDEX(Calculations!$DQ$2:$DQ$200,MATCH(B104,Calculations!$B$2:$B$200,0)),"")</f>
        <v/>
      </c>
      <c r="W104" s="15" t="str">
        <f>IFERROR(INDEX(Calculations!$DR$2:$DR$200,MATCH(B104,Calculations!$B$2:$B$200,0)),"")</f>
        <v/>
      </c>
    </row>
    <row r="105" spans="16:23">
      <c r="P105" s="33" t="str">
        <f t="shared" si="10"/>
        <v/>
      </c>
      <c r="Q105" s="33" t="str">
        <f t="shared" si="11"/>
        <v/>
      </c>
      <c r="R105" s="45" t="str">
        <f t="shared" si="12"/>
        <v/>
      </c>
      <c r="S105" s="1" t="str">
        <f>IFERROR(INDEX(Calculations!$DP$2:$DP$200,MATCH(B105,Calculations!$B$2:$B$200,0)),"")</f>
        <v/>
      </c>
      <c r="T105" s="47" t="str">
        <f>IFERROR(INDEX(Calculations!$DO$2:$DO$200,MATCH(B105,Calculations!$B$2:$B$200,0)),"")</f>
        <v/>
      </c>
      <c r="U105" s="33" t="str">
        <f>IFERROR(INDEX(Calculations!$Z$2:$Z$200,MATCH(B105,Calculations!$B$2:$B$200,0)),"")</f>
        <v/>
      </c>
      <c r="V105" s="11" t="str">
        <f>IFERROR(INDEX(Calculations!$DQ$2:$DQ$200,MATCH(B105,Calculations!$B$2:$B$200,0)),"")</f>
        <v/>
      </c>
      <c r="W105" s="15" t="str">
        <f>IFERROR(INDEX(Calculations!$DR$2:$DR$200,MATCH(B105,Calculations!$B$2:$B$200,0)),"")</f>
        <v/>
      </c>
    </row>
    <row r="106" spans="16:23">
      <c r="P106" s="33" t="str">
        <f t="shared" si="10"/>
        <v/>
      </c>
      <c r="Q106" s="33" t="str">
        <f t="shared" si="11"/>
        <v/>
      </c>
      <c r="R106" s="45" t="str">
        <f t="shared" si="12"/>
        <v/>
      </c>
      <c r="S106" s="1" t="str">
        <f>IFERROR(INDEX(Calculations!$DP$2:$DP$200,MATCH(B106,Calculations!$B$2:$B$200,0)),"")</f>
        <v/>
      </c>
      <c r="T106" s="47" t="str">
        <f>IFERROR(INDEX(Calculations!$DO$2:$DO$200,MATCH(B106,Calculations!$B$2:$B$200,0)),"")</f>
        <v/>
      </c>
      <c r="U106" s="33" t="str">
        <f>IFERROR(INDEX(Calculations!$Z$2:$Z$200,MATCH(B106,Calculations!$B$2:$B$200,0)),"")</f>
        <v/>
      </c>
      <c r="V106" s="11" t="str">
        <f>IFERROR(INDEX(Calculations!$DQ$2:$DQ$200,MATCH(B106,Calculations!$B$2:$B$200,0)),"")</f>
        <v/>
      </c>
      <c r="W106" s="15" t="str">
        <f>IFERROR(INDEX(Calculations!$DR$2:$DR$200,MATCH(B106,Calculations!$B$2:$B$200,0)),"")</f>
        <v/>
      </c>
    </row>
    <row r="107" spans="16:23">
      <c r="P107" s="33" t="str">
        <f t="shared" si="10"/>
        <v/>
      </c>
      <c r="Q107" s="33" t="str">
        <f t="shared" si="11"/>
        <v/>
      </c>
      <c r="R107" s="45" t="str">
        <f t="shared" si="12"/>
        <v/>
      </c>
      <c r="S107" s="1" t="str">
        <f>IFERROR(INDEX(Calculations!$DP$2:$DP$200,MATCH(B107,Calculations!$B$2:$B$200,0)),"")</f>
        <v/>
      </c>
      <c r="T107" s="47" t="str">
        <f>IFERROR(INDEX(Calculations!$DO$2:$DO$200,MATCH(B107,Calculations!$B$2:$B$200,0)),"")</f>
        <v/>
      </c>
      <c r="U107" s="33" t="str">
        <f>IFERROR(INDEX(Calculations!$Z$2:$Z$200,MATCH(B107,Calculations!$B$2:$B$200,0)),"")</f>
        <v/>
      </c>
      <c r="V107" s="11" t="str">
        <f>IFERROR(INDEX(Calculations!$DQ$2:$DQ$200,MATCH(B107,Calculations!$B$2:$B$200,0)),"")</f>
        <v/>
      </c>
      <c r="W107" s="15" t="str">
        <f>IFERROR(INDEX(Calculations!$DR$2:$DR$200,MATCH(B107,Calculations!$B$2:$B$200,0)),"")</f>
        <v/>
      </c>
    </row>
    <row r="108" spans="16:23">
      <c r="P108" s="33" t="str">
        <f t="shared" si="10"/>
        <v/>
      </c>
      <c r="Q108" s="33" t="str">
        <f t="shared" si="11"/>
        <v/>
      </c>
      <c r="R108" s="45" t="str">
        <f t="shared" si="12"/>
        <v/>
      </c>
      <c r="S108" s="1" t="str">
        <f>IFERROR(INDEX(Calculations!$DP$2:$DP$200,MATCH(B108,Calculations!$B$2:$B$200,0)),"")</f>
        <v/>
      </c>
      <c r="T108" s="47" t="str">
        <f>IFERROR(INDEX(Calculations!$DO$2:$DO$200,MATCH(B108,Calculations!$B$2:$B$200,0)),"")</f>
        <v/>
      </c>
      <c r="U108" s="33" t="str">
        <f>IFERROR(INDEX(Calculations!$Z$2:$Z$200,MATCH(B108,Calculations!$B$2:$B$200,0)),"")</f>
        <v/>
      </c>
      <c r="V108" s="11" t="str">
        <f>IFERROR(INDEX(Calculations!$DQ$2:$DQ$200,MATCH(B108,Calculations!$B$2:$B$200,0)),"")</f>
        <v/>
      </c>
      <c r="W108" s="15" t="str">
        <f>IFERROR(INDEX(Calculations!$DR$2:$DR$200,MATCH(B108,Calculations!$B$2:$B$200,0)),"")</f>
        <v/>
      </c>
    </row>
    <row r="109" spans="16:23">
      <c r="P109" s="33" t="str">
        <f t="shared" si="10"/>
        <v/>
      </c>
      <c r="Q109" s="33" t="str">
        <f t="shared" si="11"/>
        <v/>
      </c>
      <c r="R109" s="45" t="str">
        <f t="shared" si="12"/>
        <v/>
      </c>
      <c r="S109" s="1" t="str">
        <f>IFERROR(INDEX(Calculations!$DP$2:$DP$200,MATCH(B109,Calculations!$B$2:$B$200,0)),"")</f>
        <v/>
      </c>
      <c r="T109" s="47" t="str">
        <f>IFERROR(INDEX(Calculations!$DO$2:$DO$200,MATCH(B109,Calculations!$B$2:$B$200,0)),"")</f>
        <v/>
      </c>
      <c r="U109" s="33" t="str">
        <f>IFERROR(INDEX(Calculations!$Z$2:$Z$200,MATCH(B109,Calculations!$B$2:$B$200,0)),"")</f>
        <v/>
      </c>
      <c r="V109" s="11" t="str">
        <f>IFERROR(INDEX(Calculations!$DQ$2:$DQ$200,MATCH(B109,Calculations!$B$2:$B$200,0)),"")</f>
        <v/>
      </c>
      <c r="W109" s="15" t="str">
        <f>IFERROR(INDEX(Calculations!$DR$2:$DR$200,MATCH(B109,Calculations!$B$2:$B$200,0)),"")</f>
        <v/>
      </c>
    </row>
    <row r="110" spans="16:23">
      <c r="P110" s="33" t="str">
        <f t="shared" si="10"/>
        <v/>
      </c>
      <c r="Q110" s="33" t="str">
        <f t="shared" si="11"/>
        <v/>
      </c>
      <c r="R110" s="45" t="str">
        <f t="shared" si="12"/>
        <v/>
      </c>
      <c r="S110" s="1" t="str">
        <f>IFERROR(INDEX(Calculations!$DP$2:$DP$200,MATCH(B110,Calculations!$B$2:$B$200,0)),"")</f>
        <v/>
      </c>
      <c r="T110" s="47" t="str">
        <f>IFERROR(INDEX(Calculations!$DO$2:$DO$200,MATCH(B110,Calculations!$B$2:$B$200,0)),"")</f>
        <v/>
      </c>
      <c r="U110" s="33" t="str">
        <f>IFERROR(INDEX(Calculations!$Z$2:$Z$200,MATCH(B110,Calculations!$B$2:$B$200,0)),"")</f>
        <v/>
      </c>
      <c r="V110" s="11" t="str">
        <f>IFERROR(INDEX(Calculations!$DQ$2:$DQ$200,MATCH(B110,Calculations!$B$2:$B$200,0)),"")</f>
        <v/>
      </c>
      <c r="W110" s="15" t="str">
        <f>IFERROR(INDEX(Calculations!$DR$2:$DR$200,MATCH(B110,Calculations!$B$2:$B$200,0)),"")</f>
        <v/>
      </c>
    </row>
    <row r="111" spans="16:23">
      <c r="P111" s="33" t="str">
        <f t="shared" si="10"/>
        <v/>
      </c>
      <c r="Q111" s="33" t="str">
        <f t="shared" si="11"/>
        <v/>
      </c>
      <c r="R111" s="45" t="str">
        <f t="shared" si="12"/>
        <v/>
      </c>
      <c r="S111" s="1" t="str">
        <f>IFERROR(INDEX(Calculations!$DP$2:$DP$200,MATCH(B111,Calculations!$B$2:$B$200,0)),"")</f>
        <v/>
      </c>
      <c r="T111" s="47" t="str">
        <f>IFERROR(INDEX(Calculations!$DO$2:$DO$200,MATCH(B111,Calculations!$B$2:$B$200,0)),"")</f>
        <v/>
      </c>
      <c r="U111" s="33" t="str">
        <f>IFERROR(INDEX(Calculations!$Z$2:$Z$200,MATCH(B111,Calculations!$B$2:$B$200,0)),"")</f>
        <v/>
      </c>
      <c r="V111" s="11" t="str">
        <f>IFERROR(INDEX(Calculations!$DQ$2:$DQ$200,MATCH(B111,Calculations!$B$2:$B$200,0)),"")</f>
        <v/>
      </c>
      <c r="W111" s="15" t="str">
        <f>IFERROR(INDEX(Calculations!$DR$2:$DR$200,MATCH(B111,Calculations!$B$2:$B$200,0)),"")</f>
        <v/>
      </c>
    </row>
    <row r="112" spans="16:23">
      <c r="P112" s="33" t="str">
        <f t="shared" si="10"/>
        <v/>
      </c>
      <c r="Q112" s="33" t="str">
        <f t="shared" si="11"/>
        <v/>
      </c>
      <c r="R112" s="45" t="str">
        <f t="shared" si="12"/>
        <v/>
      </c>
      <c r="S112" s="1" t="str">
        <f>IFERROR(INDEX(Calculations!$DP$2:$DP$200,MATCH(B112,Calculations!$B$2:$B$200,0)),"")</f>
        <v/>
      </c>
      <c r="T112" s="47" t="str">
        <f>IFERROR(INDEX(Calculations!$DO$2:$DO$200,MATCH(B112,Calculations!$B$2:$B$200,0)),"")</f>
        <v/>
      </c>
      <c r="U112" s="33" t="str">
        <f>IFERROR(INDEX(Calculations!$Z$2:$Z$200,MATCH(B112,Calculations!$B$2:$B$200,0)),"")</f>
        <v/>
      </c>
      <c r="V112" s="11" t="str">
        <f>IFERROR(INDEX(Calculations!$DQ$2:$DQ$200,MATCH(B112,Calculations!$B$2:$B$200,0)),"")</f>
        <v/>
      </c>
      <c r="W112" s="15" t="str">
        <f>IFERROR(INDEX(Calculations!$DR$2:$DR$200,MATCH(B112,Calculations!$B$2:$B$200,0)),"")</f>
        <v/>
      </c>
    </row>
    <row r="113" spans="16:23">
      <c r="P113" s="33" t="str">
        <f t="shared" si="10"/>
        <v/>
      </c>
      <c r="Q113" s="33" t="str">
        <f t="shared" si="11"/>
        <v/>
      </c>
      <c r="R113" s="45" t="str">
        <f t="shared" si="12"/>
        <v/>
      </c>
      <c r="S113" s="1" t="str">
        <f>IFERROR(INDEX(Calculations!$DP$2:$DP$200,MATCH(B113,Calculations!$B$2:$B$200,0)),"")</f>
        <v/>
      </c>
      <c r="T113" s="47" t="str">
        <f>IFERROR(INDEX(Calculations!$DO$2:$DO$200,MATCH(B113,Calculations!$B$2:$B$200,0)),"")</f>
        <v/>
      </c>
      <c r="U113" s="33" t="str">
        <f>IFERROR(INDEX(Calculations!$Z$2:$Z$200,MATCH(B113,Calculations!$B$2:$B$200,0)),"")</f>
        <v/>
      </c>
      <c r="V113" s="11" t="str">
        <f>IFERROR(INDEX(Calculations!$DQ$2:$DQ$200,MATCH(B113,Calculations!$B$2:$B$200,0)),"")</f>
        <v/>
      </c>
      <c r="W113" s="15" t="str">
        <f>IFERROR(INDEX(Calculations!$DR$2:$DR$200,MATCH(B113,Calculations!$B$2:$B$200,0)),"")</f>
        <v/>
      </c>
    </row>
    <row r="114" spans="16:23">
      <c r="P114" s="33" t="str">
        <f t="shared" si="10"/>
        <v/>
      </c>
      <c r="Q114" s="33" t="str">
        <f t="shared" si="11"/>
        <v/>
      </c>
      <c r="R114" s="45" t="str">
        <f t="shared" si="12"/>
        <v/>
      </c>
      <c r="S114" s="1" t="str">
        <f>IFERROR(INDEX(Calculations!$DP$2:$DP$200,MATCH(B114,Calculations!$B$2:$B$200,0)),"")</f>
        <v/>
      </c>
      <c r="T114" s="47" t="str">
        <f>IFERROR(INDEX(Calculations!$DO$2:$DO$200,MATCH(B114,Calculations!$B$2:$B$200,0)),"")</f>
        <v/>
      </c>
      <c r="U114" s="33" t="str">
        <f>IFERROR(INDEX(Calculations!$Z$2:$Z$200,MATCH(B114,Calculations!$B$2:$B$200,0)),"")</f>
        <v/>
      </c>
      <c r="V114" s="11" t="str">
        <f>IFERROR(INDEX(Calculations!$DQ$2:$DQ$200,MATCH(B114,Calculations!$B$2:$B$200,0)),"")</f>
        <v/>
      </c>
      <c r="W114" s="15" t="str">
        <f>IFERROR(INDEX(Calculations!$DR$2:$DR$200,MATCH(B114,Calculations!$B$2:$B$200,0)),"")</f>
        <v/>
      </c>
    </row>
    <row r="115" spans="16:23">
      <c r="P115" s="33" t="str">
        <f t="shared" si="10"/>
        <v/>
      </c>
      <c r="Q115" s="33" t="str">
        <f t="shared" si="11"/>
        <v/>
      </c>
      <c r="R115" s="45" t="str">
        <f t="shared" si="12"/>
        <v/>
      </c>
      <c r="S115" s="1" t="str">
        <f>IFERROR(INDEX(Calculations!$DP$2:$DP$200,MATCH(B115,Calculations!$B$2:$B$200,0)),"")</f>
        <v/>
      </c>
      <c r="T115" s="47" t="str">
        <f>IFERROR(INDEX(Calculations!$DO$2:$DO$200,MATCH(B115,Calculations!$B$2:$B$200,0)),"")</f>
        <v/>
      </c>
      <c r="U115" s="33" t="str">
        <f>IFERROR(INDEX(Calculations!$Z$2:$Z$200,MATCH(B115,Calculations!$B$2:$B$200,0)),"")</f>
        <v/>
      </c>
      <c r="V115" s="11" t="str">
        <f>IFERROR(INDEX(Calculations!$DQ$2:$DQ$200,MATCH(B115,Calculations!$B$2:$B$200,0)),"")</f>
        <v/>
      </c>
      <c r="W115" s="15" t="str">
        <f>IFERROR(INDEX(Calculations!$DR$2:$DR$200,MATCH(B115,Calculations!$B$2:$B$200,0)),"")</f>
        <v/>
      </c>
    </row>
    <row r="116" spans="16:23">
      <c r="P116" s="33" t="str">
        <f t="shared" si="10"/>
        <v/>
      </c>
      <c r="Q116" s="33" t="str">
        <f t="shared" si="11"/>
        <v/>
      </c>
      <c r="R116" s="45" t="str">
        <f t="shared" si="12"/>
        <v/>
      </c>
      <c r="S116" s="1" t="str">
        <f>IFERROR(INDEX(Calculations!$DP$2:$DP$200,MATCH(B116,Calculations!$B$2:$B$200,0)),"")</f>
        <v/>
      </c>
      <c r="T116" s="47" t="str">
        <f>IFERROR(INDEX(Calculations!$DO$2:$DO$200,MATCH(B116,Calculations!$B$2:$B$200,0)),"")</f>
        <v/>
      </c>
      <c r="U116" s="33" t="str">
        <f>IFERROR(INDEX(Calculations!$Z$2:$Z$200,MATCH(B116,Calculations!$B$2:$B$200,0)),"")</f>
        <v/>
      </c>
      <c r="V116" s="11" t="str">
        <f>IFERROR(INDEX(Calculations!$DQ$2:$DQ$200,MATCH(B116,Calculations!$B$2:$B$200,0)),"")</f>
        <v/>
      </c>
      <c r="W116" s="15" t="str">
        <f>IFERROR(INDEX(Calculations!$DR$2:$DR$200,MATCH(B116,Calculations!$B$2:$B$200,0)),"")</f>
        <v/>
      </c>
    </row>
    <row r="117" spans="16:23">
      <c r="P117" s="33" t="str">
        <f t="shared" si="10"/>
        <v/>
      </c>
      <c r="Q117" s="33" t="str">
        <f t="shared" si="11"/>
        <v/>
      </c>
      <c r="R117" s="45" t="str">
        <f t="shared" si="12"/>
        <v/>
      </c>
      <c r="S117" s="1" t="str">
        <f>IFERROR(INDEX(Calculations!$DP$2:$DP$200,MATCH(B117,Calculations!$B$2:$B$200,0)),"")</f>
        <v/>
      </c>
      <c r="T117" s="47" t="str">
        <f>IFERROR(INDEX(Calculations!$DO$2:$DO$200,MATCH(B117,Calculations!$B$2:$B$200,0)),"")</f>
        <v/>
      </c>
      <c r="U117" s="33" t="str">
        <f>IFERROR(INDEX(Calculations!$Z$2:$Z$200,MATCH(B117,Calculations!$B$2:$B$200,0)),"")</f>
        <v/>
      </c>
      <c r="V117" s="11" t="str">
        <f>IFERROR(INDEX(Calculations!$DQ$2:$DQ$200,MATCH(B117,Calculations!$B$2:$B$200,0)),"")</f>
        <v/>
      </c>
      <c r="W117" s="15" t="str">
        <f>IFERROR(INDEX(Calculations!$DR$2:$DR$200,MATCH(B117,Calculations!$B$2:$B$200,0)),"")</f>
        <v/>
      </c>
    </row>
    <row r="118" spans="16:23">
      <c r="P118" s="33" t="str">
        <f t="shared" si="10"/>
        <v/>
      </c>
      <c r="Q118" s="33" t="str">
        <f t="shared" si="11"/>
        <v/>
      </c>
      <c r="R118" s="45" t="str">
        <f t="shared" si="12"/>
        <v/>
      </c>
      <c r="S118" s="1" t="str">
        <f>IFERROR(INDEX(Calculations!$DP$2:$DP$200,MATCH(B118,Calculations!$B$2:$B$200,0)),"")</f>
        <v/>
      </c>
      <c r="T118" s="47" t="str">
        <f>IFERROR(INDEX(Calculations!$DO$2:$DO$200,MATCH(B118,Calculations!$B$2:$B$200,0)),"")</f>
        <v/>
      </c>
      <c r="U118" s="33" t="str">
        <f>IFERROR(INDEX(Calculations!$Z$2:$Z$200,MATCH(B118,Calculations!$B$2:$B$200,0)),"")</f>
        <v/>
      </c>
      <c r="V118" s="11" t="str">
        <f>IFERROR(INDEX(Calculations!$DQ$2:$DQ$200,MATCH(B118,Calculations!$B$2:$B$200,0)),"")</f>
        <v/>
      </c>
      <c r="W118" s="15" t="str">
        <f>IFERROR(INDEX(Calculations!$DR$2:$DR$200,MATCH(B118,Calculations!$B$2:$B$200,0)),"")</f>
        <v/>
      </c>
    </row>
    <row r="119" spans="16:23">
      <c r="P119" s="33" t="str">
        <f t="shared" si="10"/>
        <v/>
      </c>
      <c r="Q119" s="33" t="str">
        <f t="shared" si="11"/>
        <v/>
      </c>
      <c r="R119" s="45" t="str">
        <f t="shared" si="12"/>
        <v/>
      </c>
      <c r="S119" s="1" t="str">
        <f>IFERROR(INDEX(Calculations!$DP$2:$DP$200,MATCH(B119,Calculations!$B$2:$B$200,0)),"")</f>
        <v/>
      </c>
      <c r="T119" s="47" t="str">
        <f>IFERROR(INDEX(Calculations!$DO$2:$DO$200,MATCH(B119,Calculations!$B$2:$B$200,0)),"")</f>
        <v/>
      </c>
      <c r="U119" s="33" t="str">
        <f>IFERROR(INDEX(Calculations!$Z$2:$Z$200,MATCH(B119,Calculations!$B$2:$B$200,0)),"")</f>
        <v/>
      </c>
      <c r="V119" s="11" t="str">
        <f>IFERROR(INDEX(Calculations!$DQ$2:$DQ$200,MATCH(B119,Calculations!$B$2:$B$200,0)),"")</f>
        <v/>
      </c>
      <c r="W119" s="15" t="str">
        <f>IFERROR(INDEX(Calculations!$DR$2:$DR$200,MATCH(B119,Calculations!$B$2:$B$200,0)),"")</f>
        <v/>
      </c>
    </row>
    <row r="120" spans="16:23">
      <c r="P120" s="33" t="str">
        <f t="shared" si="10"/>
        <v/>
      </c>
      <c r="Q120" s="33" t="str">
        <f t="shared" si="11"/>
        <v/>
      </c>
      <c r="R120" s="45" t="str">
        <f t="shared" si="12"/>
        <v/>
      </c>
      <c r="S120" s="1" t="str">
        <f>IFERROR(INDEX(Calculations!$DP$2:$DP$200,MATCH(B120,Calculations!$B$2:$B$200,0)),"")</f>
        <v/>
      </c>
      <c r="T120" s="47" t="str">
        <f>IFERROR(INDEX(Calculations!$DO$2:$DO$200,MATCH(B120,Calculations!$B$2:$B$200,0)),"")</f>
        <v/>
      </c>
      <c r="U120" s="33" t="str">
        <f>IFERROR(INDEX(Calculations!$Z$2:$Z$200,MATCH(B120,Calculations!$B$2:$B$200,0)),"")</f>
        <v/>
      </c>
      <c r="V120" s="11" t="str">
        <f>IFERROR(INDEX(Calculations!$DQ$2:$DQ$200,MATCH(B120,Calculations!$B$2:$B$200,0)),"")</f>
        <v/>
      </c>
      <c r="W120" s="15" t="str">
        <f>IFERROR(INDEX(Calculations!$DR$2:$DR$200,MATCH(B120,Calculations!$B$2:$B$200,0)),"")</f>
        <v/>
      </c>
    </row>
    <row r="121" spans="16:23">
      <c r="P121" s="33" t="str">
        <f t="shared" si="10"/>
        <v/>
      </c>
      <c r="Q121" s="33" t="str">
        <f t="shared" si="11"/>
        <v/>
      </c>
      <c r="R121" s="45" t="str">
        <f t="shared" si="12"/>
        <v/>
      </c>
      <c r="S121" s="1" t="str">
        <f>IFERROR(INDEX(Calculations!$DP$2:$DP$200,MATCH(B121,Calculations!$B$2:$B$200,0)),"")</f>
        <v/>
      </c>
      <c r="T121" s="47" t="str">
        <f>IFERROR(INDEX(Calculations!$DO$2:$DO$200,MATCH(B121,Calculations!$B$2:$B$200,0)),"")</f>
        <v/>
      </c>
      <c r="U121" s="33" t="str">
        <f>IFERROR(INDEX(Calculations!$Z$2:$Z$200,MATCH(B121,Calculations!$B$2:$B$200,0)),"")</f>
        <v/>
      </c>
      <c r="V121" s="11" t="str">
        <f>IFERROR(INDEX(Calculations!$DQ$2:$DQ$200,MATCH(B121,Calculations!$B$2:$B$200,0)),"")</f>
        <v/>
      </c>
      <c r="W121" s="15" t="str">
        <f>IFERROR(INDEX(Calculations!$DR$2:$DR$200,MATCH(B121,Calculations!$B$2:$B$200,0)),"")</f>
        <v/>
      </c>
    </row>
    <row r="122" spans="16:23">
      <c r="P122" s="33" t="str">
        <f t="shared" si="10"/>
        <v/>
      </c>
      <c r="Q122" s="33" t="str">
        <f t="shared" si="11"/>
        <v/>
      </c>
      <c r="R122" s="45" t="str">
        <f t="shared" si="12"/>
        <v/>
      </c>
      <c r="S122" s="1" t="str">
        <f>IFERROR(INDEX(Calculations!$DP$2:$DP$200,MATCH(B122,Calculations!$B$2:$B$200,0)),"")</f>
        <v/>
      </c>
      <c r="T122" s="47" t="str">
        <f>IFERROR(INDEX(Calculations!$DO$2:$DO$200,MATCH(B122,Calculations!$B$2:$B$200,0)),"")</f>
        <v/>
      </c>
      <c r="U122" s="33" t="str">
        <f>IFERROR(INDEX(Calculations!$Z$2:$Z$200,MATCH(B122,Calculations!$B$2:$B$200,0)),"")</f>
        <v/>
      </c>
      <c r="V122" s="11" t="str">
        <f>IFERROR(INDEX(Calculations!$DQ$2:$DQ$200,MATCH(B122,Calculations!$B$2:$B$200,0)),"")</f>
        <v/>
      </c>
      <c r="W122" s="15" t="str">
        <f>IFERROR(INDEX(Calculations!$DR$2:$DR$200,MATCH(B122,Calculations!$B$2:$B$200,0)),"")</f>
        <v/>
      </c>
    </row>
    <row r="123" spans="16:23">
      <c r="P123" s="33" t="str">
        <f t="shared" si="10"/>
        <v/>
      </c>
      <c r="Q123" s="33" t="str">
        <f t="shared" si="11"/>
        <v/>
      </c>
      <c r="R123" s="45" t="str">
        <f t="shared" si="12"/>
        <v/>
      </c>
      <c r="S123" s="1" t="str">
        <f>IFERROR(INDEX(Calculations!$DP$2:$DP$200,MATCH(B123,Calculations!$B$2:$B$200,0)),"")</f>
        <v/>
      </c>
      <c r="T123" s="47" t="str">
        <f>IFERROR(INDEX(Calculations!$DO$2:$DO$200,MATCH(B123,Calculations!$B$2:$B$200,0)),"")</f>
        <v/>
      </c>
      <c r="U123" s="33" t="str">
        <f>IFERROR(INDEX(Calculations!$Z$2:$Z$200,MATCH(B123,Calculations!$B$2:$B$200,0)),"")</f>
        <v/>
      </c>
      <c r="V123" s="11" t="str">
        <f>IFERROR(INDEX(Calculations!$DQ$2:$DQ$200,MATCH(B123,Calculations!$B$2:$B$200,0)),"")</f>
        <v/>
      </c>
      <c r="W123" s="15" t="str">
        <f>IFERROR(INDEX(Calculations!$DR$2:$DR$200,MATCH(B123,Calculations!$B$2:$B$200,0)),"")</f>
        <v/>
      </c>
    </row>
    <row r="124" spans="16:23">
      <c r="P124" s="33" t="str">
        <f t="shared" si="10"/>
        <v/>
      </c>
      <c r="Q124" s="33" t="str">
        <f t="shared" si="11"/>
        <v/>
      </c>
      <c r="R124" s="45" t="str">
        <f t="shared" si="12"/>
        <v/>
      </c>
      <c r="S124" s="1" t="str">
        <f>IFERROR(INDEX(Calculations!$DP$2:$DP$200,MATCH(B124,Calculations!$B$2:$B$200,0)),"")</f>
        <v/>
      </c>
      <c r="T124" s="47" t="str">
        <f>IFERROR(INDEX(Calculations!$DO$2:$DO$200,MATCH(B124,Calculations!$B$2:$B$200,0)),"")</f>
        <v/>
      </c>
      <c r="U124" s="33" t="str">
        <f>IFERROR(INDEX(Calculations!$Z$2:$Z$200,MATCH(B124,Calculations!$B$2:$B$200,0)),"")</f>
        <v/>
      </c>
      <c r="V124" s="11" t="str">
        <f>IFERROR(INDEX(Calculations!$DQ$2:$DQ$200,MATCH(B124,Calculations!$B$2:$B$200,0)),"")</f>
        <v/>
      </c>
      <c r="W124" s="15" t="str">
        <f>IFERROR(INDEX(Calculations!$DR$2:$DR$200,MATCH(B124,Calculations!$B$2:$B$200,0)),"")</f>
        <v/>
      </c>
    </row>
    <row r="125" spans="16:23">
      <c r="P125" s="33" t="str">
        <f t="shared" si="10"/>
        <v/>
      </c>
      <c r="Q125" s="33" t="str">
        <f t="shared" si="11"/>
        <v/>
      </c>
      <c r="R125" s="45" t="str">
        <f t="shared" si="12"/>
        <v/>
      </c>
      <c r="S125" s="1" t="str">
        <f>IFERROR(INDEX(Calculations!$DP$2:$DP$200,MATCH(B125,Calculations!$B$2:$B$200,0)),"")</f>
        <v/>
      </c>
      <c r="T125" s="47" t="str">
        <f>IFERROR(INDEX(Calculations!$DO$2:$DO$200,MATCH(B125,Calculations!$B$2:$B$200,0)),"")</f>
        <v/>
      </c>
      <c r="U125" s="33" t="str">
        <f>IFERROR(INDEX(Calculations!$Z$2:$Z$200,MATCH(B125,Calculations!$B$2:$B$200,0)),"")</f>
        <v/>
      </c>
      <c r="V125" s="11" t="str">
        <f>IFERROR(INDEX(Calculations!$DQ$2:$DQ$200,MATCH(B125,Calculations!$B$2:$B$200,0)),"")</f>
        <v/>
      </c>
      <c r="W125" s="15" t="str">
        <f>IFERROR(INDEX(Calculations!$DR$2:$DR$200,MATCH(B125,Calculations!$B$2:$B$200,0)),"")</f>
        <v/>
      </c>
    </row>
    <row r="126" spans="16:23">
      <c r="P126" s="33" t="str">
        <f t="shared" si="10"/>
        <v/>
      </c>
      <c r="Q126" s="33" t="str">
        <f t="shared" si="11"/>
        <v/>
      </c>
      <c r="R126" s="45" t="str">
        <f t="shared" si="12"/>
        <v/>
      </c>
      <c r="S126" s="1" t="str">
        <f>IFERROR(INDEX(Calculations!$DP$2:$DP$200,MATCH(B126,Calculations!$B$2:$B$200,0)),"")</f>
        <v/>
      </c>
      <c r="T126" s="47" t="str">
        <f>IFERROR(INDEX(Calculations!$DO$2:$DO$200,MATCH(B126,Calculations!$B$2:$B$200,0)),"")</f>
        <v/>
      </c>
      <c r="U126" s="33" t="str">
        <f>IFERROR(INDEX(Calculations!$Z$2:$Z$200,MATCH(B126,Calculations!$B$2:$B$200,0)),"")</f>
        <v/>
      </c>
      <c r="V126" s="11" t="str">
        <f>IFERROR(INDEX(Calculations!$DQ$2:$DQ$200,MATCH(B126,Calculations!$B$2:$B$200,0)),"")</f>
        <v/>
      </c>
      <c r="W126" s="15" t="str">
        <f>IFERROR(INDEX(Calculations!$DR$2:$DR$200,MATCH(B126,Calculations!$B$2:$B$200,0)),"")</f>
        <v/>
      </c>
    </row>
    <row r="127" spans="16:23">
      <c r="P127" s="33" t="str">
        <f t="shared" si="10"/>
        <v/>
      </c>
      <c r="Q127" s="33" t="str">
        <f t="shared" si="11"/>
        <v/>
      </c>
      <c r="R127" s="45" t="str">
        <f t="shared" si="12"/>
        <v/>
      </c>
      <c r="S127" s="1" t="str">
        <f>IFERROR(INDEX(Calculations!$DP$2:$DP$200,MATCH(B127,Calculations!$B$2:$B$200,0)),"")</f>
        <v/>
      </c>
      <c r="T127" s="47" t="str">
        <f>IFERROR(INDEX(Calculations!$DO$2:$DO$200,MATCH(B127,Calculations!$B$2:$B$200,0)),"")</f>
        <v/>
      </c>
      <c r="U127" s="33" t="str">
        <f>IFERROR(INDEX(Calculations!$Z$2:$Z$200,MATCH(B127,Calculations!$B$2:$B$200,0)),"")</f>
        <v/>
      </c>
      <c r="V127" s="11" t="str">
        <f>IFERROR(INDEX(Calculations!$DQ$2:$DQ$200,MATCH(B127,Calculations!$B$2:$B$200,0)),"")</f>
        <v/>
      </c>
      <c r="W127" s="15" t="str">
        <f>IFERROR(INDEX(Calculations!$DR$2:$DR$200,MATCH(B127,Calculations!$B$2:$B$200,0)),"")</f>
        <v/>
      </c>
    </row>
    <row r="128" spans="16:23">
      <c r="P128" s="33" t="str">
        <f t="shared" si="10"/>
        <v/>
      </c>
      <c r="Q128" s="33" t="str">
        <f t="shared" si="11"/>
        <v/>
      </c>
      <c r="R128" s="45" t="str">
        <f t="shared" si="12"/>
        <v/>
      </c>
      <c r="S128" s="1" t="str">
        <f>IFERROR(INDEX(Calculations!$DP$2:$DP$200,MATCH(B128,Calculations!$B$2:$B$200,0)),"")</f>
        <v/>
      </c>
      <c r="T128" s="47" t="str">
        <f>IFERROR(INDEX(Calculations!$DO$2:$DO$200,MATCH(B128,Calculations!$B$2:$B$200,0)),"")</f>
        <v/>
      </c>
      <c r="U128" s="33" t="str">
        <f>IFERROR(INDEX(Calculations!$Z$2:$Z$200,MATCH(B128,Calculations!$B$2:$B$200,0)),"")</f>
        <v/>
      </c>
      <c r="V128" s="11" t="str">
        <f>IFERROR(INDEX(Calculations!$DQ$2:$DQ$200,MATCH(B128,Calculations!$B$2:$B$200,0)),"")</f>
        <v/>
      </c>
      <c r="W128" s="15" t="str">
        <f>IFERROR(INDEX(Calculations!$DR$2:$DR$200,MATCH(B128,Calculations!$B$2:$B$200,0)),"")</f>
        <v/>
      </c>
    </row>
    <row r="129" spans="16:23">
      <c r="P129" s="33" t="str">
        <f t="shared" si="10"/>
        <v/>
      </c>
      <c r="Q129" s="33" t="str">
        <f t="shared" si="11"/>
        <v/>
      </c>
      <c r="R129" s="45" t="str">
        <f t="shared" si="12"/>
        <v/>
      </c>
      <c r="S129" s="1" t="str">
        <f>IFERROR(INDEX(Calculations!$DP$2:$DP$200,MATCH(B129,Calculations!$B$2:$B$200,0)),"")</f>
        <v/>
      </c>
      <c r="T129" s="47" t="str">
        <f>IFERROR(INDEX(Calculations!$DO$2:$DO$200,MATCH(B129,Calculations!$B$2:$B$200,0)),"")</f>
        <v/>
      </c>
      <c r="U129" s="33" t="str">
        <f>IFERROR(INDEX(Calculations!$Z$2:$Z$200,MATCH(B129,Calculations!$B$2:$B$200,0)),"")</f>
        <v/>
      </c>
      <c r="V129" s="11" t="str">
        <f>IFERROR(INDEX(Calculations!$DQ$2:$DQ$200,MATCH(B129,Calculations!$B$2:$B$200,0)),"")</f>
        <v/>
      </c>
      <c r="W129" s="15" t="str">
        <f>IFERROR(INDEX(Calculations!$DR$2:$DR$200,MATCH(B129,Calculations!$B$2:$B$200,0)),"")</f>
        <v/>
      </c>
    </row>
    <row r="130" spans="16:23">
      <c r="P130" s="33" t="str">
        <f t="shared" si="10"/>
        <v/>
      </c>
      <c r="Q130" s="33" t="str">
        <f t="shared" ref="Q130:Q161" si="13">IF(ISBLANK(A130),"",B130)</f>
        <v/>
      </c>
      <c r="R130" s="45" t="str">
        <f t="shared" ref="R130:R161" si="14">IF(ISBLANK(A130),"",C130)</f>
        <v/>
      </c>
      <c r="S130" s="1" t="str">
        <f>IFERROR(INDEX(Calculations!$DP$2:$DP$200,MATCH(B130,Calculations!$B$2:$B$200,0)),"")</f>
        <v/>
      </c>
      <c r="T130" s="47" t="str">
        <f>IFERROR(INDEX(Calculations!$DO$2:$DO$200,MATCH(B130,Calculations!$B$2:$B$200,0)),"")</f>
        <v/>
      </c>
      <c r="U130" s="33" t="str">
        <f>IFERROR(INDEX(Calculations!$Z$2:$Z$200,MATCH(B130,Calculations!$B$2:$B$200,0)),"")</f>
        <v/>
      </c>
      <c r="V130" s="11" t="str">
        <f>IFERROR(INDEX(Calculations!$DQ$2:$DQ$200,MATCH(B130,Calculations!$B$2:$B$200,0)),"")</f>
        <v/>
      </c>
      <c r="W130" s="15" t="str">
        <f>IFERROR(INDEX(Calculations!$DR$2:$DR$200,MATCH(B130,Calculations!$B$2:$B$200,0)),"")</f>
        <v/>
      </c>
    </row>
    <row r="131" spans="16:23">
      <c r="P131" s="33" t="str">
        <f t="shared" ref="P131:P194" si="15">IF(ISBLANK(A131),"",K131)</f>
        <v/>
      </c>
      <c r="Q131" s="33" t="str">
        <f t="shared" si="13"/>
        <v/>
      </c>
      <c r="R131" s="45" t="str">
        <f t="shared" si="14"/>
        <v/>
      </c>
      <c r="S131" s="1" t="str">
        <f>IFERROR(INDEX(Calculations!$DP$2:$DP$200,MATCH(B131,Calculations!$B$2:$B$200,0)),"")</f>
        <v/>
      </c>
      <c r="T131" s="47" t="str">
        <f>IFERROR(INDEX(Calculations!$DO$2:$DO$200,MATCH(B131,Calculations!$B$2:$B$200,0)),"")</f>
        <v/>
      </c>
      <c r="U131" s="33" t="str">
        <f>IFERROR(INDEX(Calculations!$Z$2:$Z$200,MATCH(B131,Calculations!$B$2:$B$200,0)),"")</f>
        <v/>
      </c>
      <c r="V131" s="11" t="str">
        <f>IFERROR(INDEX(Calculations!$DQ$2:$DQ$200,MATCH(B131,Calculations!$B$2:$B$200,0)),"")</f>
        <v/>
      </c>
      <c r="W131" s="15" t="str">
        <f>IFERROR(INDEX(Calculations!$DR$2:$DR$200,MATCH(B131,Calculations!$B$2:$B$200,0)),"")</f>
        <v/>
      </c>
    </row>
    <row r="132" spans="16:23">
      <c r="P132" s="33" t="str">
        <f t="shared" si="15"/>
        <v/>
      </c>
      <c r="Q132" s="33" t="str">
        <f t="shared" si="13"/>
        <v/>
      </c>
      <c r="R132" s="45" t="str">
        <f t="shared" si="14"/>
        <v/>
      </c>
      <c r="S132" s="1" t="str">
        <f>IFERROR(INDEX(Calculations!$DP$2:$DP$200,MATCH(B132,Calculations!$B$2:$B$200,0)),"")</f>
        <v/>
      </c>
      <c r="T132" s="47" t="str">
        <f>IFERROR(INDEX(Calculations!$DO$2:$DO$200,MATCH(B132,Calculations!$B$2:$B$200,0)),"")</f>
        <v/>
      </c>
      <c r="U132" s="33" t="str">
        <f>IFERROR(INDEX(Calculations!$Z$2:$Z$200,MATCH(B132,Calculations!$B$2:$B$200,0)),"")</f>
        <v/>
      </c>
      <c r="V132" s="11" t="str">
        <f>IFERROR(INDEX(Calculations!$DQ$2:$DQ$200,MATCH(B132,Calculations!$B$2:$B$200,0)),"")</f>
        <v/>
      </c>
      <c r="W132" s="15" t="str">
        <f>IFERROR(INDEX(Calculations!$DR$2:$DR$200,MATCH(B132,Calculations!$B$2:$B$200,0)),"")</f>
        <v/>
      </c>
    </row>
    <row r="133" spans="16:23">
      <c r="P133" s="33" t="str">
        <f t="shared" si="15"/>
        <v/>
      </c>
      <c r="Q133" s="33" t="str">
        <f t="shared" si="13"/>
        <v/>
      </c>
      <c r="R133" s="45" t="str">
        <f t="shared" si="14"/>
        <v/>
      </c>
      <c r="S133" s="1" t="str">
        <f>IFERROR(INDEX(Calculations!$DP$2:$DP$200,MATCH(B133,Calculations!$B$2:$B$200,0)),"")</f>
        <v/>
      </c>
      <c r="T133" s="47" t="str">
        <f>IFERROR(INDEX(Calculations!$DO$2:$DO$200,MATCH(B133,Calculations!$B$2:$B$200,0)),"")</f>
        <v/>
      </c>
      <c r="U133" s="33" t="str">
        <f>IFERROR(INDEX(Calculations!$Z$2:$Z$200,MATCH(B133,Calculations!$B$2:$B$200,0)),"")</f>
        <v/>
      </c>
      <c r="V133" s="11" t="str">
        <f>IFERROR(INDEX(Calculations!$DQ$2:$DQ$200,MATCH(B133,Calculations!$B$2:$B$200,0)),"")</f>
        <v/>
      </c>
      <c r="W133" s="15" t="str">
        <f>IFERROR(INDEX(Calculations!$DR$2:$DR$200,MATCH(B133,Calculations!$B$2:$B$200,0)),"")</f>
        <v/>
      </c>
    </row>
    <row r="134" spans="16:23">
      <c r="P134" s="33" t="str">
        <f t="shared" si="15"/>
        <v/>
      </c>
      <c r="Q134" s="33" t="str">
        <f t="shared" si="13"/>
        <v/>
      </c>
      <c r="R134" s="45" t="str">
        <f t="shared" si="14"/>
        <v/>
      </c>
      <c r="S134" s="1" t="str">
        <f>IFERROR(INDEX(Calculations!$DP$2:$DP$200,MATCH(B134,Calculations!$B$2:$B$200,0)),"")</f>
        <v/>
      </c>
      <c r="T134" s="47" t="str">
        <f>IFERROR(INDEX(Calculations!$DO$2:$DO$200,MATCH(B134,Calculations!$B$2:$B$200,0)),"")</f>
        <v/>
      </c>
      <c r="U134" s="33" t="str">
        <f>IFERROR(INDEX(Calculations!$Z$2:$Z$200,MATCH(B134,Calculations!$B$2:$B$200,0)),"")</f>
        <v/>
      </c>
      <c r="V134" s="11" t="str">
        <f>IFERROR(INDEX(Calculations!$DQ$2:$DQ$200,MATCH(B134,Calculations!$B$2:$B$200,0)),"")</f>
        <v/>
      </c>
      <c r="W134" s="15" t="str">
        <f>IFERROR(INDEX(Calculations!$DR$2:$DR$200,MATCH(B134,Calculations!$B$2:$B$200,0)),"")</f>
        <v/>
      </c>
    </row>
    <row r="135" spans="16:23">
      <c r="P135" s="33" t="str">
        <f t="shared" si="15"/>
        <v/>
      </c>
      <c r="Q135" s="33" t="str">
        <f t="shared" si="13"/>
        <v/>
      </c>
      <c r="R135" s="45" t="str">
        <f t="shared" si="14"/>
        <v/>
      </c>
      <c r="S135" s="1" t="str">
        <f>IFERROR(INDEX(Calculations!$DP$2:$DP$200,MATCH(B135,Calculations!$B$2:$B$200,0)),"")</f>
        <v/>
      </c>
      <c r="T135" s="47" t="str">
        <f>IFERROR(INDEX(Calculations!$DO$2:$DO$200,MATCH(B135,Calculations!$B$2:$B$200,0)),"")</f>
        <v/>
      </c>
      <c r="U135" s="33" t="str">
        <f>IFERROR(INDEX(Calculations!$Z$2:$Z$200,MATCH(B135,Calculations!$B$2:$B$200,0)),"")</f>
        <v/>
      </c>
      <c r="V135" s="11" t="str">
        <f>IFERROR(INDEX(Calculations!$DQ$2:$DQ$200,MATCH(B135,Calculations!$B$2:$B$200,0)),"")</f>
        <v/>
      </c>
      <c r="W135" s="15" t="str">
        <f>IFERROR(INDEX(Calculations!$DR$2:$DR$200,MATCH(B135,Calculations!$B$2:$B$200,0)),"")</f>
        <v/>
      </c>
    </row>
    <row r="136" spans="16:23">
      <c r="P136" s="33" t="str">
        <f t="shared" si="15"/>
        <v/>
      </c>
      <c r="Q136" s="33" t="str">
        <f t="shared" si="13"/>
        <v/>
      </c>
      <c r="R136" s="45" t="str">
        <f t="shared" si="14"/>
        <v/>
      </c>
      <c r="S136" s="1" t="str">
        <f>IFERROR(INDEX(Calculations!$DP$2:$DP$200,MATCH(B136,Calculations!$B$2:$B$200,0)),"")</f>
        <v/>
      </c>
      <c r="T136" s="47" t="str">
        <f>IFERROR(INDEX(Calculations!$DO$2:$DO$200,MATCH(B136,Calculations!$B$2:$B$200,0)),"")</f>
        <v/>
      </c>
      <c r="U136" s="33" t="str">
        <f>IFERROR(INDEX(Calculations!$Z$2:$Z$200,MATCH(B136,Calculations!$B$2:$B$200,0)),"")</f>
        <v/>
      </c>
      <c r="V136" s="11" t="str">
        <f>IFERROR(INDEX(Calculations!$DQ$2:$DQ$200,MATCH(B136,Calculations!$B$2:$B$200,0)),"")</f>
        <v/>
      </c>
      <c r="W136" s="15" t="str">
        <f>IFERROR(INDEX(Calculations!$DR$2:$DR$200,MATCH(B136,Calculations!$B$2:$B$200,0)),"")</f>
        <v/>
      </c>
    </row>
    <row r="137" spans="16:23">
      <c r="P137" s="33" t="str">
        <f t="shared" si="15"/>
        <v/>
      </c>
      <c r="Q137" s="33" t="str">
        <f t="shared" si="13"/>
        <v/>
      </c>
      <c r="R137" s="45" t="str">
        <f t="shared" si="14"/>
        <v/>
      </c>
      <c r="S137" s="1" t="str">
        <f>IFERROR(INDEX(Calculations!$DP$2:$DP$200,MATCH(B137,Calculations!$B$2:$B$200,0)),"")</f>
        <v/>
      </c>
      <c r="T137" s="47" t="str">
        <f>IFERROR(INDEX(Calculations!$DO$2:$DO$200,MATCH(B137,Calculations!$B$2:$B$200,0)),"")</f>
        <v/>
      </c>
      <c r="U137" s="33" t="str">
        <f>IFERROR(INDEX(Calculations!$Z$2:$Z$200,MATCH(B137,Calculations!$B$2:$B$200,0)),"")</f>
        <v/>
      </c>
      <c r="V137" s="11" t="str">
        <f>IFERROR(INDEX(Calculations!$DQ$2:$DQ$200,MATCH(B137,Calculations!$B$2:$B$200,0)),"")</f>
        <v/>
      </c>
      <c r="W137" s="15" t="str">
        <f>IFERROR(INDEX(Calculations!$DR$2:$DR$200,MATCH(B137,Calculations!$B$2:$B$200,0)),"")</f>
        <v/>
      </c>
    </row>
    <row r="138" spans="16:23">
      <c r="P138" s="33" t="str">
        <f t="shared" si="15"/>
        <v/>
      </c>
      <c r="Q138" s="33" t="str">
        <f t="shared" si="13"/>
        <v/>
      </c>
      <c r="R138" s="45" t="str">
        <f t="shared" si="14"/>
        <v/>
      </c>
      <c r="S138" s="1" t="str">
        <f>IFERROR(INDEX(Calculations!$DP$2:$DP$200,MATCH(B138,Calculations!$B$2:$B$200,0)),"")</f>
        <v/>
      </c>
      <c r="T138" s="47" t="str">
        <f>IFERROR(INDEX(Calculations!$DO$2:$DO$200,MATCH(B138,Calculations!$B$2:$B$200,0)),"")</f>
        <v/>
      </c>
      <c r="U138" s="33" t="str">
        <f>IFERROR(INDEX(Calculations!$Z$2:$Z$200,MATCH(B138,Calculations!$B$2:$B$200,0)),"")</f>
        <v/>
      </c>
      <c r="V138" s="11" t="str">
        <f>IFERROR(INDEX(Calculations!$DQ$2:$DQ$200,MATCH(B138,Calculations!$B$2:$B$200,0)),"")</f>
        <v/>
      </c>
      <c r="W138" s="15" t="str">
        <f>IFERROR(INDEX(Calculations!$DR$2:$DR$200,MATCH(B138,Calculations!$B$2:$B$200,0)),"")</f>
        <v/>
      </c>
    </row>
    <row r="139" spans="16:23">
      <c r="P139" s="33" t="str">
        <f t="shared" si="15"/>
        <v/>
      </c>
      <c r="Q139" s="33" t="str">
        <f t="shared" si="13"/>
        <v/>
      </c>
      <c r="R139" s="45" t="str">
        <f t="shared" si="14"/>
        <v/>
      </c>
      <c r="S139" s="1" t="str">
        <f>IFERROR(INDEX(Calculations!$DP$2:$DP$200,MATCH(B139,Calculations!$B$2:$B$200,0)),"")</f>
        <v/>
      </c>
      <c r="T139" s="47" t="str">
        <f>IFERROR(INDEX(Calculations!$DO$2:$DO$200,MATCH(B139,Calculations!$B$2:$B$200,0)),"")</f>
        <v/>
      </c>
      <c r="U139" s="33" t="str">
        <f>IFERROR(INDEX(Calculations!$Z$2:$Z$200,MATCH(B139,Calculations!$B$2:$B$200,0)),"")</f>
        <v/>
      </c>
      <c r="V139" s="11" t="str">
        <f>IFERROR(INDEX(Calculations!$DQ$2:$DQ$200,MATCH(B139,Calculations!$B$2:$B$200,0)),"")</f>
        <v/>
      </c>
      <c r="W139" s="15" t="str">
        <f>IFERROR(INDEX(Calculations!$DR$2:$DR$200,MATCH(B139,Calculations!$B$2:$B$200,0)),"")</f>
        <v/>
      </c>
    </row>
    <row r="140" spans="16:23">
      <c r="P140" s="33" t="str">
        <f t="shared" si="15"/>
        <v/>
      </c>
      <c r="Q140" s="33" t="str">
        <f t="shared" si="13"/>
        <v/>
      </c>
      <c r="R140" s="45" t="str">
        <f t="shared" si="14"/>
        <v/>
      </c>
      <c r="S140" s="1" t="str">
        <f>IFERROR(INDEX(Calculations!$DP$2:$DP$200,MATCH(B140,Calculations!$B$2:$B$200,0)),"")</f>
        <v/>
      </c>
      <c r="T140" s="47" t="str">
        <f>IFERROR(INDEX(Calculations!$DO$2:$DO$200,MATCH(B140,Calculations!$B$2:$B$200,0)),"")</f>
        <v/>
      </c>
      <c r="U140" s="33" t="str">
        <f>IFERROR(INDEX(Calculations!$Z$2:$Z$200,MATCH(B140,Calculations!$B$2:$B$200,0)),"")</f>
        <v/>
      </c>
      <c r="V140" s="11" t="str">
        <f>IFERROR(INDEX(Calculations!$DQ$2:$DQ$200,MATCH(B140,Calculations!$B$2:$B$200,0)),"")</f>
        <v/>
      </c>
      <c r="W140" s="15" t="str">
        <f>IFERROR(INDEX(Calculations!$DR$2:$DR$200,MATCH(B140,Calculations!$B$2:$B$200,0)),"")</f>
        <v/>
      </c>
    </row>
    <row r="141" spans="16:23">
      <c r="P141" s="33" t="str">
        <f t="shared" si="15"/>
        <v/>
      </c>
      <c r="Q141" s="33" t="str">
        <f t="shared" si="13"/>
        <v/>
      </c>
      <c r="R141" s="45" t="str">
        <f t="shared" si="14"/>
        <v/>
      </c>
      <c r="S141" s="1" t="str">
        <f>IFERROR(INDEX(Calculations!$DP$2:$DP$200,MATCH(B141,Calculations!$B$2:$B$200,0)),"")</f>
        <v/>
      </c>
      <c r="T141" s="47" t="str">
        <f>IFERROR(INDEX(Calculations!$DO$2:$DO$200,MATCH(B141,Calculations!$B$2:$B$200,0)),"")</f>
        <v/>
      </c>
      <c r="U141" s="33" t="str">
        <f>IFERROR(INDEX(Calculations!$Z$2:$Z$200,MATCH(B141,Calculations!$B$2:$B$200,0)),"")</f>
        <v/>
      </c>
      <c r="V141" s="11" t="str">
        <f>IFERROR(INDEX(Calculations!$DQ$2:$DQ$200,MATCH(B141,Calculations!$B$2:$B$200,0)),"")</f>
        <v/>
      </c>
      <c r="W141" s="15" t="str">
        <f>IFERROR(INDEX(Calculations!$DR$2:$DR$200,MATCH(B141,Calculations!$B$2:$B$200,0)),"")</f>
        <v/>
      </c>
    </row>
    <row r="142" spans="16:23">
      <c r="P142" s="33" t="str">
        <f t="shared" si="15"/>
        <v/>
      </c>
      <c r="Q142" s="33" t="str">
        <f t="shared" si="13"/>
        <v/>
      </c>
      <c r="R142" s="45" t="str">
        <f t="shared" si="14"/>
        <v/>
      </c>
      <c r="S142" s="1" t="str">
        <f>IFERROR(INDEX(Calculations!$DP$2:$DP$200,MATCH(B142,Calculations!$B$2:$B$200,0)),"")</f>
        <v/>
      </c>
      <c r="T142" s="47" t="str">
        <f>IFERROR(INDEX(Calculations!$DO$2:$DO$200,MATCH(B142,Calculations!$B$2:$B$200,0)),"")</f>
        <v/>
      </c>
      <c r="U142" s="33" t="str">
        <f>IFERROR(INDEX(Calculations!$Z$2:$Z$200,MATCH(B142,Calculations!$B$2:$B$200,0)),"")</f>
        <v/>
      </c>
      <c r="V142" s="11" t="str">
        <f>IFERROR(INDEX(Calculations!$DQ$2:$DQ$200,MATCH(B142,Calculations!$B$2:$B$200,0)),"")</f>
        <v/>
      </c>
      <c r="W142" s="15" t="str">
        <f>IFERROR(INDEX(Calculations!$DR$2:$DR$200,MATCH(B142,Calculations!$B$2:$B$200,0)),"")</f>
        <v/>
      </c>
    </row>
    <row r="143" spans="16:23">
      <c r="P143" s="33" t="str">
        <f t="shared" si="15"/>
        <v/>
      </c>
      <c r="Q143" s="33" t="str">
        <f t="shared" si="13"/>
        <v/>
      </c>
      <c r="R143" s="45" t="str">
        <f t="shared" si="14"/>
        <v/>
      </c>
      <c r="S143" s="1" t="str">
        <f>IFERROR(INDEX(Calculations!$DP$2:$DP$200,MATCH(B143,Calculations!$B$2:$B$200,0)),"")</f>
        <v/>
      </c>
      <c r="T143" s="47" t="str">
        <f>IFERROR(INDEX(Calculations!$DO$2:$DO$200,MATCH(B143,Calculations!$B$2:$B$200,0)),"")</f>
        <v/>
      </c>
      <c r="U143" s="33" t="str">
        <f>IFERROR(INDEX(Calculations!$Z$2:$Z$200,MATCH(B143,Calculations!$B$2:$B$200,0)),"")</f>
        <v/>
      </c>
      <c r="V143" s="11" t="str">
        <f>IFERROR(INDEX(Calculations!$DQ$2:$DQ$200,MATCH(B143,Calculations!$B$2:$B$200,0)),"")</f>
        <v/>
      </c>
      <c r="W143" s="15" t="str">
        <f>IFERROR(INDEX(Calculations!$DR$2:$DR$200,MATCH(B143,Calculations!$B$2:$B$200,0)),"")</f>
        <v/>
      </c>
    </row>
    <row r="144" spans="16:23">
      <c r="P144" s="33" t="str">
        <f t="shared" si="15"/>
        <v/>
      </c>
      <c r="Q144" s="33" t="str">
        <f t="shared" si="13"/>
        <v/>
      </c>
      <c r="R144" s="45" t="str">
        <f t="shared" si="14"/>
        <v/>
      </c>
      <c r="S144" s="1" t="str">
        <f>IFERROR(INDEX(Calculations!$DP$2:$DP$200,MATCH(B144,Calculations!$B$2:$B$200,0)),"")</f>
        <v/>
      </c>
      <c r="T144" s="47" t="str">
        <f>IFERROR(INDEX(Calculations!$DO$2:$DO$200,MATCH(B144,Calculations!$B$2:$B$200,0)),"")</f>
        <v/>
      </c>
      <c r="U144" s="33" t="str">
        <f>IFERROR(INDEX(Calculations!$Z$2:$Z$200,MATCH(B144,Calculations!$B$2:$B$200,0)),"")</f>
        <v/>
      </c>
      <c r="V144" s="11" t="str">
        <f>IFERROR(INDEX(Calculations!$DQ$2:$DQ$200,MATCH(B144,Calculations!$B$2:$B$200,0)),"")</f>
        <v/>
      </c>
      <c r="W144" s="15" t="str">
        <f>IFERROR(INDEX(Calculations!$DR$2:$DR$200,MATCH(B144,Calculations!$B$2:$B$200,0)),"")</f>
        <v/>
      </c>
    </row>
    <row r="145" spans="16:23">
      <c r="P145" s="33" t="str">
        <f t="shared" si="15"/>
        <v/>
      </c>
      <c r="Q145" s="33" t="str">
        <f t="shared" si="13"/>
        <v/>
      </c>
      <c r="R145" s="45" t="str">
        <f t="shared" si="14"/>
        <v/>
      </c>
      <c r="S145" s="1" t="str">
        <f>IFERROR(INDEX(Calculations!$DP$2:$DP$200,MATCH(B145,Calculations!$B$2:$B$200,0)),"")</f>
        <v/>
      </c>
      <c r="T145" s="47" t="str">
        <f>IFERROR(INDEX(Calculations!$DO$2:$DO$200,MATCH(B145,Calculations!$B$2:$B$200,0)),"")</f>
        <v/>
      </c>
      <c r="U145" s="33" t="str">
        <f>IFERROR(INDEX(Calculations!$Z$2:$Z$200,MATCH(B145,Calculations!$B$2:$B$200,0)),"")</f>
        <v/>
      </c>
      <c r="V145" s="11" t="str">
        <f>IFERROR(INDEX(Calculations!$DQ$2:$DQ$200,MATCH(B145,Calculations!$B$2:$B$200,0)),"")</f>
        <v/>
      </c>
      <c r="W145" s="15" t="str">
        <f>IFERROR(INDEX(Calculations!$DR$2:$DR$200,MATCH(B145,Calculations!$B$2:$B$200,0)),"")</f>
        <v/>
      </c>
    </row>
    <row r="146" spans="16:23">
      <c r="P146" s="33" t="str">
        <f t="shared" si="15"/>
        <v/>
      </c>
      <c r="Q146" s="33" t="str">
        <f t="shared" si="13"/>
        <v/>
      </c>
      <c r="R146" s="45" t="str">
        <f t="shared" si="14"/>
        <v/>
      </c>
      <c r="S146" s="1" t="str">
        <f>IFERROR(INDEX(Calculations!$DP$2:$DP$200,MATCH(B146,Calculations!$B$2:$B$200,0)),"")</f>
        <v/>
      </c>
      <c r="T146" s="47" t="str">
        <f>IFERROR(INDEX(Calculations!$DO$2:$DO$200,MATCH(B146,Calculations!$B$2:$B$200,0)),"")</f>
        <v/>
      </c>
      <c r="U146" s="33" t="str">
        <f>IFERROR(INDEX(Calculations!$Z$2:$Z$200,MATCH(B146,Calculations!$B$2:$B$200,0)),"")</f>
        <v/>
      </c>
      <c r="V146" s="11" t="str">
        <f>IFERROR(INDEX(Calculations!$DQ$2:$DQ$200,MATCH(B146,Calculations!$B$2:$B$200,0)),"")</f>
        <v/>
      </c>
      <c r="W146" s="15" t="str">
        <f>IFERROR(INDEX(Calculations!$DR$2:$DR$200,MATCH(B146,Calculations!$B$2:$B$200,0)),"")</f>
        <v/>
      </c>
    </row>
    <row r="147" spans="16:23">
      <c r="P147" s="33" t="str">
        <f t="shared" si="15"/>
        <v/>
      </c>
      <c r="Q147" s="33" t="str">
        <f t="shared" si="13"/>
        <v/>
      </c>
      <c r="R147" s="45" t="str">
        <f t="shared" si="14"/>
        <v/>
      </c>
      <c r="S147" s="1" t="str">
        <f>IFERROR(INDEX(Calculations!$DP$2:$DP$200,MATCH(B147,Calculations!$B$2:$B$200,0)),"")</f>
        <v/>
      </c>
      <c r="T147" s="47" t="str">
        <f>IFERROR(INDEX(Calculations!$DO$2:$DO$200,MATCH(B147,Calculations!$B$2:$B$200,0)),"")</f>
        <v/>
      </c>
      <c r="U147" s="33" t="str">
        <f>IFERROR(INDEX(Calculations!$Z$2:$Z$200,MATCH(B147,Calculations!$B$2:$B$200,0)),"")</f>
        <v/>
      </c>
      <c r="V147" s="11" t="str">
        <f>IFERROR(INDEX(Calculations!$DQ$2:$DQ$200,MATCH(B147,Calculations!$B$2:$B$200,0)),"")</f>
        <v/>
      </c>
      <c r="W147" s="15" t="str">
        <f>IFERROR(INDEX(Calculations!$DR$2:$DR$200,MATCH(B147,Calculations!$B$2:$B$200,0)),"")</f>
        <v/>
      </c>
    </row>
    <row r="148" spans="16:23">
      <c r="P148" s="33" t="str">
        <f t="shared" si="15"/>
        <v/>
      </c>
      <c r="Q148" s="33" t="str">
        <f t="shared" si="13"/>
        <v/>
      </c>
      <c r="R148" s="45" t="str">
        <f t="shared" si="14"/>
        <v/>
      </c>
      <c r="S148" s="1" t="str">
        <f>IFERROR(INDEX(Calculations!$DP$2:$DP$200,MATCH(B148,Calculations!$B$2:$B$200,0)),"")</f>
        <v/>
      </c>
      <c r="T148" s="47" t="str">
        <f>IFERROR(INDEX(Calculations!$DO$2:$DO$200,MATCH(B148,Calculations!$B$2:$B$200,0)),"")</f>
        <v/>
      </c>
      <c r="U148" s="33" t="str">
        <f>IFERROR(INDEX(Calculations!$Z$2:$Z$200,MATCH(B148,Calculations!$B$2:$B$200,0)),"")</f>
        <v/>
      </c>
      <c r="V148" s="11" t="str">
        <f>IFERROR(INDEX(Calculations!$DQ$2:$DQ$200,MATCH(B148,Calculations!$B$2:$B$200,0)),"")</f>
        <v/>
      </c>
      <c r="W148" s="15" t="str">
        <f>IFERROR(INDEX(Calculations!$DR$2:$DR$200,MATCH(B148,Calculations!$B$2:$B$200,0)),"")</f>
        <v/>
      </c>
    </row>
    <row r="149" spans="16:23">
      <c r="P149" s="33" t="str">
        <f t="shared" si="15"/>
        <v/>
      </c>
      <c r="Q149" s="33" t="str">
        <f t="shared" si="13"/>
        <v/>
      </c>
      <c r="R149" s="45" t="str">
        <f t="shared" si="14"/>
        <v/>
      </c>
      <c r="S149" s="1" t="str">
        <f>IFERROR(INDEX(Calculations!$DP$2:$DP$200,MATCH(B149,Calculations!$B$2:$B$200,0)),"")</f>
        <v/>
      </c>
      <c r="T149" s="47" t="str">
        <f>IFERROR(INDEX(Calculations!$DO$2:$DO$200,MATCH(B149,Calculations!$B$2:$B$200,0)),"")</f>
        <v/>
      </c>
      <c r="U149" s="33" t="str">
        <f>IFERROR(INDEX(Calculations!$Z$2:$Z$200,MATCH(B149,Calculations!$B$2:$B$200,0)),"")</f>
        <v/>
      </c>
      <c r="V149" s="11" t="str">
        <f>IFERROR(INDEX(Calculations!$DQ$2:$DQ$200,MATCH(B149,Calculations!$B$2:$B$200,0)),"")</f>
        <v/>
      </c>
      <c r="W149" s="15" t="str">
        <f>IFERROR(INDEX(Calculations!$DR$2:$DR$200,MATCH(B149,Calculations!$B$2:$B$200,0)),"")</f>
        <v/>
      </c>
    </row>
    <row r="150" spans="16:23">
      <c r="P150" s="33" t="str">
        <f t="shared" si="15"/>
        <v/>
      </c>
      <c r="Q150" s="33" t="str">
        <f t="shared" si="13"/>
        <v/>
      </c>
      <c r="R150" s="45" t="str">
        <f t="shared" si="14"/>
        <v/>
      </c>
      <c r="S150" s="1" t="str">
        <f>IFERROR(INDEX(Calculations!$DP$2:$DP$200,MATCH(B150,Calculations!$B$2:$B$200,0)),"")</f>
        <v/>
      </c>
      <c r="T150" s="47" t="str">
        <f>IFERROR(INDEX(Calculations!$DO$2:$DO$200,MATCH(B150,Calculations!$B$2:$B$200,0)),"")</f>
        <v/>
      </c>
      <c r="U150" s="33" t="str">
        <f>IFERROR(INDEX(Calculations!$Z$2:$Z$200,MATCH(B150,Calculations!$B$2:$B$200,0)),"")</f>
        <v/>
      </c>
      <c r="V150" s="11" t="str">
        <f>IFERROR(INDEX(Calculations!$DQ$2:$DQ$200,MATCH(B150,Calculations!$B$2:$B$200,0)),"")</f>
        <v/>
      </c>
      <c r="W150" s="15" t="str">
        <f>IFERROR(INDEX(Calculations!$DR$2:$DR$200,MATCH(B150,Calculations!$B$2:$B$200,0)),"")</f>
        <v/>
      </c>
    </row>
    <row r="151" spans="16:23">
      <c r="P151" s="33" t="str">
        <f t="shared" si="15"/>
        <v/>
      </c>
      <c r="Q151" s="33" t="str">
        <f t="shared" si="13"/>
        <v/>
      </c>
      <c r="R151" s="45" t="str">
        <f t="shared" si="14"/>
        <v/>
      </c>
      <c r="S151" s="1" t="str">
        <f>IFERROR(INDEX(Calculations!$DP$2:$DP$200,MATCH(B151,Calculations!$B$2:$B$200,0)),"")</f>
        <v/>
      </c>
      <c r="T151" s="47" t="str">
        <f>IFERROR(INDEX(Calculations!$DO$2:$DO$200,MATCH(B151,Calculations!$B$2:$B$200,0)),"")</f>
        <v/>
      </c>
      <c r="U151" s="33" t="str">
        <f>IFERROR(INDEX(Calculations!$Z$2:$Z$200,MATCH(B151,Calculations!$B$2:$B$200,0)),"")</f>
        <v/>
      </c>
      <c r="V151" s="11" t="str">
        <f>IFERROR(INDEX(Calculations!$DQ$2:$DQ$200,MATCH(B151,Calculations!$B$2:$B$200,0)),"")</f>
        <v/>
      </c>
      <c r="W151" s="15" t="str">
        <f>IFERROR(INDEX(Calculations!$DR$2:$DR$200,MATCH(B151,Calculations!$B$2:$B$200,0)),"")</f>
        <v/>
      </c>
    </row>
    <row r="152" spans="16:23">
      <c r="P152" s="33" t="str">
        <f t="shared" si="15"/>
        <v/>
      </c>
      <c r="Q152" s="33" t="str">
        <f t="shared" si="13"/>
        <v/>
      </c>
      <c r="R152" s="45" t="str">
        <f t="shared" si="14"/>
        <v/>
      </c>
      <c r="S152" s="1" t="str">
        <f>IFERROR(INDEX(Calculations!$DP$2:$DP$200,MATCH(B152,Calculations!$B$2:$B$200,0)),"")</f>
        <v/>
      </c>
      <c r="T152" s="47" t="str">
        <f>IFERROR(INDEX(Calculations!$DO$2:$DO$200,MATCH(B152,Calculations!$B$2:$B$200,0)),"")</f>
        <v/>
      </c>
      <c r="U152" s="33" t="str">
        <f>IFERROR(INDEX(Calculations!$Z$2:$Z$200,MATCH(B152,Calculations!$B$2:$B$200,0)),"")</f>
        <v/>
      </c>
      <c r="V152" s="11" t="str">
        <f>IFERROR(INDEX(Calculations!$DQ$2:$DQ$200,MATCH(B152,Calculations!$B$2:$B$200,0)),"")</f>
        <v/>
      </c>
      <c r="W152" s="15" t="str">
        <f>IFERROR(INDEX(Calculations!$DR$2:$DR$200,MATCH(B152,Calculations!$B$2:$B$200,0)),"")</f>
        <v/>
      </c>
    </row>
    <row r="153" spans="16:23">
      <c r="P153" s="33" t="str">
        <f t="shared" si="15"/>
        <v/>
      </c>
      <c r="Q153" s="33" t="str">
        <f t="shared" si="13"/>
        <v/>
      </c>
      <c r="R153" s="45" t="str">
        <f t="shared" si="14"/>
        <v/>
      </c>
      <c r="S153" s="1" t="str">
        <f>IFERROR(INDEX(Calculations!$DP$2:$DP$200,MATCH(B153,Calculations!$B$2:$B$200,0)),"")</f>
        <v/>
      </c>
      <c r="T153" s="47" t="str">
        <f>IFERROR(INDEX(Calculations!$DO$2:$DO$200,MATCH(B153,Calculations!$B$2:$B$200,0)),"")</f>
        <v/>
      </c>
      <c r="U153" s="33" t="str">
        <f>IFERROR(INDEX(Calculations!$Z$2:$Z$200,MATCH(B153,Calculations!$B$2:$B$200,0)),"")</f>
        <v/>
      </c>
      <c r="V153" s="11" t="str">
        <f>IFERROR(INDEX(Calculations!$DQ$2:$DQ$200,MATCH(B153,Calculations!$B$2:$B$200,0)),"")</f>
        <v/>
      </c>
      <c r="W153" s="15" t="str">
        <f>IFERROR(INDEX(Calculations!$DR$2:$DR$200,MATCH(B153,Calculations!$B$2:$B$200,0)),"")</f>
        <v/>
      </c>
    </row>
    <row r="154" spans="16:23">
      <c r="P154" s="33" t="str">
        <f t="shared" si="15"/>
        <v/>
      </c>
      <c r="Q154" s="33" t="str">
        <f t="shared" si="13"/>
        <v/>
      </c>
      <c r="R154" s="45" t="str">
        <f t="shared" si="14"/>
        <v/>
      </c>
      <c r="S154" s="1" t="str">
        <f>IFERROR(INDEX(Calculations!$DP$2:$DP$200,MATCH(B154,Calculations!$B$2:$B$200,0)),"")</f>
        <v/>
      </c>
      <c r="T154" s="47" t="str">
        <f>IFERROR(INDEX(Calculations!$DO$2:$DO$200,MATCH(B154,Calculations!$B$2:$B$200,0)),"")</f>
        <v/>
      </c>
      <c r="U154" s="33" t="str">
        <f>IFERROR(INDEX(Calculations!$Z$2:$Z$200,MATCH(B154,Calculations!$B$2:$B$200,0)),"")</f>
        <v/>
      </c>
      <c r="V154" s="11" t="str">
        <f>IFERROR(INDEX(Calculations!$DQ$2:$DQ$200,MATCH(B154,Calculations!$B$2:$B$200,0)),"")</f>
        <v/>
      </c>
      <c r="W154" s="15" t="str">
        <f>IFERROR(INDEX(Calculations!$DR$2:$DR$200,MATCH(B154,Calculations!$B$2:$B$200,0)),"")</f>
        <v/>
      </c>
    </row>
    <row r="155" spans="16:23">
      <c r="P155" s="33" t="str">
        <f t="shared" si="15"/>
        <v/>
      </c>
      <c r="Q155" s="33" t="str">
        <f t="shared" si="13"/>
        <v/>
      </c>
      <c r="R155" s="45" t="str">
        <f t="shared" si="14"/>
        <v/>
      </c>
      <c r="S155" s="1" t="str">
        <f>IFERROR(INDEX(Calculations!$DP$2:$DP$200,MATCH(B155,Calculations!$B$2:$B$200,0)),"")</f>
        <v/>
      </c>
      <c r="T155" s="47" t="str">
        <f>IFERROR(INDEX(Calculations!$DO$2:$DO$200,MATCH(B155,Calculations!$B$2:$B$200,0)),"")</f>
        <v/>
      </c>
      <c r="U155" s="33" t="str">
        <f>IFERROR(INDEX(Calculations!$Z$2:$Z$200,MATCH(B155,Calculations!$B$2:$B$200,0)),"")</f>
        <v/>
      </c>
      <c r="V155" s="11" t="str">
        <f>IFERROR(INDEX(Calculations!$DQ$2:$DQ$200,MATCH(B155,Calculations!$B$2:$B$200,0)),"")</f>
        <v/>
      </c>
      <c r="W155" s="15" t="str">
        <f>IFERROR(INDEX(Calculations!$DR$2:$DR$200,MATCH(B155,Calculations!$B$2:$B$200,0)),"")</f>
        <v/>
      </c>
    </row>
    <row r="156" spans="16:23">
      <c r="P156" s="33" t="str">
        <f t="shared" si="15"/>
        <v/>
      </c>
      <c r="Q156" s="33" t="str">
        <f t="shared" si="13"/>
        <v/>
      </c>
      <c r="R156" s="45" t="str">
        <f t="shared" si="14"/>
        <v/>
      </c>
      <c r="S156" s="1" t="str">
        <f>IFERROR(INDEX(Calculations!$DP$2:$DP$200,MATCH(B156,Calculations!$B$2:$B$200,0)),"")</f>
        <v/>
      </c>
      <c r="T156" s="47" t="str">
        <f>IFERROR(INDEX(Calculations!$DO$2:$DO$200,MATCH(B156,Calculations!$B$2:$B$200,0)),"")</f>
        <v/>
      </c>
      <c r="U156" s="33" t="str">
        <f>IFERROR(INDEX(Calculations!$Z$2:$Z$200,MATCH(B156,Calculations!$B$2:$B$200,0)),"")</f>
        <v/>
      </c>
      <c r="V156" s="11" t="str">
        <f>IFERROR(INDEX(Calculations!$DQ$2:$DQ$200,MATCH(B156,Calculations!$B$2:$B$200,0)),"")</f>
        <v/>
      </c>
      <c r="W156" s="15" t="str">
        <f>IFERROR(INDEX(Calculations!$DR$2:$DR$200,MATCH(B156,Calculations!$B$2:$B$200,0)),"")</f>
        <v/>
      </c>
    </row>
    <row r="157" spans="16:23">
      <c r="P157" s="33" t="str">
        <f t="shared" si="15"/>
        <v/>
      </c>
      <c r="Q157" s="33" t="str">
        <f t="shared" si="13"/>
        <v/>
      </c>
      <c r="R157" s="45" t="str">
        <f t="shared" si="14"/>
        <v/>
      </c>
      <c r="S157" s="1" t="str">
        <f>IFERROR(INDEX(Calculations!$DP$2:$DP$200,MATCH(B157,Calculations!$B$2:$B$200,0)),"")</f>
        <v/>
      </c>
      <c r="T157" s="47" t="str">
        <f>IFERROR(INDEX(Calculations!$DO$2:$DO$200,MATCH(B157,Calculations!$B$2:$B$200,0)),"")</f>
        <v/>
      </c>
      <c r="U157" s="33" t="str">
        <f>IFERROR(INDEX(Calculations!$Z$2:$Z$200,MATCH(B157,Calculations!$B$2:$B$200,0)),"")</f>
        <v/>
      </c>
      <c r="V157" s="11" t="str">
        <f>IFERROR(INDEX(Calculations!$DQ$2:$DQ$200,MATCH(B157,Calculations!$B$2:$B$200,0)),"")</f>
        <v/>
      </c>
      <c r="W157" s="15" t="str">
        <f>IFERROR(INDEX(Calculations!$DR$2:$DR$200,MATCH(B157,Calculations!$B$2:$B$200,0)),"")</f>
        <v/>
      </c>
    </row>
    <row r="158" spans="16:23">
      <c r="P158" s="33" t="str">
        <f t="shared" si="15"/>
        <v/>
      </c>
      <c r="Q158" s="33" t="str">
        <f t="shared" si="13"/>
        <v/>
      </c>
      <c r="R158" s="45" t="str">
        <f t="shared" si="14"/>
        <v/>
      </c>
      <c r="S158" s="1" t="str">
        <f>IFERROR(INDEX(Calculations!$DP$2:$DP$200,MATCH(B158,Calculations!$B$2:$B$200,0)),"")</f>
        <v/>
      </c>
      <c r="T158" s="47" t="str">
        <f>IFERROR(INDEX(Calculations!$DO$2:$DO$200,MATCH(B158,Calculations!$B$2:$B$200,0)),"")</f>
        <v/>
      </c>
      <c r="U158" s="33" t="str">
        <f>IFERROR(INDEX(Calculations!$Z$2:$Z$200,MATCH(B158,Calculations!$B$2:$B$200,0)),"")</f>
        <v/>
      </c>
      <c r="V158" s="11" t="str">
        <f>IFERROR(INDEX(Calculations!$DQ$2:$DQ$200,MATCH(B158,Calculations!$B$2:$B$200,0)),"")</f>
        <v/>
      </c>
      <c r="W158" s="15" t="str">
        <f>IFERROR(INDEX(Calculations!$DR$2:$DR$200,MATCH(B158,Calculations!$B$2:$B$200,0)),"")</f>
        <v/>
      </c>
    </row>
    <row r="159" spans="16:23">
      <c r="P159" s="33" t="str">
        <f t="shared" si="15"/>
        <v/>
      </c>
      <c r="Q159" s="33" t="str">
        <f t="shared" si="13"/>
        <v/>
      </c>
      <c r="R159" s="45" t="str">
        <f t="shared" si="14"/>
        <v/>
      </c>
      <c r="S159" s="1" t="str">
        <f>IFERROR(INDEX(Calculations!$DP$2:$DP$200,MATCH(B159,Calculations!$B$2:$B$200,0)),"")</f>
        <v/>
      </c>
      <c r="T159" s="47" t="str">
        <f>IFERROR(INDEX(Calculations!$DO$2:$DO$200,MATCH(B159,Calculations!$B$2:$B$200,0)),"")</f>
        <v/>
      </c>
      <c r="U159" s="33" t="str">
        <f>IFERROR(INDEX(Calculations!$Z$2:$Z$200,MATCH(B159,Calculations!$B$2:$B$200,0)),"")</f>
        <v/>
      </c>
      <c r="V159" s="11" t="str">
        <f>IFERROR(INDEX(Calculations!$DQ$2:$DQ$200,MATCH(B159,Calculations!$B$2:$B$200,0)),"")</f>
        <v/>
      </c>
      <c r="W159" s="15" t="str">
        <f>IFERROR(INDEX(Calculations!$DR$2:$DR$200,MATCH(B159,Calculations!$B$2:$B$200,0)),"")</f>
        <v/>
      </c>
    </row>
    <row r="160" spans="16:23">
      <c r="P160" s="33" t="str">
        <f t="shared" si="15"/>
        <v/>
      </c>
      <c r="Q160" s="33" t="str">
        <f t="shared" si="13"/>
        <v/>
      </c>
      <c r="R160" s="45" t="str">
        <f t="shared" si="14"/>
        <v/>
      </c>
      <c r="S160" s="1" t="str">
        <f>IFERROR(INDEX(Calculations!$DP$2:$DP$200,MATCH(B160,Calculations!$B$2:$B$200,0)),"")</f>
        <v/>
      </c>
      <c r="T160" s="47" t="str">
        <f>IFERROR(INDEX(Calculations!$DO$2:$DO$200,MATCH(B160,Calculations!$B$2:$B$200,0)),"")</f>
        <v/>
      </c>
      <c r="U160" s="33" t="str">
        <f>IFERROR(INDEX(Calculations!$Z$2:$Z$200,MATCH(B160,Calculations!$B$2:$B$200,0)),"")</f>
        <v/>
      </c>
      <c r="V160" s="11" t="str">
        <f>IFERROR(INDEX(Calculations!$DQ$2:$DQ$200,MATCH(B160,Calculations!$B$2:$B$200,0)),"")</f>
        <v/>
      </c>
      <c r="W160" s="15" t="str">
        <f>IFERROR(INDEX(Calculations!$DR$2:$DR$200,MATCH(B160,Calculations!$B$2:$B$200,0)),"")</f>
        <v/>
      </c>
    </row>
    <row r="161" spans="16:23">
      <c r="P161" s="33" t="str">
        <f t="shared" si="15"/>
        <v/>
      </c>
      <c r="Q161" s="33" t="str">
        <f t="shared" si="13"/>
        <v/>
      </c>
      <c r="R161" s="45" t="str">
        <f t="shared" si="14"/>
        <v/>
      </c>
      <c r="S161" s="1" t="str">
        <f>IFERROR(INDEX(Calculations!$DP$2:$DP$200,MATCH(B161,Calculations!$B$2:$B$200,0)),"")</f>
        <v/>
      </c>
      <c r="T161" s="47" t="str">
        <f>IFERROR(INDEX(Calculations!$DO$2:$DO$200,MATCH(B161,Calculations!$B$2:$B$200,0)),"")</f>
        <v/>
      </c>
      <c r="U161" s="33" t="str">
        <f>IFERROR(INDEX(Calculations!$Z$2:$Z$200,MATCH(B161,Calculations!$B$2:$B$200,0)),"")</f>
        <v/>
      </c>
      <c r="V161" s="11" t="str">
        <f>IFERROR(INDEX(Calculations!$DQ$2:$DQ$200,MATCH(B161,Calculations!$B$2:$B$200,0)),"")</f>
        <v/>
      </c>
      <c r="W161" s="15" t="str">
        <f>IFERROR(INDEX(Calculations!$DR$2:$DR$200,MATCH(B161,Calculations!$B$2:$B$200,0)),"")</f>
        <v/>
      </c>
    </row>
    <row r="162" spans="16:23">
      <c r="P162" s="33" t="str">
        <f t="shared" si="15"/>
        <v/>
      </c>
      <c r="Q162" s="33" t="str">
        <f t="shared" ref="Q162:Q193" si="16">IF(ISBLANK(A162),"",B162)</f>
        <v/>
      </c>
      <c r="R162" s="45" t="str">
        <f t="shared" ref="R162:R193" si="17">IF(ISBLANK(A162),"",C162)</f>
        <v/>
      </c>
      <c r="S162" s="1" t="str">
        <f>IFERROR(INDEX(Calculations!$DP$2:$DP$200,MATCH(B162,Calculations!$B$2:$B$200,0)),"")</f>
        <v/>
      </c>
      <c r="T162" s="47" t="str">
        <f>IFERROR(INDEX(Calculations!$DO$2:$DO$200,MATCH(B162,Calculations!$B$2:$B$200,0)),"")</f>
        <v/>
      </c>
      <c r="U162" s="33" t="str">
        <f>IFERROR(INDEX(Calculations!$Z$2:$Z$200,MATCH(B162,Calculations!$B$2:$B$200,0)),"")</f>
        <v/>
      </c>
      <c r="V162" s="11" t="str">
        <f>IFERROR(INDEX(Calculations!$DQ$2:$DQ$200,MATCH(B162,Calculations!$B$2:$B$200,0)),"")</f>
        <v/>
      </c>
      <c r="W162" s="15" t="str">
        <f>IFERROR(INDEX(Calculations!$DR$2:$DR$200,MATCH(B162,Calculations!$B$2:$B$200,0)),"")</f>
        <v/>
      </c>
    </row>
    <row r="163" spans="16:23">
      <c r="P163" s="33" t="str">
        <f t="shared" si="15"/>
        <v/>
      </c>
      <c r="Q163" s="33" t="str">
        <f t="shared" si="16"/>
        <v/>
      </c>
      <c r="R163" s="45" t="str">
        <f t="shared" si="17"/>
        <v/>
      </c>
      <c r="S163" s="1" t="str">
        <f>IFERROR(INDEX(Calculations!$DP$2:$DP$200,MATCH(B163,Calculations!$B$2:$B$200,0)),"")</f>
        <v/>
      </c>
      <c r="T163" s="47" t="str">
        <f>IFERROR(INDEX(Calculations!$DO$2:$DO$200,MATCH(B163,Calculations!$B$2:$B$200,0)),"")</f>
        <v/>
      </c>
      <c r="U163" s="33" t="str">
        <f>IFERROR(INDEX(Calculations!$Z$2:$Z$200,MATCH(B163,Calculations!$B$2:$B$200,0)),"")</f>
        <v/>
      </c>
      <c r="V163" s="11" t="str">
        <f>IFERROR(INDEX(Calculations!$DQ$2:$DQ$200,MATCH(B163,Calculations!$B$2:$B$200,0)),"")</f>
        <v/>
      </c>
      <c r="W163" s="15" t="str">
        <f>IFERROR(INDEX(Calculations!$DR$2:$DR$200,MATCH(B163,Calculations!$B$2:$B$200,0)),"")</f>
        <v/>
      </c>
    </row>
    <row r="164" spans="16:23">
      <c r="P164" s="33" t="str">
        <f t="shared" si="15"/>
        <v/>
      </c>
      <c r="Q164" s="33" t="str">
        <f t="shared" si="16"/>
        <v/>
      </c>
      <c r="R164" s="45" t="str">
        <f t="shared" si="17"/>
        <v/>
      </c>
      <c r="S164" s="1" t="str">
        <f>IFERROR(INDEX(Calculations!$DP$2:$DP$200,MATCH(B164,Calculations!$B$2:$B$200,0)),"")</f>
        <v/>
      </c>
      <c r="T164" s="47" t="str">
        <f>IFERROR(INDEX(Calculations!$DO$2:$DO$200,MATCH(B164,Calculations!$B$2:$B$200,0)),"")</f>
        <v/>
      </c>
      <c r="U164" s="33" t="str">
        <f>IFERROR(INDEX(Calculations!$Z$2:$Z$200,MATCH(B164,Calculations!$B$2:$B$200,0)),"")</f>
        <v/>
      </c>
      <c r="V164" s="11" t="str">
        <f>IFERROR(INDEX(Calculations!$DQ$2:$DQ$200,MATCH(B164,Calculations!$B$2:$B$200,0)),"")</f>
        <v/>
      </c>
      <c r="W164" s="15" t="str">
        <f>IFERROR(INDEX(Calculations!$DR$2:$DR$200,MATCH(B164,Calculations!$B$2:$B$200,0)),"")</f>
        <v/>
      </c>
    </row>
    <row r="165" spans="16:23">
      <c r="P165" s="33" t="str">
        <f t="shared" si="15"/>
        <v/>
      </c>
      <c r="Q165" s="33" t="str">
        <f t="shared" si="16"/>
        <v/>
      </c>
      <c r="R165" s="45" t="str">
        <f t="shared" si="17"/>
        <v/>
      </c>
      <c r="S165" s="1" t="str">
        <f>IFERROR(INDEX(Calculations!$DP$2:$DP$200,MATCH(B165,Calculations!$B$2:$B$200,0)),"")</f>
        <v/>
      </c>
      <c r="T165" s="47" t="str">
        <f>IFERROR(INDEX(Calculations!$DO$2:$DO$200,MATCH(B165,Calculations!$B$2:$B$200,0)),"")</f>
        <v/>
      </c>
      <c r="U165" s="33" t="str">
        <f>IFERROR(INDEX(Calculations!$Z$2:$Z$200,MATCH(B165,Calculations!$B$2:$B$200,0)),"")</f>
        <v/>
      </c>
      <c r="V165" s="11" t="str">
        <f>IFERROR(INDEX(Calculations!$DQ$2:$DQ$200,MATCH(B165,Calculations!$B$2:$B$200,0)),"")</f>
        <v/>
      </c>
      <c r="W165" s="15" t="str">
        <f>IFERROR(INDEX(Calculations!$DR$2:$DR$200,MATCH(B165,Calculations!$B$2:$B$200,0)),"")</f>
        <v/>
      </c>
    </row>
    <row r="166" spans="16:23">
      <c r="P166" s="33" t="str">
        <f t="shared" si="15"/>
        <v/>
      </c>
      <c r="Q166" s="33" t="str">
        <f t="shared" si="16"/>
        <v/>
      </c>
      <c r="R166" s="45" t="str">
        <f t="shared" si="17"/>
        <v/>
      </c>
      <c r="S166" s="1" t="str">
        <f>IFERROR(INDEX(Calculations!$DP$2:$DP$200,MATCH(B166,Calculations!$B$2:$B$200,0)),"")</f>
        <v/>
      </c>
      <c r="T166" s="47" t="str">
        <f>IFERROR(INDEX(Calculations!$DO$2:$DO$200,MATCH(B166,Calculations!$B$2:$B$200,0)),"")</f>
        <v/>
      </c>
      <c r="U166" s="33" t="str">
        <f>IFERROR(INDEX(Calculations!$Z$2:$Z$200,MATCH(B166,Calculations!$B$2:$B$200,0)),"")</f>
        <v/>
      </c>
      <c r="V166" s="11" t="str">
        <f>IFERROR(INDEX(Calculations!$DQ$2:$DQ$200,MATCH(B166,Calculations!$B$2:$B$200,0)),"")</f>
        <v/>
      </c>
      <c r="W166" s="15" t="str">
        <f>IFERROR(INDEX(Calculations!$DR$2:$DR$200,MATCH(B166,Calculations!$B$2:$B$200,0)),"")</f>
        <v/>
      </c>
    </row>
    <row r="167" spans="16:23">
      <c r="P167" s="33" t="str">
        <f t="shared" si="15"/>
        <v/>
      </c>
      <c r="Q167" s="33" t="str">
        <f t="shared" si="16"/>
        <v/>
      </c>
      <c r="R167" s="45" t="str">
        <f t="shared" si="17"/>
        <v/>
      </c>
      <c r="S167" s="1" t="str">
        <f>IFERROR(INDEX(Calculations!$DP$2:$DP$200,MATCH(B167,Calculations!$B$2:$B$200,0)),"")</f>
        <v/>
      </c>
      <c r="T167" s="47" t="str">
        <f>IFERROR(INDEX(Calculations!$DO$2:$DO$200,MATCH(B167,Calculations!$B$2:$B$200,0)),"")</f>
        <v/>
      </c>
      <c r="U167" s="33" t="str">
        <f>IFERROR(INDEX(Calculations!$Z$2:$Z$200,MATCH(B167,Calculations!$B$2:$B$200,0)),"")</f>
        <v/>
      </c>
      <c r="V167" s="11" t="str">
        <f>IFERROR(INDEX(Calculations!$DQ$2:$DQ$200,MATCH(B167,Calculations!$B$2:$B$200,0)),"")</f>
        <v/>
      </c>
      <c r="W167" s="15" t="str">
        <f>IFERROR(INDEX(Calculations!$DR$2:$DR$200,MATCH(B167,Calculations!$B$2:$B$200,0)),"")</f>
        <v/>
      </c>
    </row>
    <row r="168" spans="16:23">
      <c r="P168" s="33" t="str">
        <f t="shared" si="15"/>
        <v/>
      </c>
      <c r="Q168" s="33" t="str">
        <f t="shared" si="16"/>
        <v/>
      </c>
      <c r="R168" s="45" t="str">
        <f t="shared" si="17"/>
        <v/>
      </c>
      <c r="S168" s="1" t="str">
        <f>IFERROR(INDEX(Calculations!$DP$2:$DP$200,MATCH(B168,Calculations!$B$2:$B$200,0)),"")</f>
        <v/>
      </c>
      <c r="T168" s="47" t="str">
        <f>IFERROR(INDEX(Calculations!$DO$2:$DO$200,MATCH(B168,Calculations!$B$2:$B$200,0)),"")</f>
        <v/>
      </c>
      <c r="U168" s="33" t="str">
        <f>IFERROR(INDEX(Calculations!$Z$2:$Z$200,MATCH(B168,Calculations!$B$2:$B$200,0)),"")</f>
        <v/>
      </c>
      <c r="V168" s="11" t="str">
        <f>IFERROR(INDEX(Calculations!$DQ$2:$DQ$200,MATCH(B168,Calculations!$B$2:$B$200,0)),"")</f>
        <v/>
      </c>
      <c r="W168" s="15" t="str">
        <f>IFERROR(INDEX(Calculations!$DR$2:$DR$200,MATCH(B168,Calculations!$B$2:$B$200,0)),"")</f>
        <v/>
      </c>
    </row>
    <row r="169" spans="16:23">
      <c r="P169" s="33" t="str">
        <f t="shared" si="15"/>
        <v/>
      </c>
      <c r="Q169" s="33" t="str">
        <f t="shared" si="16"/>
        <v/>
      </c>
      <c r="R169" s="45" t="str">
        <f t="shared" si="17"/>
        <v/>
      </c>
      <c r="S169" s="1" t="str">
        <f>IFERROR(INDEX(Calculations!$DP$2:$DP$200,MATCH(B169,Calculations!$B$2:$B$200,0)),"")</f>
        <v/>
      </c>
      <c r="T169" s="47" t="str">
        <f>IFERROR(INDEX(Calculations!$DO$2:$DO$200,MATCH(B169,Calculations!$B$2:$B$200,0)),"")</f>
        <v/>
      </c>
      <c r="U169" s="33" t="str">
        <f>IFERROR(INDEX(Calculations!$Z$2:$Z$200,MATCH(B169,Calculations!$B$2:$B$200,0)),"")</f>
        <v/>
      </c>
      <c r="V169" s="11" t="str">
        <f>IFERROR(INDEX(Calculations!$DQ$2:$DQ$200,MATCH(B169,Calculations!$B$2:$B$200,0)),"")</f>
        <v/>
      </c>
      <c r="W169" s="15" t="str">
        <f>IFERROR(INDEX(Calculations!$DR$2:$DR$200,MATCH(B169,Calculations!$B$2:$B$200,0)),"")</f>
        <v/>
      </c>
    </row>
    <row r="170" spans="16:23">
      <c r="P170" s="33" t="str">
        <f t="shared" si="15"/>
        <v/>
      </c>
      <c r="Q170" s="33" t="str">
        <f t="shared" si="16"/>
        <v/>
      </c>
      <c r="R170" s="45" t="str">
        <f t="shared" si="17"/>
        <v/>
      </c>
      <c r="S170" s="1" t="str">
        <f>IFERROR(INDEX(Calculations!$DP$2:$DP$200,MATCH(B170,Calculations!$B$2:$B$200,0)),"")</f>
        <v/>
      </c>
      <c r="T170" s="47" t="str">
        <f>IFERROR(INDEX(Calculations!$DO$2:$DO$200,MATCH(B170,Calculations!$B$2:$B$200,0)),"")</f>
        <v/>
      </c>
      <c r="U170" s="33" t="str">
        <f>IFERROR(INDEX(Calculations!$Z$2:$Z$200,MATCH(B170,Calculations!$B$2:$B$200,0)),"")</f>
        <v/>
      </c>
      <c r="V170" s="11" t="str">
        <f>IFERROR(INDEX(Calculations!$DQ$2:$DQ$200,MATCH(B170,Calculations!$B$2:$B$200,0)),"")</f>
        <v/>
      </c>
      <c r="W170" s="15" t="str">
        <f>IFERROR(INDEX(Calculations!$DR$2:$DR$200,MATCH(B170,Calculations!$B$2:$B$200,0)),"")</f>
        <v/>
      </c>
    </row>
    <row r="171" spans="16:23">
      <c r="P171" s="33" t="str">
        <f t="shared" si="15"/>
        <v/>
      </c>
      <c r="Q171" s="33" t="str">
        <f t="shared" si="16"/>
        <v/>
      </c>
      <c r="R171" s="45" t="str">
        <f t="shared" si="17"/>
        <v/>
      </c>
      <c r="S171" s="1" t="str">
        <f>IFERROR(INDEX(Calculations!$DP$2:$DP$200,MATCH(B171,Calculations!$B$2:$B$200,0)),"")</f>
        <v/>
      </c>
      <c r="T171" s="47" t="str">
        <f>IFERROR(INDEX(Calculations!$DO$2:$DO$200,MATCH(B171,Calculations!$B$2:$B$200,0)),"")</f>
        <v/>
      </c>
      <c r="U171" s="33" t="str">
        <f>IFERROR(INDEX(Calculations!$Z$2:$Z$200,MATCH(B171,Calculations!$B$2:$B$200,0)),"")</f>
        <v/>
      </c>
      <c r="V171" s="11" t="str">
        <f>IFERROR(INDEX(Calculations!$DQ$2:$DQ$200,MATCH(B171,Calculations!$B$2:$B$200,0)),"")</f>
        <v/>
      </c>
      <c r="W171" s="15" t="str">
        <f>IFERROR(INDEX(Calculations!$DR$2:$DR$200,MATCH(B171,Calculations!$B$2:$B$200,0)),"")</f>
        <v/>
      </c>
    </row>
    <row r="172" spans="16:23">
      <c r="P172" s="33" t="str">
        <f t="shared" si="15"/>
        <v/>
      </c>
      <c r="Q172" s="33" t="str">
        <f t="shared" si="16"/>
        <v/>
      </c>
      <c r="R172" s="45" t="str">
        <f t="shared" si="17"/>
        <v/>
      </c>
      <c r="S172" s="1" t="str">
        <f>IFERROR(INDEX(Calculations!$DP$2:$DP$200,MATCH(B172,Calculations!$B$2:$B$200,0)),"")</f>
        <v/>
      </c>
      <c r="T172" s="47" t="str">
        <f>IFERROR(INDEX(Calculations!$DO$2:$DO$200,MATCH(B172,Calculations!$B$2:$B$200,0)),"")</f>
        <v/>
      </c>
      <c r="U172" s="33" t="str">
        <f>IFERROR(INDEX(Calculations!$Z$2:$Z$200,MATCH(B172,Calculations!$B$2:$B$200,0)),"")</f>
        <v/>
      </c>
      <c r="V172" s="11" t="str">
        <f>IFERROR(INDEX(Calculations!$DQ$2:$DQ$200,MATCH(B172,Calculations!$B$2:$B$200,0)),"")</f>
        <v/>
      </c>
      <c r="W172" s="15" t="str">
        <f>IFERROR(INDEX(Calculations!$DR$2:$DR$200,MATCH(B172,Calculations!$B$2:$B$200,0)),"")</f>
        <v/>
      </c>
    </row>
    <row r="173" spans="16:23">
      <c r="P173" s="33" t="str">
        <f t="shared" si="15"/>
        <v/>
      </c>
      <c r="Q173" s="33" t="str">
        <f t="shared" si="16"/>
        <v/>
      </c>
      <c r="R173" s="45" t="str">
        <f t="shared" si="17"/>
        <v/>
      </c>
      <c r="S173" s="1" t="str">
        <f>IFERROR(INDEX(Calculations!$DP$2:$DP$200,MATCH(B173,Calculations!$B$2:$B$200,0)),"")</f>
        <v/>
      </c>
      <c r="T173" s="47" t="str">
        <f>IFERROR(INDEX(Calculations!$DO$2:$DO$200,MATCH(B173,Calculations!$B$2:$B$200,0)),"")</f>
        <v/>
      </c>
      <c r="U173" s="33" t="str">
        <f>IFERROR(INDEX(Calculations!$Z$2:$Z$200,MATCH(B173,Calculations!$B$2:$B$200,0)),"")</f>
        <v/>
      </c>
      <c r="V173" s="11" t="str">
        <f>IFERROR(INDEX(Calculations!$DQ$2:$DQ$200,MATCH(B173,Calculations!$B$2:$B$200,0)),"")</f>
        <v/>
      </c>
      <c r="W173" s="15" t="str">
        <f>IFERROR(INDEX(Calculations!$DR$2:$DR$200,MATCH(B173,Calculations!$B$2:$B$200,0)),"")</f>
        <v/>
      </c>
    </row>
    <row r="174" spans="16:23">
      <c r="P174" s="33" t="str">
        <f t="shared" si="15"/>
        <v/>
      </c>
      <c r="Q174" s="33" t="str">
        <f t="shared" si="16"/>
        <v/>
      </c>
      <c r="R174" s="45" t="str">
        <f t="shared" si="17"/>
        <v/>
      </c>
      <c r="S174" s="1" t="str">
        <f>IFERROR(INDEX(Calculations!$DP$2:$DP$200,MATCH(B174,Calculations!$B$2:$B$200,0)),"")</f>
        <v/>
      </c>
      <c r="T174" s="47" t="str">
        <f>IFERROR(INDEX(Calculations!$DO$2:$DO$200,MATCH(B174,Calculations!$B$2:$B$200,0)),"")</f>
        <v/>
      </c>
      <c r="U174" s="33" t="str">
        <f>IFERROR(INDEX(Calculations!$Z$2:$Z$200,MATCH(B174,Calculations!$B$2:$B$200,0)),"")</f>
        <v/>
      </c>
      <c r="V174" s="11" t="str">
        <f>IFERROR(INDEX(Calculations!$DQ$2:$DQ$200,MATCH(B174,Calculations!$B$2:$B$200,0)),"")</f>
        <v/>
      </c>
      <c r="W174" s="15" t="str">
        <f>IFERROR(INDEX(Calculations!$DR$2:$DR$200,MATCH(B174,Calculations!$B$2:$B$200,0)),"")</f>
        <v/>
      </c>
    </row>
    <row r="175" spans="16:23">
      <c r="P175" s="33" t="str">
        <f t="shared" si="15"/>
        <v/>
      </c>
      <c r="Q175" s="33" t="str">
        <f t="shared" si="16"/>
        <v/>
      </c>
      <c r="R175" s="45" t="str">
        <f t="shared" si="17"/>
        <v/>
      </c>
      <c r="S175" s="1" t="str">
        <f>IFERROR(INDEX(Calculations!$DP$2:$DP$200,MATCH(B175,Calculations!$B$2:$B$200,0)),"")</f>
        <v/>
      </c>
      <c r="T175" s="47" t="str">
        <f>IFERROR(INDEX(Calculations!$DO$2:$DO$200,MATCH(B175,Calculations!$B$2:$B$200,0)),"")</f>
        <v/>
      </c>
      <c r="U175" s="33" t="str">
        <f>IFERROR(INDEX(Calculations!$Z$2:$Z$200,MATCH(B175,Calculations!$B$2:$B$200,0)),"")</f>
        <v/>
      </c>
      <c r="V175" s="11" t="str">
        <f>IFERROR(INDEX(Calculations!$DQ$2:$DQ$200,MATCH(B175,Calculations!$B$2:$B$200,0)),"")</f>
        <v/>
      </c>
      <c r="W175" s="15" t="str">
        <f>IFERROR(INDEX(Calculations!$DR$2:$DR$200,MATCH(B175,Calculations!$B$2:$B$200,0)),"")</f>
        <v/>
      </c>
    </row>
    <row r="176" spans="16:23">
      <c r="P176" s="33" t="str">
        <f t="shared" si="15"/>
        <v/>
      </c>
      <c r="Q176" s="33" t="str">
        <f t="shared" si="16"/>
        <v/>
      </c>
      <c r="R176" s="45" t="str">
        <f t="shared" si="17"/>
        <v/>
      </c>
      <c r="S176" s="1" t="str">
        <f>IFERROR(INDEX(Calculations!$DP$2:$DP$200,MATCH(B176,Calculations!$B$2:$B$200,0)),"")</f>
        <v/>
      </c>
      <c r="T176" s="47" t="str">
        <f>IFERROR(INDEX(Calculations!$DO$2:$DO$200,MATCH(B176,Calculations!$B$2:$B$200,0)),"")</f>
        <v/>
      </c>
      <c r="U176" s="33" t="str">
        <f>IFERROR(INDEX(Calculations!$Z$2:$Z$200,MATCH(B176,Calculations!$B$2:$B$200,0)),"")</f>
        <v/>
      </c>
      <c r="V176" s="11" t="str">
        <f>IFERROR(INDEX(Calculations!$DQ$2:$DQ$200,MATCH(B176,Calculations!$B$2:$B$200,0)),"")</f>
        <v/>
      </c>
      <c r="W176" s="15" t="str">
        <f>IFERROR(INDEX(Calculations!$DR$2:$DR$200,MATCH(B176,Calculations!$B$2:$B$200,0)),"")</f>
        <v/>
      </c>
    </row>
    <row r="177" spans="16:23">
      <c r="P177" s="33" t="str">
        <f t="shared" si="15"/>
        <v/>
      </c>
      <c r="Q177" s="33" t="str">
        <f t="shared" si="16"/>
        <v/>
      </c>
      <c r="R177" s="45" t="str">
        <f t="shared" si="17"/>
        <v/>
      </c>
      <c r="S177" s="1" t="str">
        <f>IFERROR(INDEX(Calculations!$DP$2:$DP$200,MATCH(B177,Calculations!$B$2:$B$200,0)),"")</f>
        <v/>
      </c>
      <c r="T177" s="47" t="str">
        <f>IFERROR(INDEX(Calculations!$DO$2:$DO$200,MATCH(B177,Calculations!$B$2:$B$200,0)),"")</f>
        <v/>
      </c>
      <c r="U177" s="33" t="str">
        <f>IFERROR(INDEX(Calculations!$Z$2:$Z$200,MATCH(B177,Calculations!$B$2:$B$200,0)),"")</f>
        <v/>
      </c>
      <c r="V177" s="11" t="str">
        <f>IFERROR(INDEX(Calculations!$DQ$2:$DQ$200,MATCH(B177,Calculations!$B$2:$B$200,0)),"")</f>
        <v/>
      </c>
      <c r="W177" s="15" t="str">
        <f>IFERROR(INDEX(Calculations!$DR$2:$DR$200,MATCH(B177,Calculations!$B$2:$B$200,0)),"")</f>
        <v/>
      </c>
    </row>
    <row r="178" spans="16:23">
      <c r="P178" s="33" t="str">
        <f t="shared" si="15"/>
        <v/>
      </c>
      <c r="Q178" s="33" t="str">
        <f t="shared" si="16"/>
        <v/>
      </c>
      <c r="R178" s="45" t="str">
        <f t="shared" si="17"/>
        <v/>
      </c>
      <c r="S178" s="1" t="str">
        <f>IFERROR(INDEX(Calculations!$DP$2:$DP$200,MATCH(B178,Calculations!$B$2:$B$200,0)),"")</f>
        <v/>
      </c>
      <c r="T178" s="47" t="str">
        <f>IFERROR(INDEX(Calculations!$DO$2:$DO$200,MATCH(B178,Calculations!$B$2:$B$200,0)),"")</f>
        <v/>
      </c>
      <c r="U178" s="33" t="str">
        <f>IFERROR(INDEX(Calculations!$Z$2:$Z$200,MATCH(B178,Calculations!$B$2:$B$200,0)),"")</f>
        <v/>
      </c>
      <c r="V178" s="11" t="str">
        <f>IFERROR(INDEX(Calculations!$DQ$2:$DQ$200,MATCH(B178,Calculations!$B$2:$B$200,0)),"")</f>
        <v/>
      </c>
      <c r="W178" s="15" t="str">
        <f>IFERROR(INDEX(Calculations!$DR$2:$DR$200,MATCH(B178,Calculations!$B$2:$B$200,0)),"")</f>
        <v/>
      </c>
    </row>
    <row r="179" spans="16:23">
      <c r="P179" s="33" t="str">
        <f t="shared" si="15"/>
        <v/>
      </c>
      <c r="Q179" s="33" t="str">
        <f t="shared" si="16"/>
        <v/>
      </c>
      <c r="R179" s="45" t="str">
        <f t="shared" si="17"/>
        <v/>
      </c>
      <c r="S179" s="1" t="str">
        <f>IFERROR(INDEX(Calculations!$DP$2:$DP$200,MATCH(B179,Calculations!$B$2:$B$200,0)),"")</f>
        <v/>
      </c>
      <c r="T179" s="47" t="str">
        <f>IFERROR(INDEX(Calculations!$DO$2:$DO$200,MATCH(B179,Calculations!$B$2:$B$200,0)),"")</f>
        <v/>
      </c>
      <c r="U179" s="33" t="str">
        <f>IFERROR(INDEX(Calculations!$Z$2:$Z$200,MATCH(B179,Calculations!$B$2:$B$200,0)),"")</f>
        <v/>
      </c>
      <c r="V179" s="11" t="str">
        <f>IFERROR(INDEX(Calculations!$DQ$2:$DQ$200,MATCH(B179,Calculations!$B$2:$B$200,0)),"")</f>
        <v/>
      </c>
      <c r="W179" s="15" t="str">
        <f>IFERROR(INDEX(Calculations!$DR$2:$DR$200,MATCH(B179,Calculations!$B$2:$B$200,0)),"")</f>
        <v/>
      </c>
    </row>
    <row r="180" spans="16:23">
      <c r="P180" s="33" t="str">
        <f t="shared" si="15"/>
        <v/>
      </c>
      <c r="Q180" s="33" t="str">
        <f t="shared" si="16"/>
        <v/>
      </c>
      <c r="R180" s="45" t="str">
        <f t="shared" si="17"/>
        <v/>
      </c>
      <c r="S180" s="1" t="str">
        <f>IFERROR(INDEX(Calculations!$DP$2:$DP$200,MATCH(B180,Calculations!$B$2:$B$200,0)),"")</f>
        <v/>
      </c>
      <c r="T180" s="47" t="str">
        <f>IFERROR(INDEX(Calculations!$DO$2:$DO$200,MATCH(B180,Calculations!$B$2:$B$200,0)),"")</f>
        <v/>
      </c>
      <c r="U180" s="33" t="str">
        <f>IFERROR(INDEX(Calculations!$Z$2:$Z$200,MATCH(B180,Calculations!$B$2:$B$200,0)),"")</f>
        <v/>
      </c>
      <c r="V180" s="11" t="str">
        <f>IFERROR(INDEX(Calculations!$DQ$2:$DQ$200,MATCH(B180,Calculations!$B$2:$B$200,0)),"")</f>
        <v/>
      </c>
      <c r="W180" s="15" t="str">
        <f>IFERROR(INDEX(Calculations!$DR$2:$DR$200,MATCH(B180,Calculations!$B$2:$B$200,0)),"")</f>
        <v/>
      </c>
    </row>
    <row r="181" spans="16:23">
      <c r="P181" s="33" t="str">
        <f t="shared" si="15"/>
        <v/>
      </c>
      <c r="Q181" s="33" t="str">
        <f t="shared" si="16"/>
        <v/>
      </c>
      <c r="R181" s="45" t="str">
        <f t="shared" si="17"/>
        <v/>
      </c>
      <c r="S181" s="1" t="str">
        <f>IFERROR(INDEX(Calculations!$DP$2:$DP$200,MATCH(B181,Calculations!$B$2:$B$200,0)),"")</f>
        <v/>
      </c>
      <c r="T181" s="47" t="str">
        <f>IFERROR(INDEX(Calculations!$DO$2:$DO$200,MATCH(B181,Calculations!$B$2:$B$200,0)),"")</f>
        <v/>
      </c>
      <c r="U181" s="33" t="str">
        <f>IFERROR(INDEX(Calculations!$Z$2:$Z$200,MATCH(B181,Calculations!$B$2:$B$200,0)),"")</f>
        <v/>
      </c>
      <c r="V181" s="11" t="str">
        <f>IFERROR(INDEX(Calculations!$DQ$2:$DQ$200,MATCH(B181,Calculations!$B$2:$B$200,0)),"")</f>
        <v/>
      </c>
      <c r="W181" s="15" t="str">
        <f>IFERROR(INDEX(Calculations!$DR$2:$DR$200,MATCH(B181,Calculations!$B$2:$B$200,0)),"")</f>
        <v/>
      </c>
    </row>
    <row r="182" spans="16:23">
      <c r="P182" s="33" t="str">
        <f t="shared" si="15"/>
        <v/>
      </c>
      <c r="Q182" s="33" t="str">
        <f t="shared" si="16"/>
        <v/>
      </c>
      <c r="R182" s="45" t="str">
        <f t="shared" si="17"/>
        <v/>
      </c>
      <c r="S182" s="1" t="str">
        <f>IFERROR(INDEX(Calculations!$DP$2:$DP$200,MATCH(B182,Calculations!$B$2:$B$200,0)),"")</f>
        <v/>
      </c>
      <c r="T182" s="47" t="str">
        <f>IFERROR(INDEX(Calculations!$DO$2:$DO$200,MATCH(B182,Calculations!$B$2:$B$200,0)),"")</f>
        <v/>
      </c>
      <c r="U182" s="33" t="str">
        <f>IFERROR(INDEX(Calculations!$Z$2:$Z$200,MATCH(B182,Calculations!$B$2:$B$200,0)),"")</f>
        <v/>
      </c>
      <c r="V182" s="11" t="str">
        <f>IFERROR(INDEX(Calculations!$DQ$2:$DQ$200,MATCH(B182,Calculations!$B$2:$B$200,0)),"")</f>
        <v/>
      </c>
      <c r="W182" s="15" t="str">
        <f>IFERROR(INDEX(Calculations!$DR$2:$DR$200,MATCH(B182,Calculations!$B$2:$B$200,0)),"")</f>
        <v/>
      </c>
    </row>
    <row r="183" spans="16:23">
      <c r="P183" s="33" t="str">
        <f t="shared" si="15"/>
        <v/>
      </c>
      <c r="Q183" s="33" t="str">
        <f t="shared" si="16"/>
        <v/>
      </c>
      <c r="R183" s="45" t="str">
        <f t="shared" si="17"/>
        <v/>
      </c>
      <c r="S183" s="1" t="str">
        <f>IFERROR(INDEX(Calculations!$DP$2:$DP$200,MATCH(B183,Calculations!$B$2:$B$200,0)),"")</f>
        <v/>
      </c>
      <c r="T183" s="47" t="str">
        <f>IFERROR(INDEX(Calculations!$DO$2:$DO$200,MATCH(B183,Calculations!$B$2:$B$200,0)),"")</f>
        <v/>
      </c>
      <c r="U183" s="33" t="str">
        <f>IFERROR(INDEX(Calculations!$Z$2:$Z$200,MATCH(B183,Calculations!$B$2:$B$200,0)),"")</f>
        <v/>
      </c>
      <c r="V183" s="11" t="str">
        <f>IFERROR(INDEX(Calculations!$DQ$2:$DQ$200,MATCH(B183,Calculations!$B$2:$B$200,0)),"")</f>
        <v/>
      </c>
      <c r="W183" s="15" t="str">
        <f>IFERROR(INDEX(Calculations!$DR$2:$DR$200,MATCH(B183,Calculations!$B$2:$B$200,0)),"")</f>
        <v/>
      </c>
    </row>
    <row r="184" spans="16:23">
      <c r="P184" s="33" t="str">
        <f t="shared" si="15"/>
        <v/>
      </c>
      <c r="Q184" s="33" t="str">
        <f t="shared" si="16"/>
        <v/>
      </c>
      <c r="R184" s="45" t="str">
        <f t="shared" si="17"/>
        <v/>
      </c>
      <c r="S184" s="1" t="str">
        <f>IFERROR(INDEX(Calculations!$DP$2:$DP$200,MATCH(B184,Calculations!$B$2:$B$200,0)),"")</f>
        <v/>
      </c>
      <c r="T184" s="47" t="str">
        <f>IFERROR(INDEX(Calculations!$DO$2:$DO$200,MATCH(B184,Calculations!$B$2:$B$200,0)),"")</f>
        <v/>
      </c>
      <c r="U184" s="33" t="str">
        <f>IFERROR(INDEX(Calculations!$Z$2:$Z$200,MATCH(B184,Calculations!$B$2:$B$200,0)),"")</f>
        <v/>
      </c>
      <c r="V184" s="11" t="str">
        <f>IFERROR(INDEX(Calculations!$DQ$2:$DQ$200,MATCH(B184,Calculations!$B$2:$B$200,0)),"")</f>
        <v/>
      </c>
      <c r="W184" s="15" t="str">
        <f>IFERROR(INDEX(Calculations!$DR$2:$DR$200,MATCH(B184,Calculations!$B$2:$B$200,0)),"")</f>
        <v/>
      </c>
    </row>
    <row r="185" spans="16:23">
      <c r="P185" s="33" t="str">
        <f t="shared" si="15"/>
        <v/>
      </c>
      <c r="Q185" s="33" t="str">
        <f t="shared" si="16"/>
        <v/>
      </c>
      <c r="R185" s="45" t="str">
        <f t="shared" si="17"/>
        <v/>
      </c>
      <c r="S185" s="1" t="str">
        <f>IFERROR(INDEX(Calculations!$DP$2:$DP$200,MATCH(B185,Calculations!$B$2:$B$200,0)),"")</f>
        <v/>
      </c>
      <c r="T185" s="47" t="str">
        <f>IFERROR(INDEX(Calculations!$DO$2:$DO$200,MATCH(B185,Calculations!$B$2:$B$200,0)),"")</f>
        <v/>
      </c>
      <c r="U185" s="33" t="str">
        <f>IFERROR(INDEX(Calculations!$Z$2:$Z$200,MATCH(B185,Calculations!$B$2:$B$200,0)),"")</f>
        <v/>
      </c>
      <c r="V185" s="11" t="str">
        <f>IFERROR(INDEX(Calculations!$DQ$2:$DQ$200,MATCH(B185,Calculations!$B$2:$B$200,0)),"")</f>
        <v/>
      </c>
      <c r="W185" s="15" t="str">
        <f>IFERROR(INDEX(Calculations!$DR$2:$DR$200,MATCH(B185,Calculations!$B$2:$B$200,0)),"")</f>
        <v/>
      </c>
    </row>
    <row r="186" spans="16:23">
      <c r="P186" s="33" t="str">
        <f t="shared" si="15"/>
        <v/>
      </c>
      <c r="Q186" s="33" t="str">
        <f t="shared" si="16"/>
        <v/>
      </c>
      <c r="R186" s="45" t="str">
        <f t="shared" si="17"/>
        <v/>
      </c>
      <c r="S186" s="1" t="str">
        <f>IFERROR(INDEX(Calculations!$DP$2:$DP$200,MATCH(B186,Calculations!$B$2:$B$200,0)),"")</f>
        <v/>
      </c>
      <c r="T186" s="47" t="str">
        <f>IFERROR(INDEX(Calculations!$DO$2:$DO$200,MATCH(B186,Calculations!$B$2:$B$200,0)),"")</f>
        <v/>
      </c>
      <c r="U186" s="33" t="str">
        <f>IFERROR(INDEX(Calculations!$Z$2:$Z$200,MATCH(B186,Calculations!$B$2:$B$200,0)),"")</f>
        <v/>
      </c>
      <c r="V186" s="11" t="str">
        <f>IFERROR(INDEX(Calculations!$DQ$2:$DQ$200,MATCH(B186,Calculations!$B$2:$B$200,0)),"")</f>
        <v/>
      </c>
      <c r="W186" s="15" t="str">
        <f>IFERROR(INDEX(Calculations!$DR$2:$DR$200,MATCH(B186,Calculations!$B$2:$B$200,0)),"")</f>
        <v/>
      </c>
    </row>
    <row r="187" spans="16:23">
      <c r="P187" s="33" t="str">
        <f t="shared" si="15"/>
        <v/>
      </c>
      <c r="Q187" s="33" t="str">
        <f t="shared" si="16"/>
        <v/>
      </c>
      <c r="R187" s="45" t="str">
        <f t="shared" si="17"/>
        <v/>
      </c>
      <c r="S187" s="1" t="str">
        <f>IFERROR(INDEX(Calculations!$DP$2:$DP$200,MATCH(B187,Calculations!$B$2:$B$200,0)),"")</f>
        <v/>
      </c>
      <c r="T187" s="47" t="str">
        <f>IFERROR(INDEX(Calculations!$DO$2:$DO$200,MATCH(B187,Calculations!$B$2:$B$200,0)),"")</f>
        <v/>
      </c>
      <c r="U187" s="33" t="str">
        <f>IFERROR(INDEX(Calculations!$Z$2:$Z$200,MATCH(B187,Calculations!$B$2:$B$200,0)),"")</f>
        <v/>
      </c>
      <c r="V187" s="11" t="str">
        <f>IFERROR(INDEX(Calculations!$DQ$2:$DQ$200,MATCH(B187,Calculations!$B$2:$B$200,0)),"")</f>
        <v/>
      </c>
      <c r="W187" s="15" t="str">
        <f>IFERROR(INDEX(Calculations!$DR$2:$DR$200,MATCH(B187,Calculations!$B$2:$B$200,0)),"")</f>
        <v/>
      </c>
    </row>
    <row r="188" spans="16:23">
      <c r="P188" s="33" t="str">
        <f t="shared" si="15"/>
        <v/>
      </c>
      <c r="Q188" s="33" t="str">
        <f t="shared" si="16"/>
        <v/>
      </c>
      <c r="R188" s="45" t="str">
        <f t="shared" si="17"/>
        <v/>
      </c>
      <c r="S188" s="1" t="str">
        <f>IFERROR(INDEX(Calculations!$DP$2:$DP$200,MATCH(B188,Calculations!$B$2:$B$200,0)),"")</f>
        <v/>
      </c>
      <c r="T188" s="47" t="str">
        <f>IFERROR(INDEX(Calculations!$DO$2:$DO$200,MATCH(B188,Calculations!$B$2:$B$200,0)),"")</f>
        <v/>
      </c>
      <c r="U188" s="33" t="str">
        <f>IFERROR(INDEX(Calculations!$Z$2:$Z$200,MATCH(B188,Calculations!$B$2:$B$200,0)),"")</f>
        <v/>
      </c>
      <c r="V188" s="11" t="str">
        <f>IFERROR(INDEX(Calculations!$DQ$2:$DQ$200,MATCH(B188,Calculations!$B$2:$B$200,0)),"")</f>
        <v/>
      </c>
      <c r="W188" s="15" t="str">
        <f>IFERROR(INDEX(Calculations!$DR$2:$DR$200,MATCH(B188,Calculations!$B$2:$B$200,0)),"")</f>
        <v/>
      </c>
    </row>
    <row r="189" spans="16:23">
      <c r="P189" s="33" t="str">
        <f t="shared" si="15"/>
        <v/>
      </c>
      <c r="Q189" s="33" t="str">
        <f t="shared" si="16"/>
        <v/>
      </c>
      <c r="R189" s="45" t="str">
        <f t="shared" si="17"/>
        <v/>
      </c>
      <c r="S189" s="1" t="str">
        <f>IFERROR(INDEX(Calculations!$DP$2:$DP$200,MATCH(B189,Calculations!$B$2:$B$200,0)),"")</f>
        <v/>
      </c>
      <c r="T189" s="47" t="str">
        <f>IFERROR(INDEX(Calculations!$DO$2:$DO$200,MATCH(B189,Calculations!$B$2:$B$200,0)),"")</f>
        <v/>
      </c>
      <c r="U189" s="33" t="str">
        <f>IFERROR(INDEX(Calculations!$Z$2:$Z$200,MATCH(B189,Calculations!$B$2:$B$200,0)),"")</f>
        <v/>
      </c>
      <c r="V189" s="11" t="str">
        <f>IFERROR(INDEX(Calculations!$DQ$2:$DQ$200,MATCH(B189,Calculations!$B$2:$B$200,0)),"")</f>
        <v/>
      </c>
      <c r="W189" s="15" t="str">
        <f>IFERROR(INDEX(Calculations!$DR$2:$DR$200,MATCH(B189,Calculations!$B$2:$B$200,0)),"")</f>
        <v/>
      </c>
    </row>
    <row r="190" spans="16:23">
      <c r="P190" s="33" t="str">
        <f t="shared" si="15"/>
        <v/>
      </c>
      <c r="Q190" s="33" t="str">
        <f t="shared" si="16"/>
        <v/>
      </c>
      <c r="R190" s="45" t="str">
        <f t="shared" si="17"/>
        <v/>
      </c>
      <c r="S190" s="1" t="str">
        <f>IFERROR(INDEX(Calculations!$DP$2:$DP$200,MATCH(B190,Calculations!$B$2:$B$200,0)),"")</f>
        <v/>
      </c>
      <c r="T190" s="47" t="str">
        <f>IFERROR(INDEX(Calculations!$DO$2:$DO$200,MATCH(B190,Calculations!$B$2:$B$200,0)),"")</f>
        <v/>
      </c>
      <c r="U190" s="33" t="str">
        <f>IFERROR(INDEX(Calculations!$Z$2:$Z$200,MATCH(B190,Calculations!$B$2:$B$200,0)),"")</f>
        <v/>
      </c>
      <c r="V190" s="11" t="str">
        <f>IFERROR(INDEX(Calculations!$DQ$2:$DQ$200,MATCH(B190,Calculations!$B$2:$B$200,0)),"")</f>
        <v/>
      </c>
      <c r="W190" s="15" t="str">
        <f>IFERROR(INDEX(Calculations!$DR$2:$DR$200,MATCH(B190,Calculations!$B$2:$B$200,0)),"")</f>
        <v/>
      </c>
    </row>
    <row r="191" spans="16:23">
      <c r="P191" s="33" t="str">
        <f t="shared" si="15"/>
        <v/>
      </c>
      <c r="Q191" s="33" t="str">
        <f t="shared" si="16"/>
        <v/>
      </c>
      <c r="R191" s="45" t="str">
        <f t="shared" si="17"/>
        <v/>
      </c>
      <c r="S191" s="1" t="str">
        <f>IFERROR(INDEX(Calculations!$DP$2:$DP$200,MATCH(B191,Calculations!$B$2:$B$200,0)),"")</f>
        <v/>
      </c>
      <c r="T191" s="47" t="str">
        <f>IFERROR(INDEX(Calculations!$DO$2:$DO$200,MATCH(B191,Calculations!$B$2:$B$200,0)),"")</f>
        <v/>
      </c>
      <c r="U191" s="33" t="str">
        <f>IFERROR(INDEX(Calculations!$Z$2:$Z$200,MATCH(B191,Calculations!$B$2:$B$200,0)),"")</f>
        <v/>
      </c>
      <c r="V191" s="11" t="str">
        <f>IFERROR(INDEX(Calculations!$DQ$2:$DQ$200,MATCH(B191,Calculations!$B$2:$B$200,0)),"")</f>
        <v/>
      </c>
      <c r="W191" s="15" t="str">
        <f>IFERROR(INDEX(Calculations!$DR$2:$DR$200,MATCH(B191,Calculations!$B$2:$B$200,0)),"")</f>
        <v/>
      </c>
    </row>
    <row r="192" spans="16:23">
      <c r="P192" s="33" t="str">
        <f t="shared" si="15"/>
        <v/>
      </c>
      <c r="Q192" s="33" t="str">
        <f t="shared" si="16"/>
        <v/>
      </c>
      <c r="R192" s="45" t="str">
        <f t="shared" si="17"/>
        <v/>
      </c>
      <c r="S192" s="1" t="str">
        <f>IFERROR(INDEX(Calculations!$DP$2:$DP$200,MATCH(B192,Calculations!$B$2:$B$200,0)),"")</f>
        <v/>
      </c>
      <c r="T192" s="47" t="str">
        <f>IFERROR(INDEX(Calculations!$DO$2:$DO$200,MATCH(B192,Calculations!$B$2:$B$200,0)),"")</f>
        <v/>
      </c>
      <c r="U192" s="33" t="str">
        <f>IFERROR(INDEX(Calculations!$Z$2:$Z$200,MATCH(B192,Calculations!$B$2:$B$200,0)),"")</f>
        <v/>
      </c>
      <c r="V192" s="11" t="str">
        <f>IFERROR(INDEX(Calculations!$DQ$2:$DQ$200,MATCH(B192,Calculations!$B$2:$B$200,0)),"")</f>
        <v/>
      </c>
      <c r="W192" s="15" t="str">
        <f>IFERROR(INDEX(Calculations!$DR$2:$DR$200,MATCH(B192,Calculations!$B$2:$B$200,0)),"")</f>
        <v/>
      </c>
    </row>
    <row r="193" spans="16:23">
      <c r="P193" s="33" t="str">
        <f t="shared" si="15"/>
        <v/>
      </c>
      <c r="Q193" s="33" t="str">
        <f t="shared" si="16"/>
        <v/>
      </c>
      <c r="R193" s="45" t="str">
        <f t="shared" si="17"/>
        <v/>
      </c>
      <c r="S193" s="1" t="str">
        <f>IFERROR(INDEX(Calculations!$DP$2:$DP$200,MATCH(B193,Calculations!$B$2:$B$200,0)),"")</f>
        <v/>
      </c>
      <c r="T193" s="47" t="str">
        <f>IFERROR(INDEX(Calculations!$DO$2:$DO$200,MATCH(B193,Calculations!$B$2:$B$200,0)),"")</f>
        <v/>
      </c>
      <c r="U193" s="33" t="str">
        <f>IFERROR(INDEX(Calculations!$Z$2:$Z$200,MATCH(B193,Calculations!$B$2:$B$200,0)),"")</f>
        <v/>
      </c>
      <c r="V193" s="11" t="str">
        <f>IFERROR(INDEX(Calculations!$DQ$2:$DQ$200,MATCH(B193,Calculations!$B$2:$B$200,0)),"")</f>
        <v/>
      </c>
      <c r="W193" s="15" t="str">
        <f>IFERROR(INDEX(Calculations!$DR$2:$DR$200,MATCH(B193,Calculations!$B$2:$B$200,0)),"")</f>
        <v/>
      </c>
    </row>
    <row r="194" spans="16:23">
      <c r="P194" s="33" t="str">
        <f t="shared" si="15"/>
        <v/>
      </c>
      <c r="Q194" s="33" t="str">
        <f t="shared" ref="Q194:Q200" si="18">IF(ISBLANK(A194),"",B194)</f>
        <v/>
      </c>
      <c r="R194" s="45" t="str">
        <f t="shared" ref="R194:R200" si="19">IF(ISBLANK(A194),"",C194)</f>
        <v/>
      </c>
      <c r="S194" s="1" t="str">
        <f>IFERROR(INDEX(Calculations!$DP$2:$DP$200,MATCH(B194,Calculations!$B$2:$B$200,0)),"")</f>
        <v/>
      </c>
      <c r="T194" s="47" t="str">
        <f>IFERROR(INDEX(Calculations!$DO$2:$DO$200,MATCH(B194,Calculations!$B$2:$B$200,0)),"")</f>
        <v/>
      </c>
      <c r="U194" s="33" t="str">
        <f>IFERROR(INDEX(Calculations!$Z$2:$Z$200,MATCH(B194,Calculations!$B$2:$B$200,0)),"")</f>
        <v/>
      </c>
      <c r="V194" s="11" t="str">
        <f>IFERROR(INDEX(Calculations!$DQ$2:$DQ$200,MATCH(B194,Calculations!$B$2:$B$200,0)),"")</f>
        <v/>
      </c>
      <c r="W194" s="15" t="str">
        <f>IFERROR(INDEX(Calculations!$DR$2:$DR$200,MATCH(B194,Calculations!$B$2:$B$200,0)),"")</f>
        <v/>
      </c>
    </row>
    <row r="195" spans="16:23">
      <c r="P195" s="33" t="str">
        <f t="shared" ref="P195:P202" si="20">IF(ISBLANK(A195),"",K195)</f>
        <v/>
      </c>
      <c r="Q195" s="33" t="str">
        <f t="shared" si="18"/>
        <v/>
      </c>
      <c r="R195" s="45" t="str">
        <f t="shared" si="19"/>
        <v/>
      </c>
      <c r="S195" s="1" t="str">
        <f>IFERROR(INDEX(Calculations!$DP$2:$DP$200,MATCH(B195,Calculations!$B$2:$B$200,0)),"")</f>
        <v/>
      </c>
      <c r="T195" s="47" t="str">
        <f>IFERROR(INDEX(Calculations!$DO$2:$DO$200,MATCH(B195,Calculations!$B$2:$B$200,0)),"")</f>
        <v/>
      </c>
      <c r="U195" s="33" t="str">
        <f>IFERROR(INDEX(Calculations!$Z$2:$Z$200,MATCH(B195,Calculations!$B$2:$B$200,0)),"")</f>
        <v/>
      </c>
      <c r="V195" s="11" t="str">
        <f>IFERROR(INDEX(Calculations!$DQ$2:$DQ$200,MATCH(B195,Calculations!$B$2:$B$200,0)),"")</f>
        <v/>
      </c>
      <c r="W195" s="15" t="str">
        <f>IFERROR(INDEX(Calculations!$DR$2:$DR$200,MATCH(B195,Calculations!$B$2:$B$200,0)),"")</f>
        <v/>
      </c>
    </row>
    <row r="196" spans="16:23">
      <c r="P196" s="33" t="str">
        <f t="shared" si="20"/>
        <v/>
      </c>
      <c r="Q196" s="33" t="str">
        <f t="shared" si="18"/>
        <v/>
      </c>
      <c r="R196" s="45" t="str">
        <f t="shared" si="19"/>
        <v/>
      </c>
      <c r="S196" s="1" t="str">
        <f>IFERROR(INDEX(Calculations!$DP$2:$DP$200,MATCH(B196,Calculations!$B$2:$B$200,0)),"")</f>
        <v/>
      </c>
      <c r="T196" s="47" t="str">
        <f>IFERROR(INDEX(Calculations!$DO$2:$DO$200,MATCH(B196,Calculations!$B$2:$B$200,0)),"")</f>
        <v/>
      </c>
      <c r="U196" s="33" t="str">
        <f>IFERROR(INDEX(Calculations!$Z$2:$Z$200,MATCH(B196,Calculations!$B$2:$B$200,0)),"")</f>
        <v/>
      </c>
      <c r="V196" s="11" t="str">
        <f>IFERROR(INDEX(Calculations!$DQ$2:$DQ$200,MATCH(B196,Calculations!$B$2:$B$200,0)),"")</f>
        <v/>
      </c>
      <c r="W196" s="15" t="str">
        <f>IFERROR(INDEX(Calculations!$DR$2:$DR$200,MATCH(B196,Calculations!$B$2:$B$200,0)),"")</f>
        <v/>
      </c>
    </row>
    <row r="197" spans="16:23">
      <c r="P197" s="33" t="str">
        <f t="shared" si="20"/>
        <v/>
      </c>
      <c r="Q197" s="33" t="str">
        <f t="shared" si="18"/>
        <v/>
      </c>
      <c r="R197" s="45" t="str">
        <f t="shared" si="19"/>
        <v/>
      </c>
      <c r="S197" s="1" t="str">
        <f>IFERROR(INDEX(Calculations!$DP$2:$DP$200,MATCH(B197,Calculations!$B$2:$B$200,0)),"")</f>
        <v/>
      </c>
      <c r="T197" s="47" t="str">
        <f>IFERROR(INDEX(Calculations!$DO$2:$DO$200,MATCH(B197,Calculations!$B$2:$B$200,0)),"")</f>
        <v/>
      </c>
      <c r="U197" s="33" t="str">
        <f>IFERROR(INDEX(Calculations!$Z$2:$Z$200,MATCH(B197,Calculations!$B$2:$B$200,0)),"")</f>
        <v/>
      </c>
      <c r="V197" s="11" t="str">
        <f>IFERROR(INDEX(Calculations!$DQ$2:$DQ$200,MATCH(B197,Calculations!$B$2:$B$200,0)),"")</f>
        <v/>
      </c>
      <c r="W197" s="15" t="str">
        <f>IFERROR(INDEX(Calculations!$DR$2:$DR$200,MATCH(B197,Calculations!$B$2:$B$200,0)),"")</f>
        <v/>
      </c>
    </row>
    <row r="198" spans="16:23">
      <c r="P198" s="33" t="str">
        <f t="shared" si="20"/>
        <v/>
      </c>
      <c r="Q198" s="33" t="str">
        <f t="shared" si="18"/>
        <v/>
      </c>
      <c r="R198" s="45" t="str">
        <f t="shared" si="19"/>
        <v/>
      </c>
      <c r="S198" s="1" t="str">
        <f>IFERROR(INDEX(Calculations!$DP$2:$DP$200,MATCH(B198,Calculations!$B$2:$B$200,0)),"")</f>
        <v/>
      </c>
      <c r="T198" s="47" t="str">
        <f>IFERROR(INDEX(Calculations!$DO$2:$DO$200,MATCH(B198,Calculations!$B$2:$B$200,0)),"")</f>
        <v/>
      </c>
      <c r="U198" s="33" t="str">
        <f>IFERROR(INDEX(Calculations!$Z$2:$Z$200,MATCH(B198,Calculations!$B$2:$B$200,0)),"")</f>
        <v/>
      </c>
      <c r="V198" s="11" t="str">
        <f>IFERROR(INDEX(Calculations!$DQ$2:$DQ$200,MATCH(B198,Calculations!$B$2:$B$200,0)),"")</f>
        <v/>
      </c>
      <c r="W198" s="15" t="str">
        <f>IFERROR(INDEX(Calculations!$DR$2:$DR$200,MATCH(B198,Calculations!$B$2:$B$200,0)),"")</f>
        <v/>
      </c>
    </row>
    <row r="199" spans="16:23">
      <c r="P199" s="33" t="str">
        <f t="shared" si="20"/>
        <v/>
      </c>
      <c r="Q199" s="33" t="str">
        <f t="shared" si="18"/>
        <v/>
      </c>
      <c r="R199" s="45" t="str">
        <f t="shared" si="19"/>
        <v/>
      </c>
      <c r="S199" s="1" t="str">
        <f>IFERROR(INDEX(Calculations!$DP$2:$DP$200,MATCH(B199,Calculations!$B$2:$B$200,0)),"")</f>
        <v/>
      </c>
      <c r="T199" s="47" t="str">
        <f>IFERROR(INDEX(Calculations!$DO$2:$DO$200,MATCH(B199,Calculations!$B$2:$B$200,0)),"")</f>
        <v/>
      </c>
      <c r="U199" s="33" t="str">
        <f>IFERROR(INDEX(Calculations!$Z$2:$Z$200,MATCH(B199,Calculations!$B$2:$B$200,0)),"")</f>
        <v/>
      </c>
      <c r="V199" s="11" t="str">
        <f>IFERROR(INDEX(Calculations!$DQ$2:$DQ$200,MATCH(B199,Calculations!$B$2:$B$200,0)),"")</f>
        <v/>
      </c>
      <c r="W199" s="15" t="str">
        <f>IFERROR(INDEX(Calculations!$DR$2:$DR$200,MATCH(B199,Calculations!$B$2:$B$200,0)),"")</f>
        <v/>
      </c>
    </row>
    <row r="200" spans="16:23">
      <c r="P200" s="33" t="str">
        <f t="shared" si="20"/>
        <v/>
      </c>
      <c r="Q200" s="33" t="str">
        <f t="shared" si="18"/>
        <v/>
      </c>
      <c r="R200" s="45" t="str">
        <f t="shared" si="19"/>
        <v/>
      </c>
      <c r="S200" s="1" t="str">
        <f>IFERROR(INDEX(Calculations!$DP$2:$DP$200,MATCH(B200,Calculations!$B$2:$B$200,0)),"")</f>
        <v/>
      </c>
      <c r="T200" s="47" t="str">
        <f>IFERROR(INDEX(Calculations!$DO$2:$DO$200,MATCH(B200,Calculations!$B$2:$B$200,0)),"")</f>
        <v/>
      </c>
      <c r="U200" s="33" t="str">
        <f>IFERROR(INDEX(Calculations!$Z$2:$Z$200,MATCH(B200,Calculations!$B$2:$B$200,0)),"")</f>
        <v/>
      </c>
      <c r="V200" s="11" t="str">
        <f>IFERROR(INDEX(Calculations!$DQ$2:$DQ$200,MATCH(B200,Calculations!$B$2:$B$200,0)),"")</f>
        <v/>
      </c>
      <c r="W200" s="15" t="str">
        <f>IFERROR(INDEX(Calculations!$DR$2:$DR$200,MATCH(B200,Calculations!$B$2:$B$200,0)),"")</f>
        <v/>
      </c>
    </row>
    <row r="201" spans="16:23">
      <c r="P201" s="33" t="str">
        <f t="shared" si="20"/>
        <v/>
      </c>
      <c r="T201" s="47" t="str">
        <f>IF(ISBLANK(A201),"",Calculations!DO201)</f>
        <v/>
      </c>
    </row>
    <row r="202" spans="16:23">
      <c r="P202" s="33" t="str">
        <f t="shared" si="20"/>
        <v/>
      </c>
      <c r="T202" s="47" t="str">
        <f>IF(ISBLANK(A202),"",Calculations!DO202)</f>
        <v/>
      </c>
    </row>
  </sheetData>
  <autoFilter ref="A1:W1" xr:uid="{4C19F8DB-08C2-42C4-B4A6-14F201B763A2}">
    <sortState xmlns:xlrd2="http://schemas.microsoft.com/office/spreadsheetml/2017/richdata2" ref="A2:W77">
      <sortCondition ref="V1"/>
    </sortState>
  </autoFilter>
  <pageMargins left="0.7" right="0.7" top="0.75" bottom="0.75" header="0.3" footer="0.3"/>
  <pageSetup orientation="portrait" verticalDpi="599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Button26_Click">
                <anchor moveWithCells="1" sizeWithCells="1">
                  <from>
                    <xdr:col>27</xdr:col>
                    <xdr:colOff>19050</xdr:colOff>
                    <xdr:row>1</xdr:row>
                    <xdr:rowOff>95250</xdr:rowOff>
                  </from>
                  <to>
                    <xdr:col>27</xdr:col>
                    <xdr:colOff>1009650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5D5C-7378-494F-990F-9A5D7EF3FE70}">
  <sheetPr codeName="Sheet2"/>
  <dimension ref="A1:B1"/>
  <sheetViews>
    <sheetView workbookViewId="0">
      <selection activeCell="A2" sqref="A2"/>
    </sheetView>
  </sheetViews>
  <sheetFormatPr defaultRowHeight="15"/>
  <cols>
    <col min="1" max="1" width="13.85546875" style="1" bestFit="1" customWidth="1"/>
    <col min="2" max="2" width="20.28515625" style="1" customWidth="1"/>
  </cols>
  <sheetData>
    <row r="1" spans="1:2">
      <c r="A1" s="33" t="s">
        <v>97</v>
      </c>
      <c r="B1" s="33" t="s">
        <v>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40BDE-6793-4705-A11F-02DAFF4BA5EC}">
  <sheetPr codeName="Sheet3"/>
  <dimension ref="A1:J6"/>
  <sheetViews>
    <sheetView workbookViewId="0">
      <selection activeCell="A6" sqref="A6"/>
    </sheetView>
  </sheetViews>
  <sheetFormatPr defaultRowHeight="15"/>
  <cols>
    <col min="1" max="1" width="21" style="1" customWidth="1"/>
    <col min="2" max="2" width="30.140625" style="1" customWidth="1"/>
    <col min="3" max="3" width="13.42578125" style="1" customWidth="1"/>
    <col min="4" max="4" width="14" style="1" customWidth="1"/>
    <col min="5" max="8" width="9.140625" style="1"/>
    <col min="9" max="10" width="0" style="19" hidden="1" customWidth="1"/>
    <col min="11" max="16384" width="9.140625" style="1"/>
  </cols>
  <sheetData>
    <row r="1" spans="1:10" ht="51.75" customHeight="1">
      <c r="A1" s="2" t="s">
        <v>32</v>
      </c>
      <c r="B1" s="2" t="s">
        <v>33</v>
      </c>
      <c r="C1" s="2" t="s">
        <v>34</v>
      </c>
      <c r="D1" s="2" t="s">
        <v>35</v>
      </c>
      <c r="E1" s="2" t="s">
        <v>36</v>
      </c>
      <c r="F1" s="2" t="s">
        <v>37</v>
      </c>
      <c r="G1" s="2" t="s">
        <v>38</v>
      </c>
      <c r="I1" s="22" t="s">
        <v>55</v>
      </c>
      <c r="J1" s="20" t="s">
        <v>56</v>
      </c>
    </row>
    <row r="2" spans="1:10">
      <c r="A2" s="3" t="s">
        <v>39</v>
      </c>
      <c r="B2" s="3" t="s">
        <v>40</v>
      </c>
      <c r="C2" s="3">
        <v>3.5</v>
      </c>
      <c r="D2" s="4">
        <v>0.125</v>
      </c>
      <c r="E2" s="4">
        <v>0.25</v>
      </c>
      <c r="F2" s="4">
        <v>0.6875</v>
      </c>
      <c r="G2" s="4">
        <v>0.75</v>
      </c>
      <c r="I2" s="21">
        <v>0.99930555555555556</v>
      </c>
      <c r="J2" s="21">
        <v>0</v>
      </c>
    </row>
    <row r="4" spans="1:10" ht="15" customHeight="1">
      <c r="A4" s="48" t="s">
        <v>54</v>
      </c>
      <c r="B4" s="48"/>
    </row>
    <row r="5" spans="1:10">
      <c r="A5" s="18" t="s">
        <v>52</v>
      </c>
      <c r="B5" s="18" t="s">
        <v>53</v>
      </c>
    </row>
    <row r="6" spans="1:10">
      <c r="A6" s="23"/>
      <c r="B6" s="23"/>
    </row>
  </sheetData>
  <mergeCells count="1">
    <mergeCell ref="A4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EEFB-4D86-4F1B-9A8D-91C00400E8DD}">
  <dimension ref="A1:C3"/>
  <sheetViews>
    <sheetView workbookViewId="0">
      <selection activeCell="A4" sqref="A4"/>
    </sheetView>
  </sheetViews>
  <sheetFormatPr defaultRowHeight="15"/>
  <cols>
    <col min="1" max="1" width="11.42578125" style="1" customWidth="1"/>
    <col min="2" max="2" width="11" style="41" customWidth="1"/>
    <col min="3" max="3" width="138.7109375" customWidth="1"/>
  </cols>
  <sheetData>
    <row r="1" spans="1:3">
      <c r="A1" s="1" t="s">
        <v>105</v>
      </c>
      <c r="B1" s="41" t="s">
        <v>106</v>
      </c>
      <c r="C1" t="s">
        <v>107</v>
      </c>
    </row>
    <row r="2" spans="1:3">
      <c r="A2" s="13">
        <v>46169</v>
      </c>
      <c r="B2" s="41">
        <v>1</v>
      </c>
      <c r="C2" t="s">
        <v>108</v>
      </c>
    </row>
    <row r="3" spans="1:3">
      <c r="A3" s="13">
        <v>46170</v>
      </c>
      <c r="B3" s="41">
        <v>1.1000000000000001</v>
      </c>
      <c r="C3" t="s">
        <v>120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30FE4-57DE-4C0A-9DA8-0CED880E5785}">
  <sheetPr codeName="Sheet4"/>
  <dimension ref="A1:DR200"/>
  <sheetViews>
    <sheetView topLeftCell="CO1" workbookViewId="0">
      <selection activeCell="DM2" sqref="DM2"/>
    </sheetView>
  </sheetViews>
  <sheetFormatPr defaultRowHeight="15"/>
  <cols>
    <col min="1" max="3" width="9.140625" style="1"/>
    <col min="4" max="4" width="11.5703125" style="1" customWidth="1"/>
    <col min="5" max="5" width="9.140625" style="1"/>
    <col min="6" max="6" width="19.140625" style="1" bestFit="1" customWidth="1"/>
    <col min="7" max="7" width="11.5703125" style="1" bestFit="1" customWidth="1"/>
    <col min="8" max="14" width="9.140625" style="1"/>
    <col min="15" max="15" width="11.28515625" style="1" customWidth="1"/>
    <col min="16" max="16" width="10.140625" style="1" customWidth="1"/>
    <col min="17" max="17" width="9.140625" style="1"/>
    <col min="18" max="18" width="8.140625" style="1" customWidth="1"/>
    <col min="19" max="19" width="12.140625" style="11" customWidth="1"/>
    <col min="20" max="20" width="10.5703125" style="1" customWidth="1"/>
    <col min="21" max="21" width="12.140625" style="11" customWidth="1"/>
    <col min="22" max="22" width="7.140625" style="11" customWidth="1"/>
    <col min="23" max="23" width="2.85546875" style="1" customWidth="1"/>
    <col min="24" max="26" width="9.140625" style="1"/>
    <col min="27" max="27" width="2.140625" style="1" customWidth="1"/>
    <col min="28" max="28" width="13.28515625" style="13" customWidth="1"/>
    <col min="29" max="29" width="9.140625" style="1"/>
    <col min="30" max="30" width="14.28515625" style="1" bestFit="1" customWidth="1"/>
    <col min="31" max="33" width="9.140625" style="1"/>
    <col min="34" max="34" width="14.42578125" style="1" customWidth="1"/>
    <col min="35" max="35" width="14.28515625" style="1" bestFit="1" customWidth="1"/>
    <col min="36" max="36" width="12" style="13" bestFit="1" customWidth="1"/>
    <col min="37" max="37" width="12.28515625" style="1" bestFit="1" customWidth="1"/>
    <col min="38" max="38" width="11" style="1" customWidth="1"/>
    <col min="39" max="39" width="19.42578125" style="15" customWidth="1"/>
    <col min="40" max="40" width="19.140625" style="15" customWidth="1"/>
    <col min="41" max="41" width="10.85546875" style="1" bestFit="1" customWidth="1"/>
    <col min="42" max="42" width="15" style="13" customWidth="1"/>
    <col min="43" max="43" width="12.5703125" style="17" bestFit="1" customWidth="1"/>
    <col min="44" max="44" width="1" style="1" customWidth="1"/>
    <col min="45" max="45" width="20.85546875" style="15" bestFit="1" customWidth="1"/>
    <col min="46" max="46" width="15.42578125" style="1" customWidth="1"/>
    <col min="47" max="51" width="16.5703125" style="15" customWidth="1"/>
    <col min="52" max="52" width="16.28515625" style="1" customWidth="1"/>
    <col min="53" max="53" width="21.42578125" style="15" customWidth="1"/>
    <col min="54" max="54" width="20.7109375" style="15" bestFit="1" customWidth="1"/>
    <col min="55" max="55" width="10.42578125" style="1" customWidth="1"/>
    <col min="56" max="56" width="0.85546875" style="1" customWidth="1"/>
    <col min="57" max="58" width="16.5703125" style="15" customWidth="1"/>
    <col min="59" max="59" width="16.5703125" style="1" customWidth="1"/>
    <col min="60" max="60" width="16.5703125" style="11" customWidth="1"/>
    <col min="61" max="61" width="29" style="11" bestFit="1" customWidth="1"/>
    <col min="62" max="62" width="19.5703125" style="1" customWidth="1"/>
    <col min="63" max="63" width="1.42578125" style="1" customWidth="1"/>
    <col min="64" max="70" width="9.140625" style="1"/>
    <col min="71" max="71" width="10.5703125" style="1" customWidth="1"/>
    <col min="72" max="72" width="9.140625" style="1"/>
    <col min="73" max="73" width="1.140625" style="1" customWidth="1"/>
    <col min="74" max="74" width="12.5703125" style="1" bestFit="1" customWidth="1"/>
    <col min="75" max="75" width="12.5703125" style="1" customWidth="1"/>
    <col min="76" max="76" width="13.140625" style="1" bestFit="1" customWidth="1"/>
    <col min="77" max="77" width="12.5703125" style="1" customWidth="1"/>
    <col min="78" max="78" width="18.7109375" style="1" bestFit="1" customWidth="1"/>
    <col min="79" max="79" width="2" style="1" customWidth="1"/>
    <col min="80" max="80" width="11.5703125" style="1" bestFit="1" customWidth="1"/>
    <col min="81" max="82" width="10.28515625" style="1" bestFit="1" customWidth="1"/>
    <col min="83" max="83" width="10.7109375" style="1" bestFit="1" customWidth="1"/>
    <col min="84" max="84" width="10" style="1" bestFit="1" customWidth="1"/>
    <col min="85" max="85" width="12" style="1" bestFit="1" customWidth="1"/>
    <col min="86" max="86" width="1.7109375" style="1" customWidth="1"/>
    <col min="87" max="91" width="12" style="1" customWidth="1"/>
    <col min="92" max="92" width="1.5703125" style="1" customWidth="1"/>
    <col min="93" max="93" width="13.5703125" style="1" customWidth="1"/>
    <col min="94" max="98" width="9.140625" style="1" customWidth="1"/>
    <col min="99" max="99" width="5.7109375" style="1" customWidth="1"/>
    <col min="100" max="100" width="1.7109375" style="1" customWidth="1"/>
    <col min="101" max="105" width="9.140625" style="1"/>
    <col min="106" max="106" width="5.7109375" style="1" customWidth="1"/>
    <col min="107" max="108" width="9.140625" style="1"/>
    <col min="109" max="109" width="9.7109375" style="1" customWidth="1"/>
    <col min="110" max="110" width="9.140625" style="1"/>
    <col min="111" max="111" width="11.5703125" style="1" customWidth="1"/>
    <col min="112" max="112" width="5.42578125" style="1" bestFit="1" customWidth="1"/>
    <col min="113" max="113" width="11.140625" style="1" customWidth="1"/>
    <col min="114" max="114" width="1.7109375" style="1" customWidth="1"/>
    <col min="115" max="115" width="11.7109375" style="1" customWidth="1"/>
    <col min="116" max="116" width="13.140625" style="11" bestFit="1" customWidth="1"/>
    <col min="117" max="117" width="13.140625" style="11" customWidth="1"/>
    <col min="118" max="118" width="13.140625" style="29" customWidth="1"/>
    <col min="119" max="119" width="10" style="11" customWidth="1"/>
    <col min="120" max="120" width="12.5703125" style="29" bestFit="1" customWidth="1"/>
    <col min="121" max="121" width="11.140625" style="11" customWidth="1"/>
    <col min="122" max="122" width="15.28515625" style="1" customWidth="1"/>
    <col min="123" max="16384" width="9.140625" style="1"/>
  </cols>
  <sheetData>
    <row r="1" spans="1:122" s="7" customFormat="1" ht="34.5" customHeight="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10" t="s">
        <v>18</v>
      </c>
      <c r="T1" s="6" t="s">
        <v>19</v>
      </c>
      <c r="U1" s="10" t="s">
        <v>51</v>
      </c>
      <c r="V1" s="10" t="s">
        <v>20</v>
      </c>
      <c r="W1" s="6"/>
      <c r="X1" s="6" t="s">
        <v>1</v>
      </c>
      <c r="Y1" s="6" t="s">
        <v>2</v>
      </c>
      <c r="Z1" s="6" t="s">
        <v>0</v>
      </c>
      <c r="AA1" s="6"/>
      <c r="AB1" s="12" t="s">
        <v>21</v>
      </c>
      <c r="AC1" s="6" t="s">
        <v>22</v>
      </c>
      <c r="AD1" s="6" t="s">
        <v>23</v>
      </c>
      <c r="AE1" s="6" t="s">
        <v>24</v>
      </c>
      <c r="AF1" s="6" t="s">
        <v>25</v>
      </c>
      <c r="AG1" s="6" t="s">
        <v>22</v>
      </c>
      <c r="AH1" s="6" t="s">
        <v>26</v>
      </c>
      <c r="AI1" s="6" t="s">
        <v>23</v>
      </c>
      <c r="AJ1" s="12" t="s">
        <v>27</v>
      </c>
      <c r="AK1" s="6" t="s">
        <v>28</v>
      </c>
      <c r="AL1" s="6" t="s">
        <v>29</v>
      </c>
      <c r="AM1" s="14" t="s">
        <v>30</v>
      </c>
      <c r="AN1" s="14" t="s">
        <v>31</v>
      </c>
      <c r="AO1" s="6" t="s">
        <v>41</v>
      </c>
      <c r="AP1" s="12" t="s">
        <v>42</v>
      </c>
      <c r="AQ1" s="16" t="s">
        <v>43</v>
      </c>
      <c r="AR1" s="6"/>
      <c r="AS1" s="14" t="s">
        <v>30</v>
      </c>
      <c r="AT1" s="6" t="s">
        <v>44</v>
      </c>
      <c r="AU1" s="14" t="s">
        <v>45</v>
      </c>
      <c r="AV1" s="14" t="s">
        <v>46</v>
      </c>
      <c r="AW1" s="14" t="s">
        <v>47</v>
      </c>
      <c r="AX1" s="14" t="s">
        <v>48</v>
      </c>
      <c r="AY1" s="14" t="s">
        <v>81</v>
      </c>
      <c r="AZ1" s="6" t="s">
        <v>49</v>
      </c>
      <c r="BA1" s="14" t="s">
        <v>57</v>
      </c>
      <c r="BB1" s="14" t="s">
        <v>58</v>
      </c>
      <c r="BC1" s="6" t="s">
        <v>59</v>
      </c>
      <c r="BD1" s="6"/>
      <c r="BE1" s="14" t="s">
        <v>52</v>
      </c>
      <c r="BF1" s="14" t="s">
        <v>53</v>
      </c>
      <c r="BG1" s="6" t="s">
        <v>60</v>
      </c>
      <c r="BH1" s="10" t="s">
        <v>61</v>
      </c>
      <c r="BI1" s="10" t="s">
        <v>82</v>
      </c>
      <c r="BJ1" s="6" t="s">
        <v>62</v>
      </c>
      <c r="BK1" s="6"/>
      <c r="BL1" s="6" t="s">
        <v>63</v>
      </c>
      <c r="BM1" s="6" t="s">
        <v>64</v>
      </c>
      <c r="BN1" s="6" t="s">
        <v>65</v>
      </c>
      <c r="BO1" s="6" t="s">
        <v>66</v>
      </c>
      <c r="BP1" s="6" t="s">
        <v>56</v>
      </c>
      <c r="BQ1" s="6" t="s">
        <v>67</v>
      </c>
      <c r="BR1" s="6" t="s">
        <v>68</v>
      </c>
      <c r="BS1" s="6" t="s">
        <v>69</v>
      </c>
      <c r="BT1" s="6" t="s">
        <v>70</v>
      </c>
      <c r="BU1" s="6"/>
      <c r="BV1" s="6" t="s">
        <v>71</v>
      </c>
      <c r="BW1" s="6" t="s">
        <v>72</v>
      </c>
      <c r="BX1" s="6" t="s">
        <v>73</v>
      </c>
      <c r="BY1" s="6" t="s">
        <v>74</v>
      </c>
      <c r="BZ1" s="6" t="s">
        <v>75</v>
      </c>
      <c r="CA1" s="6"/>
      <c r="CB1" s="6" t="s">
        <v>76</v>
      </c>
      <c r="CC1" s="6" t="s">
        <v>77</v>
      </c>
      <c r="CD1" s="6" t="s">
        <v>78</v>
      </c>
      <c r="CE1" s="6" t="s">
        <v>79</v>
      </c>
      <c r="CF1" s="6" t="s">
        <v>80</v>
      </c>
      <c r="CG1" s="6" t="s">
        <v>109</v>
      </c>
      <c r="CH1" s="6"/>
      <c r="CI1" s="6" t="s">
        <v>110</v>
      </c>
      <c r="CJ1" s="6" t="s">
        <v>111</v>
      </c>
      <c r="CK1" s="6" t="s">
        <v>112</v>
      </c>
      <c r="CL1" s="6" t="s">
        <v>113</v>
      </c>
      <c r="CM1" s="6" t="s">
        <v>114</v>
      </c>
      <c r="CN1" s="6"/>
      <c r="CO1" s="6" t="s">
        <v>121</v>
      </c>
      <c r="CP1" s="6" t="s">
        <v>115</v>
      </c>
      <c r="CQ1" s="6" t="s">
        <v>116</v>
      </c>
      <c r="CR1" s="6" t="s">
        <v>117</v>
      </c>
      <c r="CS1" s="6" t="s">
        <v>118</v>
      </c>
      <c r="CT1" s="6" t="s">
        <v>119</v>
      </c>
      <c r="CU1" s="6" t="s">
        <v>10</v>
      </c>
      <c r="CV1" s="6"/>
      <c r="CW1" s="25" t="s">
        <v>83</v>
      </c>
      <c r="CX1" s="25" t="s">
        <v>84</v>
      </c>
      <c r="CY1" s="25" t="s">
        <v>85</v>
      </c>
      <c r="CZ1" s="25" t="s">
        <v>86</v>
      </c>
      <c r="DA1" s="25" t="s">
        <v>87</v>
      </c>
      <c r="DB1" s="27" t="s">
        <v>10</v>
      </c>
      <c r="DC1" s="6" t="s">
        <v>88</v>
      </c>
      <c r="DD1" s="6" t="s">
        <v>89</v>
      </c>
      <c r="DE1" s="6" t="s">
        <v>90</v>
      </c>
      <c r="DF1" s="6" t="s">
        <v>91</v>
      </c>
      <c r="DG1" s="6" t="s">
        <v>92</v>
      </c>
      <c r="DH1" s="27" t="s">
        <v>10</v>
      </c>
      <c r="DI1" s="6" t="s">
        <v>93</v>
      </c>
      <c r="DJ1" s="6"/>
      <c r="DK1" s="6" t="s">
        <v>103</v>
      </c>
      <c r="DL1" s="10" t="s">
        <v>94</v>
      </c>
      <c r="DM1" s="10" t="s">
        <v>96</v>
      </c>
      <c r="DN1" s="28" t="s">
        <v>95</v>
      </c>
      <c r="DO1" s="10" t="s">
        <v>51</v>
      </c>
      <c r="DP1" s="28" t="s">
        <v>101</v>
      </c>
      <c r="DQ1" s="10" t="s">
        <v>98</v>
      </c>
      <c r="DR1" s="6" t="s">
        <v>102</v>
      </c>
    </row>
    <row r="2" spans="1:122">
      <c r="A2" s="1" t="str">
        <f>IF(ISBLANK('Apollo Dock Status'!A2),"",'Apollo Dock Status'!A2)</f>
        <v/>
      </c>
      <c r="B2" s="1" t="str">
        <f>IF(ISBLANK('Apollo Dock Status'!B2),"",'Apollo Dock Status'!B2)</f>
        <v/>
      </c>
      <c r="C2" s="1" t="str">
        <f>IF(ISBLANK('Apollo Dock Status'!C2),"",'Apollo Dock Status'!C2)</f>
        <v/>
      </c>
      <c r="D2" s="1" t="str">
        <f>IF(ISBLANK('Apollo Dock Status'!D2),"",'Apollo Dock Status'!D2)</f>
        <v/>
      </c>
      <c r="E2" s="1" t="str">
        <f>IF(ISBLANK('Apollo Dock Status'!E2),"",'Apollo Dock Status'!E2)</f>
        <v/>
      </c>
      <c r="F2" s="1" t="str">
        <f>IF(ISBLANK('Apollo Dock Status'!F2),"",'Apollo Dock Status'!F2)</f>
        <v/>
      </c>
      <c r="G2" s="1" t="str">
        <f>IF(ISBLANK('Apollo Dock Status'!G2),"",'Apollo Dock Status'!G2)</f>
        <v/>
      </c>
      <c r="H2" s="1" t="str">
        <f>IF(ISBLANK('Apollo Dock Status'!H2),"",'Apollo Dock Status'!H2)</f>
        <v/>
      </c>
      <c r="I2" s="1" t="str">
        <f>IF(ISBLANK('Apollo Dock Status'!I2),"",'Apollo Dock Status'!I2)</f>
        <v/>
      </c>
      <c r="J2" s="1" t="str">
        <f>IF(ISBLANK('Apollo Dock Status'!J2),"",'Apollo Dock Status'!J2)</f>
        <v/>
      </c>
      <c r="K2" s="1" t="str">
        <f>IF(ISBLANK('Apollo Dock Status'!K2),"",'Apollo Dock Status'!K2)</f>
        <v/>
      </c>
      <c r="L2" s="1" t="str">
        <f>IF(ISBLANK('Apollo Dock Status'!L2),"",'Apollo Dock Status'!L2)</f>
        <v/>
      </c>
      <c r="M2" s="1" t="str">
        <f>IF(ISBLANK('Apollo Dock Status'!M2),"",'Apollo Dock Status'!M2)</f>
        <v/>
      </c>
      <c r="N2" s="1" t="str">
        <f>IF(ISBLANK('Apollo Dock Status'!N2),"",'Apollo Dock Status'!N2)</f>
        <v/>
      </c>
      <c r="O2" s="1" t="str">
        <f>IF(ISBLANK(A2),"",G2)</f>
        <v/>
      </c>
      <c r="P2" s="1" t="str">
        <f>IFERROR(LEFT(O2,(FIND(" hr",O2, 1)-1)),"")</f>
        <v/>
      </c>
      <c r="Q2" s="1" t="str">
        <f>RIGHT(O2, 6)</f>
        <v/>
      </c>
      <c r="R2" s="1" t="str">
        <f>LEFT(Q2, 2)</f>
        <v/>
      </c>
      <c r="S2" s="11" t="str">
        <f>IFERROR(P2+R2/60,"")</f>
        <v/>
      </c>
      <c r="T2" s="1" t="str">
        <f>IF(ISBLANK(A2),"",K2)</f>
        <v/>
      </c>
      <c r="U2" s="11" t="str">
        <f>IFERROR(T2/S2,"")</f>
        <v/>
      </c>
      <c r="V2" s="11" t="str">
        <f>IFERROR(I2/S2,"")</f>
        <v/>
      </c>
      <c r="X2" s="1" t="str">
        <f>IF(ISBLANK(A2),"",B2)</f>
        <v/>
      </c>
      <c r="Y2" s="1" t="str">
        <f>IF(ISBLANK(A2),"",C2)</f>
        <v/>
      </c>
      <c r="Z2" s="1" t="str">
        <f>IF(ISBLANK(A2),"",RIGHT(A2,3))</f>
        <v/>
      </c>
      <c r="AB2" s="13">
        <f ca="1">IF(ISBLANK(A2),"",TODAY())</f>
        <v>46176</v>
      </c>
      <c r="AC2" s="1">
        <f ca="1">IF(ISBLANK(A2),"",YEAR($AB$2))</f>
        <v>2026</v>
      </c>
      <c r="AD2" s="1" t="str">
        <f ca="1">TEXT(AB2,"m")</f>
        <v>6</v>
      </c>
      <c r="AE2" s="1">
        <f>IF(ISBLANK(A2),"",MONTH(1&amp;LEFT(F2,3)))</f>
        <v>1</v>
      </c>
      <c r="AF2" s="1" t="str">
        <f>IF(ISBLANK(A2),"",MID(F2,5,2))</f>
        <v/>
      </c>
      <c r="AG2" s="1">
        <f ca="1">IF(ISBLANK(A2),"",IF(AND(VALUE($AI2)=1,VALUE($AH2)=12),$AC2-1,$AC2))</f>
        <v>2026</v>
      </c>
      <c r="AH2" s="1">
        <f>AE2</f>
        <v>1</v>
      </c>
      <c r="AI2" s="1" t="str">
        <f ca="1">AD2</f>
        <v>6</v>
      </c>
      <c r="AJ2" s="13" t="e">
        <f ca="1">IF(ISBLANK(A2),"",DATE(AG2,AE2,AF2))</f>
        <v>#VALUE!</v>
      </c>
      <c r="AK2" s="1" t="e">
        <f>IF(ISBLANK(A2),"",IFERROR(MID(F2,SEARCH(", ",F2)+LEN(", "),SEARCH(" "&amp;'Exception Stores'!$A$2,F2)-SEARCH(", ",F2)-LEN(", ")),MID(F2,SEARCH(", ",F2)+LEN(", "),SEARCH(" "&amp;'Exception Stores'!$B$2,F2)-SEARCH(", ",F2)-LEN(", "))))</f>
        <v>#VALUE!</v>
      </c>
      <c r="AL2" s="1" t="e">
        <f>IF(ISBLANK(A2),"",TEXT(AK2,"[hh]:mm"))</f>
        <v>#VALUE!</v>
      </c>
      <c r="AM2" s="15" t="e">
        <f ca="1">IF(ISBLANK(A2),"",AJ2+AL2)</f>
        <v>#VALUE!</v>
      </c>
      <c r="AN2" s="24" t="e">
        <f ca="1">IF(ISBLANK(A2),"",AM2+S2/24)</f>
        <v>#VALUE!</v>
      </c>
      <c r="AO2" s="1" t="e">
        <f ca="1">IF(ISBLANK(A2),"",WEEKDAY($AN$2))</f>
        <v>#VALUE!</v>
      </c>
      <c r="AP2" s="13" t="e">
        <f ca="1">IF(ISBLANK(A2),"",INT($AN$2))</f>
        <v>#VALUE!</v>
      </c>
      <c r="AQ2" s="17" t="e">
        <f ca="1">IF(ISBLANK(A2),"",$AN$2-INT($AN$2))</f>
        <v>#VALUE!</v>
      </c>
      <c r="AS2" s="15" t="e">
        <f ca="1">IF(ISBLANK(A2),"",AM2)</f>
        <v>#VALUE!</v>
      </c>
      <c r="AT2" s="5">
        <f>'Exception Stores'!$D$2</f>
        <v>0.125</v>
      </c>
      <c r="AU2" s="15" t="e">
        <f ca="1">IF($AZ$2=1,$BA$2-4,IF($AZ$2=2,$BA$2-5,IF($AZ$2=3,$BA$2-6,$BA$2-7)))</f>
        <v>#VALUE!</v>
      </c>
      <c r="AV2" s="15" t="e">
        <f ca="1">IF(OR($AZ$2=1,$AZ$2=7),$BA$2-3,IF($AZ$2=2,$BA$2-4,IF($AZ$2=3,$BA$2-5,$BA$2-6)))</f>
        <v>#VALUE!</v>
      </c>
      <c r="AW2" s="15" t="e">
        <f ca="1">IF(OR($AZ$2=4,$AZ$2=5),$BA$2-5,IF($AZ$2=3,$BA$2-4,IF($AZ$2=2,$BA$2-3,$BA$2-2)))</f>
        <v>#VALUE!</v>
      </c>
      <c r="AX2" s="15" t="e">
        <f ca="1">IF($AZ$2=4,$BA$2-4,IF($AZ$2=3,$BA$2-3,IF($AZ$2=2,$BA$2-2,$BA$2-1)))</f>
        <v>#VALUE!</v>
      </c>
      <c r="AY2" s="15" t="e">
        <f ca="1">IF($AO$2=1,$AP$2-1+$AT$2,IF($AO$2=2,$AP$2-2+$AT$2,IF($AO$2=3,$AP$2-3+$AT$2,IF(AND($AQ$2&lt;$AT$2,$AO$2=4),$AP$2-4+$AT$2,IF(AND($AQ$2&lt;$AT$2,OR($AO$2=5,$AO$2=6,$AO$2=7)),$AP$2-1+$AT$2,$AP$2+$AT$2)))))</f>
        <v>#VALUE!</v>
      </c>
      <c r="AZ2" s="1" t="e">
        <f ca="1">WEEKDAY($BA$2)</f>
        <v>#VALUE!</v>
      </c>
      <c r="BA2" s="15" t="e">
        <f ca="1">IF($AO$2=1,$AP$2-1+$AT$2,IF($AO$2=2,$AP$2-2+$AT$2,IF($AO$2=3,$AP$2-3+$AT$2,IF(AND($AQ$2&lt;$AT$2,$AO$2=4),$AP$2-4+$AT$2,IF(AND($AQ$2&lt;$AT$2,OR($AO$2=5,$AO$2=6,$AO$2=7)),$AP$2-1+$AT$2,$AP$2+$AT$2)))))</f>
        <v>#VALUE!</v>
      </c>
      <c r="BB2" s="15" t="e">
        <f ca="1">IF(AND($AQ$2&lt;$AT$2,OR($AO$2=4,$AO$2=5,$AO$2=6,$AO$2=7)),$AP$2+$AT$2,IF(AND($AQ$2&gt;=$AT$2,OR($AO$2=3,$AO$2=4,$AO$2=5,$AO$2=6)),$AP$2+1+$AT$2,IF(AND($AO$2=7,$AQ$2&gt;=$AT$2),$AP$2+4+$AT$2,IF($AO$2=1,$AP$2+3+$AT$2,IF($AO$2=2,$AP$2+2+$AT$2,$AP$2+1+$AT$2)))))</f>
        <v>#VALUE!</v>
      </c>
      <c r="BC2" s="1" t="e">
        <f ca="1">IF(ISBLANK(A2),"",WEEKDAY(AM2))</f>
        <v>#VALUE!</v>
      </c>
      <c r="BE2" s="15" t="str">
        <f>IF(ISBLANK('Exception Stores'!$A$6),"",'Exception Stores'!$A$6)</f>
        <v/>
      </c>
      <c r="BF2" s="15" t="str">
        <f>IF(ISBLANK('Exception Stores'!$B$6),"",'Exception Stores'!$B$6)</f>
        <v/>
      </c>
      <c r="BG2" s="1">
        <f>IF(ISBLANK('Exception Stores'!$A$6),0,IF($AN$2&gt;$BF$2,($AN$2-$BF$2)*24,0))</f>
        <v>0</v>
      </c>
      <c r="BH2" s="11">
        <f>IF(ISBLANK('Exception Stores'!$A$6),0,($BF$2-$BE$2)*24)</f>
        <v>0</v>
      </c>
      <c r="BI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2" s="1">
        <f>IF(ISBLANK('Exception Stores'!$A$6),0,IF($AN$2&gt;$BF$2,0,IF(AND($AN$2&lt;$BF$2,$BT$2="B"),(($BF$2-$AN$2)*24)-$BS$2,($BF$2-$AN$2)*24)))</f>
        <v>0</v>
      </c>
      <c r="BL2" s="5">
        <f>'Exception Stores'!E2</f>
        <v>0.25</v>
      </c>
      <c r="BM2" s="5">
        <f>'Exception Stores'!F2</f>
        <v>0.6875</v>
      </c>
      <c r="BN2" s="5">
        <f>'Exception Stores'!G2</f>
        <v>0.75</v>
      </c>
      <c r="BO2" s="5">
        <f>'Exception Stores'!I2</f>
        <v>0.99930555555555556</v>
      </c>
      <c r="BP2" s="5">
        <f>'Exception Stores'!J2</f>
        <v>0</v>
      </c>
      <c r="BQ2" s="1" t="e">
        <f ca="1">IF(OR(AO2=3,AO2=4,AO2=5,AO2=6),"B-Key","A-Key")</f>
        <v>#VALUE!</v>
      </c>
      <c r="BR2" s="1" t="e">
        <f ca="1">IF(AND($BQ$2="B-Key",$AQ$2&gt;=$BL$2,$AQ$2&lt;$BM$2),"1",IF(AND($BQ$2="A-Key",$AQ$2&gt;=$BL$2,$AQ$2&lt;$BN$2),"1","2"))</f>
        <v>#VALUE!</v>
      </c>
      <c r="BS2" s="1">
        <f>'Exception Stores'!C2</f>
        <v>3.5</v>
      </c>
      <c r="BT2" s="1" t="e">
        <f ca="1">IF(AND(AQ2&gt;=$BL$2,AQ2&lt;$BM$2,OR($AO$2=4,$AO$2=5,$AO$2=6)),"A",IF(AND(AQ2&gt;=$BL$2,AQ2&lt;$BN$2,$AO$2=7),"A",IF(AND(AQ2&gt;$BM$2,AQ2&lt;=$BO$2,OR($AO$2=3,$AO$2=4,$AO$2=5,$AO$2=6)),"B",IF(AND(AQ2&gt;=$BP$2,AQ2&lt;$BL$2,OR($AO$2=4,$AO$2=5,$AO$2=6,$AO$2=7)),"B","C"))))</f>
        <v>#VALUE!</v>
      </c>
      <c r="BV2" s="1" t="e">
        <f ca="1">IF(ISBLANK(A2),"",IF(AM2&lt;$AU$2,"YES","NO"))</f>
        <v>#VALUE!</v>
      </c>
      <c r="BW2" s="1" t="e">
        <f ca="1">IF(ISBLANK(A2),"",IF(AM2&lt;$AV$2,"YES","NO"))</f>
        <v>#VALUE!</v>
      </c>
      <c r="BX2" s="1" t="e">
        <f ca="1">IF(ISBLANK(A2),"",IF(AM2&lt;$AW$2,"YES","NO"))</f>
        <v>#VALUE!</v>
      </c>
      <c r="BY2" s="1" t="e">
        <f ca="1">IF(ISBLANK(A2),"",IF(AM2&lt;$AX$2,"YES","NO"))</f>
        <v>#VALUE!</v>
      </c>
      <c r="BZ2" s="1" t="e">
        <f ca="1">IF(ISBLANK(A2),"",IF(AM2&lt;$BA$2,"YES","NO"))</f>
        <v>#VALUE!</v>
      </c>
      <c r="CB2" s="1" t="str">
        <f>IF(ISBLANK('Exception Stores'!$A$6),"",WEEKDAY($BF$2))</f>
        <v/>
      </c>
      <c r="CC2" s="1" t="str">
        <f>IF(ISBLANK('Exception Stores'!$A$6),"NO",IF('Exception Stores'!$A$6&lt;$AU$2,"YES","NO"))</f>
        <v>NO</v>
      </c>
      <c r="CD2" s="1" t="str">
        <f>IF(ISBLANK('Exception Stores'!$A$6),"NO",IF('Exception Stores'!$A$6&lt;$AV$2,"YES","NO"))</f>
        <v>NO</v>
      </c>
      <c r="CE2" s="1" t="str">
        <f>IF(ISBLANK('Exception Stores'!$A$6),"NO",IF('Exception Stores'!$A$6&lt;$AW$2,"YES","NO"))</f>
        <v>NO</v>
      </c>
      <c r="CF2" s="1" t="str">
        <f>IF(ISBLANK('Exception Stores'!$A$6),"NO",IF('Exception Stores'!$A$6&lt;$AX$2,"YES","NO"))</f>
        <v>NO</v>
      </c>
      <c r="CG2" s="1" t="str">
        <f>IF(ISBLANK('Exception Stores'!$A$6),"NO",IF('Exception Stores'!$A$6&lt;$AY$2,"YES","NO"))</f>
        <v>NO</v>
      </c>
      <c r="CI2" s="42" t="str">
        <f>IF(ISBLANK('Exception Stores'!$B$6),"NO",IF('Exception Stores'!$B$6&lt;=$AU$2,"YES","NO"))</f>
        <v>NO</v>
      </c>
      <c r="CJ2" s="42" t="str">
        <f>IF(ISBLANK('Exception Stores'!$B$6),"NO",IF('Exception Stores'!$B$6&lt;=$AV$2,"YES","NO"))</f>
        <v>NO</v>
      </c>
      <c r="CK2" s="1" t="str">
        <f>IF(ISBLANK('Exception Stores'!$B$6),"NO",IF('Exception Stores'!$B$6&lt;=$AW$2,"YES","NO"))</f>
        <v>NO</v>
      </c>
      <c r="CL2" s="1" t="str">
        <f>IF(ISBLANK('Exception Stores'!$B$6),"NO",IF('Exception Stores'!$B$6&lt;=$AX$2,"YES","NO"))</f>
        <v>NO</v>
      </c>
      <c r="CM2" s="1" t="str">
        <f>IF(ISBLANK('Exception Stores'!$B$6),"NO",IF('Exception Stores'!$B$6&lt;=$AY$2,"YES","NO"))</f>
        <v>NO</v>
      </c>
      <c r="CO2" s="1" t="e">
        <f ca="1">IF(AM2&lt;'Exception Stores'!$A$6,"YES","NO")</f>
        <v>#VALUE!</v>
      </c>
      <c r="CP2" s="1">
        <f>IF(CI2="NO",0,1)</f>
        <v>0</v>
      </c>
      <c r="CQ2" s="1">
        <f>IF(CJ2="NO",0,1)</f>
        <v>0</v>
      </c>
      <c r="CR2" s="1">
        <f>IF(CK2="NO",0,1)</f>
        <v>0</v>
      </c>
      <c r="CS2" s="1">
        <f>IF(CL2="NO",0,1)</f>
        <v>0</v>
      </c>
      <c r="CT2" s="1">
        <f>IF(CM2="NO",0,1)</f>
        <v>0</v>
      </c>
      <c r="CU2" s="1">
        <f>SUM(CP2:CT2)</f>
        <v>0</v>
      </c>
      <c r="CW2" s="1" t="e">
        <f ca="1">IF(BV2="NO",0,1)</f>
        <v>#VALUE!</v>
      </c>
      <c r="CX2" s="1" t="e">
        <f t="shared" ref="CX2:CX33" ca="1" si="0">IF(BW2="NO",0,1)</f>
        <v>#VALUE!</v>
      </c>
      <c r="CY2" s="1" t="e">
        <f t="shared" ref="CY2:CY33" ca="1" si="1">IF(BX2="NO",0,1)</f>
        <v>#VALUE!</v>
      </c>
      <c r="CZ2" s="1" t="e">
        <f t="shared" ref="CZ2:CZ33" ca="1" si="2">IF(BY2="NO",0,1)</f>
        <v>#VALUE!</v>
      </c>
      <c r="DA2" s="1" t="e">
        <f t="shared" ref="DA2:DA33" ca="1" si="3">IF(BZ2="NO",0,1)</f>
        <v>#VALUE!</v>
      </c>
      <c r="DB2" s="26" t="e">
        <f ca="1">SUM(CW2:DA2)</f>
        <v>#VALUE!</v>
      </c>
      <c r="DC2" s="1">
        <f t="shared" ref="DC2:DC33" si="4">IF(CC2="NO",0,1)</f>
        <v>0</v>
      </c>
      <c r="DD2" s="1">
        <f t="shared" ref="DD2:DD33" si="5">IF(CD2="NO",0,1)</f>
        <v>0</v>
      </c>
      <c r="DE2" s="1">
        <f t="shared" ref="DE2:DE33" si="6">IF(CE2="NO",0,1)</f>
        <v>0</v>
      </c>
      <c r="DF2" s="1">
        <f t="shared" ref="DF2:DF33" si="7">IF(CF2="NO",0,1)</f>
        <v>0</v>
      </c>
      <c r="DG2" s="1">
        <f t="shared" ref="DG2:DG33" si="8">IF(CG2="NO",0,1)</f>
        <v>0</v>
      </c>
      <c r="DH2" s="26">
        <f>SUM(DC2:DG2)</f>
        <v>0</v>
      </c>
      <c r="DI2" s="1" t="e">
        <f ca="1">IF(DB2&gt;DH2,DB2-DH2,0)</f>
        <v>#VALUE!</v>
      </c>
      <c r="DK2" s="11" t="str">
        <f t="shared" ref="DK2:DK33" si="9">S2</f>
        <v/>
      </c>
      <c r="DL2" s="11" t="e">
        <f ca="1">IF(AND(NOT(ISBLANK('Exception Stores'!$A$6)),CO2="YES"),S2-$BH$2-(DI2*$BS$2)-(CU2*$BS$2),S2-(DB2*$BS$2))</f>
        <v>#VALUE!</v>
      </c>
      <c r="DM2" s="11" t="str">
        <f>IF(ISBLANK(A2),"",IF(COUNTIF(Remaps!$A$2:$A$200,B2)&gt;0,"YES",""))</f>
        <v>YES</v>
      </c>
      <c r="DN2" s="29">
        <f>IFERROR(INDEX(Remaps!$B$2:$B$200,MATCH(B2,Remaps!$A$2:$A$200,0),1),0)</f>
        <v>0</v>
      </c>
      <c r="DO2" s="11" t="e">
        <f t="shared" ref="DO2:DO33" ca="1" si="10">K2/DL2</f>
        <v>#VALUE!</v>
      </c>
      <c r="DP2" s="29" t="e">
        <f t="shared" ref="DP2:DP33" si="11">DN2+K2</f>
        <v>#VALUE!</v>
      </c>
      <c r="DQ2" s="11" t="e">
        <f ca="1">('Apollo Dock Status'!$Z$1-DP2)/DO2</f>
        <v>#VALUE!</v>
      </c>
      <c r="DR2" s="15" t="e">
        <f ca="1">$AN$2+(DQ2/24)</f>
        <v>#VALUE!</v>
      </c>
    </row>
    <row r="3" spans="1:122">
      <c r="A3" s="1" t="str">
        <f>IF(ISBLANK('Apollo Dock Status'!A3),"",'Apollo Dock Status'!A3)</f>
        <v/>
      </c>
      <c r="B3" s="1" t="str">
        <f>IF(ISBLANK('Apollo Dock Status'!B3),"",'Apollo Dock Status'!B3)</f>
        <v/>
      </c>
      <c r="C3" s="1" t="str">
        <f>IF(ISBLANK('Apollo Dock Status'!C3),"",'Apollo Dock Status'!C3)</f>
        <v/>
      </c>
      <c r="D3" s="1" t="str">
        <f>IF(ISBLANK('Apollo Dock Status'!D3),"",'Apollo Dock Status'!D3)</f>
        <v/>
      </c>
      <c r="E3" s="1" t="str">
        <f>IF(ISBLANK('Apollo Dock Status'!E3),"",'Apollo Dock Status'!E3)</f>
        <v/>
      </c>
      <c r="F3" s="1" t="str">
        <f>IF(ISBLANK('Apollo Dock Status'!F3),"",'Apollo Dock Status'!F3)</f>
        <v/>
      </c>
      <c r="G3" s="1" t="str">
        <f>IF(ISBLANK('Apollo Dock Status'!G3),"",'Apollo Dock Status'!G3)</f>
        <v/>
      </c>
      <c r="H3" s="1" t="str">
        <f>IF(ISBLANK('Apollo Dock Status'!H3),"",'Apollo Dock Status'!H3)</f>
        <v/>
      </c>
      <c r="I3" s="1" t="str">
        <f>IF(ISBLANK('Apollo Dock Status'!I3),"",'Apollo Dock Status'!I3)</f>
        <v/>
      </c>
      <c r="J3" s="1" t="str">
        <f>IF(ISBLANK('Apollo Dock Status'!J3),"",'Apollo Dock Status'!J3)</f>
        <v/>
      </c>
      <c r="K3" s="1" t="str">
        <f>IF(ISBLANK('Apollo Dock Status'!K3),"",'Apollo Dock Status'!K3)</f>
        <v/>
      </c>
      <c r="L3" s="1" t="str">
        <f>IF(ISBLANK('Apollo Dock Status'!L3),"",'Apollo Dock Status'!L3)</f>
        <v/>
      </c>
      <c r="M3" s="1" t="str">
        <f>IF(ISBLANK('Apollo Dock Status'!M3),"",'Apollo Dock Status'!M3)</f>
        <v/>
      </c>
      <c r="N3" s="1" t="str">
        <f>IF(ISBLANK('Apollo Dock Status'!N3),"",'Apollo Dock Status'!N3)</f>
        <v/>
      </c>
      <c r="O3" s="1" t="str">
        <f t="shared" ref="O3:O66" si="12">IF(ISBLANK(A3),"",G3)</f>
        <v/>
      </c>
      <c r="P3" s="1" t="str">
        <f t="shared" ref="P3:P66" si="13">IFERROR(LEFT(O3,(FIND(" hr",O3, 1)-1)),"")</f>
        <v/>
      </c>
      <c r="Q3" s="1" t="str">
        <f t="shared" ref="Q3:Q66" si="14">RIGHT(O3, 6)</f>
        <v/>
      </c>
      <c r="R3" s="1" t="str">
        <f t="shared" ref="R3:R66" si="15">LEFT(Q3, 2)</f>
        <v/>
      </c>
      <c r="S3" s="11" t="str">
        <f t="shared" ref="S3:S66" si="16">IFERROR(P3+R3/60,"")</f>
        <v/>
      </c>
      <c r="T3" s="1" t="str">
        <f t="shared" ref="T3:T66" si="17">IF(ISBLANK(A3),"",K3)</f>
        <v/>
      </c>
      <c r="U3" s="11" t="str">
        <f t="shared" ref="U3:U66" si="18">IFERROR(T3/S3,"")</f>
        <v/>
      </c>
      <c r="V3" s="11" t="str">
        <f t="shared" ref="V3:V66" si="19">IFERROR(I3/S3,"")</f>
        <v/>
      </c>
      <c r="X3" s="1" t="str">
        <f t="shared" ref="X3:X66" si="20">IF(ISBLANK(A3),"",B3)</f>
        <v/>
      </c>
      <c r="Y3" s="1" t="str">
        <f t="shared" ref="Y3:Y66" si="21">IF(ISBLANK(A3),"",C3)</f>
        <v/>
      </c>
      <c r="Z3" s="1" t="str">
        <f t="shared" ref="Z3:Z66" si="22">IF(ISBLANK(A3),"",RIGHT(A3,3))</f>
        <v/>
      </c>
      <c r="AB3" s="13">
        <f t="shared" ref="AB3:AB66" ca="1" si="23">IF(ISBLANK(A3),"",TODAY())</f>
        <v>46176</v>
      </c>
      <c r="AC3" s="1">
        <f t="shared" ref="AC3:AC66" ca="1" si="24">IF(ISBLANK(A3),"",YEAR($AB$2))</f>
        <v>2026</v>
      </c>
      <c r="AD3" s="1" t="str">
        <f t="shared" ref="AD3:AD66" ca="1" si="25">TEXT(AB3,"m")</f>
        <v>6</v>
      </c>
      <c r="AE3" s="1">
        <f t="shared" ref="AE3:AE66" si="26">IF(ISBLANK(A3),"",MONTH(1&amp;LEFT(F3,3)))</f>
        <v>1</v>
      </c>
      <c r="AF3" s="1" t="str">
        <f t="shared" ref="AF3:AF66" si="27">IF(ISBLANK(A3),"",MID(F3,5,2))</f>
        <v/>
      </c>
      <c r="AG3" s="1">
        <f t="shared" ref="AG3:AG66" ca="1" si="28">IF(ISBLANK(A3),"",IF(AND(VALUE($AI3)=1,VALUE($AH3)=12),$AC3-1,$AC3))</f>
        <v>2026</v>
      </c>
      <c r="AH3" s="1">
        <f t="shared" ref="AH3:AH66" si="29">AE3</f>
        <v>1</v>
      </c>
      <c r="AI3" s="1" t="str">
        <f t="shared" ref="AI3:AI66" ca="1" si="30">AD3</f>
        <v>6</v>
      </c>
      <c r="AJ3" s="13" t="e">
        <f t="shared" ref="AJ3:AJ66" ca="1" si="31">IF(ISBLANK(A3),"",DATE(AG3,AE3,AF3))</f>
        <v>#VALUE!</v>
      </c>
      <c r="AK3" s="1" t="e">
        <f>IF(ISBLANK(A3),"",IFERROR(MID(F3,SEARCH(", ",F3)+LEN(", "),SEARCH(" "&amp;'Exception Stores'!$A$2,F3)-SEARCH(", ",F3)-LEN(", ")),MID(F3,SEARCH(", ",F3)+LEN(", "),SEARCH(" "&amp;'Exception Stores'!$B$2,F3)-SEARCH(", ",F3)-LEN(", "))))</f>
        <v>#VALUE!</v>
      </c>
      <c r="AL3" s="1" t="e">
        <f t="shared" ref="AL3:AL66" si="32">IF(ISBLANK(A3),"",TEXT(AK3,"[hh]:mm"))</f>
        <v>#VALUE!</v>
      </c>
      <c r="AM3" s="15" t="e">
        <f t="shared" ref="AM3:AM66" ca="1" si="33">IF(ISBLANK(A3),"",AJ3+AL3)</f>
        <v>#VALUE!</v>
      </c>
      <c r="AN3" s="24" t="e">
        <f t="shared" ref="AN3:AN66" ca="1" si="34">IF(ISBLANK(A3),"",AM3+S3/24)</f>
        <v>#VALUE!</v>
      </c>
      <c r="AO3" s="1" t="e">
        <f t="shared" ref="AO3:AO66" ca="1" si="35">IF(ISBLANK(A3),"",WEEKDAY($AN$2))</f>
        <v>#VALUE!</v>
      </c>
      <c r="AP3" s="13" t="e">
        <f t="shared" ref="AP3:AP66" ca="1" si="36">IF(ISBLANK(A3),"",INT($AN$2))</f>
        <v>#VALUE!</v>
      </c>
      <c r="AQ3" s="17" t="e">
        <f t="shared" ref="AQ3:AQ66" ca="1" si="37">IF(ISBLANK(A3),"",$AN$2-INT($AN$2))</f>
        <v>#VALUE!</v>
      </c>
      <c r="AS3" s="15" t="e">
        <f t="shared" ref="AS3:AS66" ca="1" si="38">IF(ISBLANK(A3),"",AM3)</f>
        <v>#VALUE!</v>
      </c>
      <c r="AT3" s="5">
        <f>'Exception Stores'!$D$2</f>
        <v>0.125</v>
      </c>
      <c r="AU3" s="15" t="e">
        <f t="shared" ref="AU3:AU66" ca="1" si="39">IF($AZ$2=1,$BA$2-4,IF($AZ$2=2,$BA$2-5,IF($AZ$2=3,$BA$2-6,$BA$2-7)))</f>
        <v>#VALUE!</v>
      </c>
      <c r="AV3" s="15" t="e">
        <f t="shared" ref="AV3:AV66" ca="1" si="40">IF(OR($AZ$2=1,$AZ$2=7),$BA$2-3,IF($AZ$2=2,$BA$2-4,IF($AZ$2=3,$BA$2-5,$BA$2-6)))</f>
        <v>#VALUE!</v>
      </c>
      <c r="AW3" s="15" t="e">
        <f t="shared" ref="AW3:AW66" ca="1" si="41">IF(OR($AZ$2=4,$AZ$2=5),$BA$2-5,IF($AZ$2=3,$BA$2-4,IF($AZ$2=2,$BA$2-3,$BA$2-2)))</f>
        <v>#VALUE!</v>
      </c>
      <c r="AX3" s="15" t="e">
        <f t="shared" ref="AX3:AX66" ca="1" si="42">IF($AZ$2=4,$BA$2-4,IF($AZ$2=3,$BA$2-3,IF($AZ$2=2,$BA$2-2,$BA$2-1)))</f>
        <v>#VALUE!</v>
      </c>
      <c r="AY3" s="15" t="e">
        <f t="shared" ref="AY3:AY66" ca="1" si="43">IF($AO$2=1,$AP$2-1+$AT$2,IF($AO$2=2,$AP$2-2+$AT$2,IF($AO$2=3,$AP$2-3+$AT$2,IF(AND($AQ$2&lt;$AT$2,$AO$2=4),$AP$2-4+$AT$2,IF(AND($AQ$2&lt;$AT$2,OR($AO$2=5,$AO$2=6,$AO$2=7)),$AP$2-1+$AT$2,$AP$2+$AT$2)))))</f>
        <v>#VALUE!</v>
      </c>
      <c r="AZ3" s="1" t="e">
        <f t="shared" ref="AZ3:AZ66" ca="1" si="44">WEEKDAY($BA$2)</f>
        <v>#VALUE!</v>
      </c>
      <c r="BA3" s="15" t="e">
        <f t="shared" ref="BA3:BA66" ca="1" si="45">IF($AO$2=1,$AP$2-1+$AT$2,IF($AO$2=2,$AP$2-2+$AT$2,IF($AO$2=3,$AP$2-3+$AT$2,IF(AND($AQ$2&lt;$AT$2,$AO$2=4),$AP$2-4+$AT$2,IF(AND($AQ$2&lt;$AT$2,OR($AO$2=5,$AO$2=6,$AO$2=7)),$AP$2-1+$AT$2,$AP$2+$AT$2)))))</f>
        <v>#VALUE!</v>
      </c>
      <c r="BB3" s="15" t="e">
        <f t="shared" ref="BB3:BB66" ca="1" si="46">IF(AND($AQ$2&lt;$AT$2,OR($AO$2=4,$AO$2=5,$AO$2=6,$AO$2=7)),$AP$2+$AT$2,IF(AND($AQ$2&gt;=$AT$2,OR($AO$2=3,$AO$2=4,$AO$2=5,$AO$2=6)),$AP$2+1+$AT$2,IF(AND($AO$2=7,$AQ$2&gt;=$AT$2),$AP$2+4+$AT$2,IF($AO$2=1,$AP$2+3+$AT$2,IF($AO$2=2,$AP$2+2+$AT$2,$AP$2+1+$AT$2)))))</f>
        <v>#VALUE!</v>
      </c>
      <c r="BC3" s="1" t="e">
        <f t="shared" ref="BC3:BC66" ca="1" si="47">IF(ISBLANK(A3),"",WEEKDAY(AM3))</f>
        <v>#VALUE!</v>
      </c>
      <c r="BE3" s="15" t="str">
        <f>IF(ISBLANK('Exception Stores'!$A$6),"",'Exception Stores'!$A$6)</f>
        <v/>
      </c>
      <c r="BF3" s="15" t="str">
        <f>IF(ISBLANK('Exception Stores'!$B$6),"",'Exception Stores'!$B$6)</f>
        <v/>
      </c>
      <c r="BG3" s="1">
        <f>IF(ISBLANK('Exception Stores'!$A$6),0,IF($AN$2&gt;$BF$2,($AN$2-$BF$2)*24,0))</f>
        <v>0</v>
      </c>
      <c r="BH3" s="11">
        <f>IF(ISBLANK('Exception Stores'!$A$6),0,($BF$2-$BE$2)*24)</f>
        <v>0</v>
      </c>
      <c r="BI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3" s="1">
        <f>IF(ISBLANK('Exception Stores'!$A$6),0,IF($AN$2&gt;$BF$2,0,IF(AND($AN$2&lt;$BF$2,$BT$2="B"),(($BF$2-$AN$2)*24)-$BS$2,($BF$2-$AN$2)*24)))</f>
        <v>0</v>
      </c>
      <c r="BL3" s="5"/>
      <c r="BM3" s="5"/>
      <c r="BN3" s="5"/>
      <c r="BO3" s="5"/>
      <c r="BP3" s="5"/>
      <c r="BV3" s="1" t="e">
        <f t="shared" ref="BV3:BV66" ca="1" si="48">IF(ISBLANK(A3),"",IF(AM3&lt;$AU$2,"YES","NO"))</f>
        <v>#VALUE!</v>
      </c>
      <c r="BW3" s="1" t="e">
        <f t="shared" ref="BW3:BW66" ca="1" si="49">IF(ISBLANK(A3),"",IF(AM3&lt;$AV$2,"YES","NO"))</f>
        <v>#VALUE!</v>
      </c>
      <c r="BX3" s="1" t="e">
        <f t="shared" ref="BX3:BX66" ca="1" si="50">IF(ISBLANK(A3),"",IF(AM3&lt;$AW$2,"YES","NO"))</f>
        <v>#VALUE!</v>
      </c>
      <c r="BY3" s="1" t="e">
        <f t="shared" ref="BY3:BY66" ca="1" si="51">IF(ISBLANK(A3),"",IF(AM3&lt;$AX$2,"YES","NO"))</f>
        <v>#VALUE!</v>
      </c>
      <c r="BZ3" s="1" t="e">
        <f t="shared" ref="BZ3:BZ66" ca="1" si="52">IF(ISBLANK(A3),"",IF(AM3&lt;$BA$2,"YES","NO"))</f>
        <v>#VALUE!</v>
      </c>
      <c r="CB3" s="1" t="str">
        <f>IF(ISBLANK('Exception Stores'!$A$6),"",WEEKDAY($BF$2))</f>
        <v/>
      </c>
      <c r="CC3" s="1" t="str">
        <f>IF(ISBLANK('Exception Stores'!$A$6),"NO",IF('Exception Stores'!$A$6&lt;$AU$2,"YES","NO"))</f>
        <v>NO</v>
      </c>
      <c r="CD3" s="1" t="str">
        <f>IF(ISBLANK('Exception Stores'!$A$6),"NO",IF('Exception Stores'!$A$6&lt;$AV$2,"YES","NO"))</f>
        <v>NO</v>
      </c>
      <c r="CE3" s="1" t="str">
        <f>IF(ISBLANK('Exception Stores'!$A$6),"NO",IF('Exception Stores'!$A$6&lt;$AW$2,"YES","NO"))</f>
        <v>NO</v>
      </c>
      <c r="CF3" s="1" t="str">
        <f>IF(ISBLANK('Exception Stores'!$A$6),"NO",IF('Exception Stores'!$A$6&lt;$AX$2,"YES","NO"))</f>
        <v>NO</v>
      </c>
      <c r="CG3" s="1" t="str">
        <f>IF(ISBLANK('Exception Stores'!$A$6),"NO",IF('Exception Stores'!$A$6&lt;$AY$2,"YES","NO"))</f>
        <v>NO</v>
      </c>
      <c r="CI3" s="42" t="str">
        <f>IF(ISBLANK('Exception Stores'!$B$6),"NO",IF('Exception Stores'!$B$6&lt;=$AU$2,"YES","NO"))</f>
        <v>NO</v>
      </c>
      <c r="CJ3" s="42" t="str">
        <f>IF(ISBLANK('Exception Stores'!$B$6),"NO",IF('Exception Stores'!$B$6&lt;=$AV$2,"YES","NO"))</f>
        <v>NO</v>
      </c>
      <c r="CK3" s="1" t="str">
        <f>IF(ISBLANK('Exception Stores'!$B$6),"NO",IF('Exception Stores'!$B$6&lt;=$AW$2,"YES","NO"))</f>
        <v>NO</v>
      </c>
      <c r="CL3" s="1" t="str">
        <f>IF(ISBLANK('Exception Stores'!$B$6),"NO",IF('Exception Stores'!$B$6&lt;=$AX$2,"YES","NO"))</f>
        <v>NO</v>
      </c>
      <c r="CM3" s="1" t="str">
        <f>IF(ISBLANK('Exception Stores'!$B$6),"NO",IF('Exception Stores'!$B$6&lt;=$AY$2,"YES","NO"))</f>
        <v>NO</v>
      </c>
      <c r="CO3" s="1" t="e">
        <f ca="1">IF(AM3&lt;'Exception Stores'!$A$6,"YES","NO")</f>
        <v>#VALUE!</v>
      </c>
      <c r="CP3" s="1">
        <f t="shared" ref="CP3:CP66" si="53">IF(CI3="NO",0,1)</f>
        <v>0</v>
      </c>
      <c r="CQ3" s="1">
        <f t="shared" ref="CQ3:CQ66" si="54">IF(CJ3="NO",0,1)</f>
        <v>0</v>
      </c>
      <c r="CR3" s="1">
        <f t="shared" ref="CR3:CR66" si="55">IF(CK3="NO",0,1)</f>
        <v>0</v>
      </c>
      <c r="CS3" s="1">
        <f t="shared" ref="CS3:CS66" si="56">IF(CL3="NO",0,1)</f>
        <v>0</v>
      </c>
      <c r="CT3" s="1">
        <f t="shared" ref="CT3:CT66" si="57">IF(CM3="NO",0,1)</f>
        <v>0</v>
      </c>
      <c r="CU3" s="1">
        <f t="shared" ref="CU3:CU66" si="58">SUM(CP3:CT3)</f>
        <v>0</v>
      </c>
      <c r="CW3" s="1" t="e">
        <f t="shared" ref="CW3:CW33" ca="1" si="59">IF(BV3="NO",0,1)</f>
        <v>#VALUE!</v>
      </c>
      <c r="CX3" s="1" t="e">
        <f t="shared" ca="1" si="0"/>
        <v>#VALUE!</v>
      </c>
      <c r="CY3" s="1" t="e">
        <f t="shared" ca="1" si="1"/>
        <v>#VALUE!</v>
      </c>
      <c r="CZ3" s="1" t="e">
        <f t="shared" ca="1" si="2"/>
        <v>#VALUE!</v>
      </c>
      <c r="DA3" s="1" t="e">
        <f t="shared" ca="1" si="3"/>
        <v>#VALUE!</v>
      </c>
      <c r="DB3" s="26" t="e">
        <f t="shared" ref="DB3:DB66" ca="1" si="60">SUM(CW3:DA3)</f>
        <v>#VALUE!</v>
      </c>
      <c r="DC3" s="1">
        <f t="shared" si="4"/>
        <v>0</v>
      </c>
      <c r="DD3" s="1">
        <f t="shared" si="5"/>
        <v>0</v>
      </c>
      <c r="DE3" s="1">
        <f t="shared" si="6"/>
        <v>0</v>
      </c>
      <c r="DF3" s="1">
        <f t="shared" si="7"/>
        <v>0</v>
      </c>
      <c r="DG3" s="1">
        <f t="shared" si="8"/>
        <v>0</v>
      </c>
      <c r="DH3" s="26">
        <f t="shared" ref="DH3:DH66" si="61">SUM(DC3:DG3)</f>
        <v>0</v>
      </c>
      <c r="DI3" s="1" t="e">
        <f t="shared" ref="DI3:DI66" ca="1" si="62">IF(DB3&gt;DH3,DB3-DH3,0)</f>
        <v>#VALUE!</v>
      </c>
      <c r="DK3" s="11" t="str">
        <f t="shared" si="9"/>
        <v/>
      </c>
      <c r="DL3" s="11" t="e">
        <f ca="1">IF(AND(NOT(ISBLANK('Exception Stores'!$A$6)),CO3="YES"),S3-$BH$2-(DI3*$BS$2)-(CU3*$BS$2),S3-(DB3*$BS$2))</f>
        <v>#VALUE!</v>
      </c>
      <c r="DM3" s="11" t="str">
        <f>IF(ISBLANK(A3),"",IF(COUNTIF(Remaps!$A$2:$A$200,B3)&gt;0,"YES",""))</f>
        <v>YES</v>
      </c>
      <c r="DN3" s="29">
        <f>IFERROR(INDEX(Remaps!$B$2:$B$200,MATCH(B3,Remaps!$A$2:$A$200,0),1),0)</f>
        <v>0</v>
      </c>
      <c r="DO3" s="11" t="e">
        <f t="shared" ca="1" si="10"/>
        <v>#VALUE!</v>
      </c>
      <c r="DP3" s="29" t="e">
        <f t="shared" si="11"/>
        <v>#VALUE!</v>
      </c>
      <c r="DQ3" s="11" t="e">
        <f ca="1">('Apollo Dock Status'!$Z$1-DP3)/DO3</f>
        <v>#VALUE!</v>
      </c>
      <c r="DR3" s="15" t="e">
        <f t="shared" ref="DR3:DR66" ca="1" si="63">$AN$2+(DQ3/24)</f>
        <v>#VALUE!</v>
      </c>
    </row>
    <row r="4" spans="1:122">
      <c r="A4" s="1" t="str">
        <f>IF(ISBLANK('Apollo Dock Status'!A4),"",'Apollo Dock Status'!A4)</f>
        <v/>
      </c>
      <c r="B4" s="1" t="str">
        <f>IF(ISBLANK('Apollo Dock Status'!B4),"",'Apollo Dock Status'!B4)</f>
        <v/>
      </c>
      <c r="C4" s="1" t="str">
        <f>IF(ISBLANK('Apollo Dock Status'!C4),"",'Apollo Dock Status'!C4)</f>
        <v/>
      </c>
      <c r="D4" s="1" t="str">
        <f>IF(ISBLANK('Apollo Dock Status'!D4),"",'Apollo Dock Status'!D4)</f>
        <v/>
      </c>
      <c r="E4" s="1" t="str">
        <f>IF(ISBLANK('Apollo Dock Status'!E4),"",'Apollo Dock Status'!E4)</f>
        <v/>
      </c>
      <c r="F4" s="1" t="str">
        <f>IF(ISBLANK('Apollo Dock Status'!F4),"",'Apollo Dock Status'!F4)</f>
        <v/>
      </c>
      <c r="G4" s="1" t="str">
        <f>IF(ISBLANK('Apollo Dock Status'!G4),"",'Apollo Dock Status'!G4)</f>
        <v/>
      </c>
      <c r="H4" s="1" t="str">
        <f>IF(ISBLANK('Apollo Dock Status'!H4),"",'Apollo Dock Status'!H4)</f>
        <v/>
      </c>
      <c r="I4" s="1" t="str">
        <f>IF(ISBLANK('Apollo Dock Status'!I4),"",'Apollo Dock Status'!I4)</f>
        <v/>
      </c>
      <c r="J4" s="1" t="str">
        <f>IF(ISBLANK('Apollo Dock Status'!J4),"",'Apollo Dock Status'!J4)</f>
        <v/>
      </c>
      <c r="K4" s="1" t="str">
        <f>IF(ISBLANK('Apollo Dock Status'!K4),"",'Apollo Dock Status'!K4)</f>
        <v/>
      </c>
      <c r="L4" s="1" t="str">
        <f>IF(ISBLANK('Apollo Dock Status'!L4),"",'Apollo Dock Status'!L4)</f>
        <v/>
      </c>
      <c r="M4" s="1" t="str">
        <f>IF(ISBLANK('Apollo Dock Status'!M4),"",'Apollo Dock Status'!M4)</f>
        <v/>
      </c>
      <c r="N4" s="1" t="str">
        <f>IF(ISBLANK('Apollo Dock Status'!N4),"",'Apollo Dock Status'!N4)</f>
        <v/>
      </c>
      <c r="O4" s="1" t="str">
        <f t="shared" si="12"/>
        <v/>
      </c>
      <c r="P4" s="1" t="str">
        <f t="shared" si="13"/>
        <v/>
      </c>
      <c r="Q4" s="1" t="str">
        <f t="shared" si="14"/>
        <v/>
      </c>
      <c r="R4" s="1" t="str">
        <f t="shared" si="15"/>
        <v/>
      </c>
      <c r="S4" s="11" t="str">
        <f t="shared" si="16"/>
        <v/>
      </c>
      <c r="T4" s="1" t="str">
        <f t="shared" si="17"/>
        <v/>
      </c>
      <c r="U4" s="11" t="str">
        <f t="shared" si="18"/>
        <v/>
      </c>
      <c r="V4" s="11" t="str">
        <f t="shared" si="19"/>
        <v/>
      </c>
      <c r="X4" s="1" t="str">
        <f t="shared" si="20"/>
        <v/>
      </c>
      <c r="Y4" s="1" t="str">
        <f t="shared" si="21"/>
        <v/>
      </c>
      <c r="Z4" s="1" t="str">
        <f t="shared" si="22"/>
        <v/>
      </c>
      <c r="AB4" s="13">
        <f t="shared" ca="1" si="23"/>
        <v>46176</v>
      </c>
      <c r="AC4" s="1">
        <f t="shared" ca="1" si="24"/>
        <v>2026</v>
      </c>
      <c r="AD4" s="1" t="str">
        <f t="shared" ca="1" si="25"/>
        <v>6</v>
      </c>
      <c r="AE4" s="1">
        <f t="shared" si="26"/>
        <v>1</v>
      </c>
      <c r="AF4" s="1" t="str">
        <f t="shared" si="27"/>
        <v/>
      </c>
      <c r="AG4" s="1">
        <f t="shared" ca="1" si="28"/>
        <v>2026</v>
      </c>
      <c r="AH4" s="1">
        <f t="shared" si="29"/>
        <v>1</v>
      </c>
      <c r="AI4" s="1" t="str">
        <f t="shared" ca="1" si="30"/>
        <v>6</v>
      </c>
      <c r="AJ4" s="13" t="e">
        <f t="shared" ca="1" si="31"/>
        <v>#VALUE!</v>
      </c>
      <c r="AK4" s="1" t="e">
        <f>IF(ISBLANK(A4),"",IFERROR(MID(F4,SEARCH(", ",F4)+LEN(", "),SEARCH(" "&amp;'Exception Stores'!$A$2,F4)-SEARCH(", ",F4)-LEN(", ")),MID(F4,SEARCH(", ",F4)+LEN(", "),SEARCH(" "&amp;'Exception Stores'!$B$2,F4)-SEARCH(", ",F4)-LEN(", "))))</f>
        <v>#VALUE!</v>
      </c>
      <c r="AL4" s="1" t="e">
        <f t="shared" si="32"/>
        <v>#VALUE!</v>
      </c>
      <c r="AM4" s="15" t="e">
        <f t="shared" ca="1" si="33"/>
        <v>#VALUE!</v>
      </c>
      <c r="AN4" s="24" t="e">
        <f t="shared" ca="1" si="34"/>
        <v>#VALUE!</v>
      </c>
      <c r="AO4" s="1" t="e">
        <f t="shared" ca="1" si="35"/>
        <v>#VALUE!</v>
      </c>
      <c r="AP4" s="13" t="e">
        <f t="shared" ca="1" si="36"/>
        <v>#VALUE!</v>
      </c>
      <c r="AQ4" s="17" t="e">
        <f t="shared" ca="1" si="37"/>
        <v>#VALUE!</v>
      </c>
      <c r="AS4" s="15" t="e">
        <f t="shared" ca="1" si="38"/>
        <v>#VALUE!</v>
      </c>
      <c r="AT4" s="5">
        <f>'Exception Stores'!$D$2</f>
        <v>0.125</v>
      </c>
      <c r="AU4" s="15" t="e">
        <f t="shared" ca="1" si="39"/>
        <v>#VALUE!</v>
      </c>
      <c r="AV4" s="15" t="e">
        <f t="shared" ca="1" si="40"/>
        <v>#VALUE!</v>
      </c>
      <c r="AW4" s="15" t="e">
        <f t="shared" ca="1" si="41"/>
        <v>#VALUE!</v>
      </c>
      <c r="AX4" s="15" t="e">
        <f t="shared" ca="1" si="42"/>
        <v>#VALUE!</v>
      </c>
      <c r="AY4" s="15" t="e">
        <f t="shared" ca="1" si="43"/>
        <v>#VALUE!</v>
      </c>
      <c r="AZ4" s="1" t="e">
        <f t="shared" ca="1" si="44"/>
        <v>#VALUE!</v>
      </c>
      <c r="BA4" s="15" t="e">
        <f t="shared" ca="1" si="45"/>
        <v>#VALUE!</v>
      </c>
      <c r="BB4" s="15" t="e">
        <f t="shared" ca="1" si="46"/>
        <v>#VALUE!</v>
      </c>
      <c r="BC4" s="1" t="e">
        <f t="shared" ca="1" si="47"/>
        <v>#VALUE!</v>
      </c>
      <c r="BE4" s="15" t="str">
        <f>IF(ISBLANK('Exception Stores'!$A$6),"",'Exception Stores'!$A$6)</f>
        <v/>
      </c>
      <c r="BF4" s="15" t="str">
        <f>IF(ISBLANK('Exception Stores'!$B$6),"",'Exception Stores'!$B$6)</f>
        <v/>
      </c>
      <c r="BG4" s="1">
        <f>IF(ISBLANK('Exception Stores'!$A$6),0,IF($AN$2&gt;$BF$2,($AN$2-$BF$2)*24,0))</f>
        <v>0</v>
      </c>
      <c r="BH4" s="11">
        <f>IF(ISBLANK('Exception Stores'!$A$6),0,($BF$2-$BE$2)*24)</f>
        <v>0</v>
      </c>
      <c r="BI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4" s="1">
        <f>IF(ISBLANK('Exception Stores'!$A$6),0,IF($AN$2&gt;$BF$2,0,IF(AND($AN$2&lt;$BF$2,$BT$2="B"),(($BF$2-$AN$2)*24)-$BS$2,($BF$2-$AN$2)*24)))</f>
        <v>0</v>
      </c>
      <c r="BL4" s="5"/>
      <c r="BM4" s="5"/>
      <c r="BN4" s="5"/>
      <c r="BO4" s="5"/>
      <c r="BP4" s="5"/>
      <c r="BV4" s="1" t="e">
        <f t="shared" ca="1" si="48"/>
        <v>#VALUE!</v>
      </c>
      <c r="BW4" s="1" t="e">
        <f t="shared" ca="1" si="49"/>
        <v>#VALUE!</v>
      </c>
      <c r="BX4" s="1" t="e">
        <f t="shared" ca="1" si="50"/>
        <v>#VALUE!</v>
      </c>
      <c r="BY4" s="1" t="e">
        <f t="shared" ca="1" si="51"/>
        <v>#VALUE!</v>
      </c>
      <c r="BZ4" s="1" t="e">
        <f t="shared" ca="1" si="52"/>
        <v>#VALUE!</v>
      </c>
      <c r="CB4" s="1" t="str">
        <f>IF(ISBLANK('Exception Stores'!$A$6),"",WEEKDAY($BF$2))</f>
        <v/>
      </c>
      <c r="CC4" s="1" t="str">
        <f>IF(ISBLANK('Exception Stores'!$A$6),"NO",IF('Exception Stores'!$A$6&lt;$AU$2,"YES","NO"))</f>
        <v>NO</v>
      </c>
      <c r="CD4" s="1" t="str">
        <f>IF(ISBLANK('Exception Stores'!$A$6),"NO",IF('Exception Stores'!$A$6&lt;$AV$2,"YES","NO"))</f>
        <v>NO</v>
      </c>
      <c r="CE4" s="1" t="str">
        <f>IF(ISBLANK('Exception Stores'!$A$6),"NO",IF('Exception Stores'!$A$6&lt;$AW$2,"YES","NO"))</f>
        <v>NO</v>
      </c>
      <c r="CF4" s="1" t="str">
        <f>IF(ISBLANK('Exception Stores'!$A$6),"NO",IF('Exception Stores'!$A$6&lt;$AX$2,"YES","NO"))</f>
        <v>NO</v>
      </c>
      <c r="CG4" s="1" t="str">
        <f>IF(ISBLANK('Exception Stores'!$A$6),"NO",IF('Exception Stores'!$A$6&lt;$AY$2,"YES","NO"))</f>
        <v>NO</v>
      </c>
      <c r="CI4" s="42" t="str">
        <f>IF(ISBLANK('Exception Stores'!$B$6),"NO",IF('Exception Stores'!$B$6&lt;=$AU$2,"YES","NO"))</f>
        <v>NO</v>
      </c>
      <c r="CJ4" s="42" t="str">
        <f>IF(ISBLANK('Exception Stores'!$B$6),"NO",IF('Exception Stores'!$B$6&lt;=$AV$2,"YES","NO"))</f>
        <v>NO</v>
      </c>
      <c r="CK4" s="1" t="str">
        <f>IF(ISBLANK('Exception Stores'!$B$6),"NO",IF('Exception Stores'!$B$6&lt;=$AW$2,"YES","NO"))</f>
        <v>NO</v>
      </c>
      <c r="CL4" s="1" t="str">
        <f>IF(ISBLANK('Exception Stores'!$B$6),"NO",IF('Exception Stores'!$B$6&lt;=$AX$2,"YES","NO"))</f>
        <v>NO</v>
      </c>
      <c r="CM4" s="1" t="str">
        <f>IF(ISBLANK('Exception Stores'!$B$6),"NO",IF('Exception Stores'!$B$6&lt;=$AY$2,"YES","NO"))</f>
        <v>NO</v>
      </c>
      <c r="CO4" s="1" t="e">
        <f ca="1">IF(AM4&lt;'Exception Stores'!$A$6,"YES","NO")</f>
        <v>#VALUE!</v>
      </c>
      <c r="CP4" s="1">
        <f t="shared" si="53"/>
        <v>0</v>
      </c>
      <c r="CQ4" s="1">
        <f t="shared" si="54"/>
        <v>0</v>
      </c>
      <c r="CR4" s="1">
        <f t="shared" si="55"/>
        <v>0</v>
      </c>
      <c r="CS4" s="1">
        <f t="shared" si="56"/>
        <v>0</v>
      </c>
      <c r="CT4" s="1">
        <f t="shared" si="57"/>
        <v>0</v>
      </c>
      <c r="CU4" s="1">
        <f t="shared" si="58"/>
        <v>0</v>
      </c>
      <c r="CW4" s="1" t="e">
        <f t="shared" ca="1" si="59"/>
        <v>#VALUE!</v>
      </c>
      <c r="CX4" s="1" t="e">
        <f t="shared" ca="1" si="0"/>
        <v>#VALUE!</v>
      </c>
      <c r="CY4" s="1" t="e">
        <f t="shared" ca="1" si="1"/>
        <v>#VALUE!</v>
      </c>
      <c r="CZ4" s="1" t="e">
        <f t="shared" ca="1" si="2"/>
        <v>#VALUE!</v>
      </c>
      <c r="DA4" s="1" t="e">
        <f t="shared" ca="1" si="3"/>
        <v>#VALUE!</v>
      </c>
      <c r="DB4" s="26" t="e">
        <f t="shared" ca="1" si="60"/>
        <v>#VALUE!</v>
      </c>
      <c r="DC4" s="1">
        <f t="shared" si="4"/>
        <v>0</v>
      </c>
      <c r="DD4" s="1">
        <f t="shared" si="5"/>
        <v>0</v>
      </c>
      <c r="DE4" s="1">
        <f t="shared" si="6"/>
        <v>0</v>
      </c>
      <c r="DF4" s="1">
        <f t="shared" si="7"/>
        <v>0</v>
      </c>
      <c r="DG4" s="1">
        <f t="shared" si="8"/>
        <v>0</v>
      </c>
      <c r="DH4" s="26">
        <f t="shared" si="61"/>
        <v>0</v>
      </c>
      <c r="DI4" s="1" t="e">
        <f t="shared" ca="1" si="62"/>
        <v>#VALUE!</v>
      </c>
      <c r="DK4" s="11" t="str">
        <f t="shared" si="9"/>
        <v/>
      </c>
      <c r="DL4" s="11" t="e">
        <f ca="1">IF(AND(NOT(ISBLANK('Exception Stores'!$A$6)),CO4="YES"),S4-$BH$2-(DI4*$BS$2)-(CU4*$BS$2),S4-(DB4*$BS$2))</f>
        <v>#VALUE!</v>
      </c>
      <c r="DM4" s="11" t="str">
        <f>IF(ISBLANK(A4),"",IF(COUNTIF(Remaps!$A$2:$A$200,B4)&gt;0,"YES",""))</f>
        <v>YES</v>
      </c>
      <c r="DN4" s="29">
        <f>IFERROR(INDEX(Remaps!$B$2:$B$200,MATCH(B4,Remaps!$A$2:$A$200,0),1),0)</f>
        <v>0</v>
      </c>
      <c r="DO4" s="11" t="e">
        <f t="shared" ca="1" si="10"/>
        <v>#VALUE!</v>
      </c>
      <c r="DP4" s="29" t="e">
        <f t="shared" si="11"/>
        <v>#VALUE!</v>
      </c>
      <c r="DQ4" s="11" t="e">
        <f ca="1">('Apollo Dock Status'!$Z$1-DP4)/DO4</f>
        <v>#VALUE!</v>
      </c>
      <c r="DR4" s="15" t="e">
        <f t="shared" ca="1" si="63"/>
        <v>#VALUE!</v>
      </c>
    </row>
    <row r="5" spans="1:122">
      <c r="A5" s="1" t="str">
        <f>IF(ISBLANK('Apollo Dock Status'!A5),"",'Apollo Dock Status'!A5)</f>
        <v/>
      </c>
      <c r="B5" s="1" t="str">
        <f>IF(ISBLANK('Apollo Dock Status'!B5),"",'Apollo Dock Status'!B5)</f>
        <v/>
      </c>
      <c r="C5" s="1" t="str">
        <f>IF(ISBLANK('Apollo Dock Status'!C5),"",'Apollo Dock Status'!C5)</f>
        <v/>
      </c>
      <c r="D5" s="1" t="str">
        <f>IF(ISBLANK('Apollo Dock Status'!D5),"",'Apollo Dock Status'!D5)</f>
        <v/>
      </c>
      <c r="E5" s="1" t="str">
        <f>IF(ISBLANK('Apollo Dock Status'!E5),"",'Apollo Dock Status'!E5)</f>
        <v/>
      </c>
      <c r="F5" s="1" t="str">
        <f>IF(ISBLANK('Apollo Dock Status'!F5),"",'Apollo Dock Status'!F5)</f>
        <v/>
      </c>
      <c r="G5" s="1" t="str">
        <f>IF(ISBLANK('Apollo Dock Status'!G5),"",'Apollo Dock Status'!G5)</f>
        <v/>
      </c>
      <c r="H5" s="1" t="str">
        <f>IF(ISBLANK('Apollo Dock Status'!H5),"",'Apollo Dock Status'!H5)</f>
        <v/>
      </c>
      <c r="I5" s="1" t="str">
        <f>IF(ISBLANK('Apollo Dock Status'!I5),"",'Apollo Dock Status'!I5)</f>
        <v/>
      </c>
      <c r="J5" s="1" t="str">
        <f>IF(ISBLANK('Apollo Dock Status'!J5),"",'Apollo Dock Status'!J5)</f>
        <v/>
      </c>
      <c r="K5" s="1" t="str">
        <f>IF(ISBLANK('Apollo Dock Status'!K5),"",'Apollo Dock Status'!K5)</f>
        <v/>
      </c>
      <c r="L5" s="1" t="str">
        <f>IF(ISBLANK('Apollo Dock Status'!L5),"",'Apollo Dock Status'!L5)</f>
        <v/>
      </c>
      <c r="M5" s="1" t="str">
        <f>IF(ISBLANK('Apollo Dock Status'!M5),"",'Apollo Dock Status'!M5)</f>
        <v/>
      </c>
      <c r="N5" s="1" t="str">
        <f>IF(ISBLANK('Apollo Dock Status'!N5),"",'Apollo Dock Status'!N5)</f>
        <v/>
      </c>
      <c r="O5" s="1" t="str">
        <f t="shared" si="12"/>
        <v/>
      </c>
      <c r="P5" s="1" t="str">
        <f t="shared" si="13"/>
        <v/>
      </c>
      <c r="Q5" s="1" t="str">
        <f t="shared" si="14"/>
        <v/>
      </c>
      <c r="R5" s="1" t="str">
        <f t="shared" si="15"/>
        <v/>
      </c>
      <c r="S5" s="11" t="str">
        <f t="shared" si="16"/>
        <v/>
      </c>
      <c r="T5" s="1" t="str">
        <f t="shared" si="17"/>
        <v/>
      </c>
      <c r="U5" s="11" t="str">
        <f t="shared" si="18"/>
        <v/>
      </c>
      <c r="V5" s="11" t="str">
        <f t="shared" si="19"/>
        <v/>
      </c>
      <c r="X5" s="1" t="str">
        <f t="shared" si="20"/>
        <v/>
      </c>
      <c r="Y5" s="1" t="str">
        <f t="shared" si="21"/>
        <v/>
      </c>
      <c r="Z5" s="1" t="str">
        <f t="shared" si="22"/>
        <v/>
      </c>
      <c r="AB5" s="13">
        <f t="shared" ca="1" si="23"/>
        <v>46176</v>
      </c>
      <c r="AC5" s="1">
        <f t="shared" ca="1" si="24"/>
        <v>2026</v>
      </c>
      <c r="AD5" s="1" t="str">
        <f t="shared" ca="1" si="25"/>
        <v>6</v>
      </c>
      <c r="AE5" s="1">
        <f t="shared" si="26"/>
        <v>1</v>
      </c>
      <c r="AF5" s="1" t="str">
        <f t="shared" si="27"/>
        <v/>
      </c>
      <c r="AG5" s="1">
        <f t="shared" ca="1" si="28"/>
        <v>2026</v>
      </c>
      <c r="AH5" s="1">
        <f t="shared" si="29"/>
        <v>1</v>
      </c>
      <c r="AI5" s="1" t="str">
        <f t="shared" ca="1" si="30"/>
        <v>6</v>
      </c>
      <c r="AJ5" s="13" t="e">
        <f t="shared" ca="1" si="31"/>
        <v>#VALUE!</v>
      </c>
      <c r="AK5" s="1" t="e">
        <f>IF(ISBLANK(A5),"",IFERROR(MID(F5,SEARCH(", ",F5)+LEN(", "),SEARCH(" "&amp;'Exception Stores'!$A$2,F5)-SEARCH(", ",F5)-LEN(", ")),MID(F5,SEARCH(", ",F5)+LEN(", "),SEARCH(" "&amp;'Exception Stores'!$B$2,F5)-SEARCH(", ",F5)-LEN(", "))))</f>
        <v>#VALUE!</v>
      </c>
      <c r="AL5" s="1" t="e">
        <f t="shared" si="32"/>
        <v>#VALUE!</v>
      </c>
      <c r="AM5" s="15" t="e">
        <f t="shared" ca="1" si="33"/>
        <v>#VALUE!</v>
      </c>
      <c r="AN5" s="24" t="e">
        <f t="shared" ca="1" si="34"/>
        <v>#VALUE!</v>
      </c>
      <c r="AO5" s="1" t="e">
        <f t="shared" ca="1" si="35"/>
        <v>#VALUE!</v>
      </c>
      <c r="AP5" s="13" t="e">
        <f t="shared" ca="1" si="36"/>
        <v>#VALUE!</v>
      </c>
      <c r="AQ5" s="17" t="e">
        <f t="shared" ca="1" si="37"/>
        <v>#VALUE!</v>
      </c>
      <c r="AS5" s="15" t="e">
        <f t="shared" ca="1" si="38"/>
        <v>#VALUE!</v>
      </c>
      <c r="AT5" s="5">
        <f>'Exception Stores'!$D$2</f>
        <v>0.125</v>
      </c>
      <c r="AU5" s="15" t="e">
        <f t="shared" ca="1" si="39"/>
        <v>#VALUE!</v>
      </c>
      <c r="AV5" s="15" t="e">
        <f t="shared" ca="1" si="40"/>
        <v>#VALUE!</v>
      </c>
      <c r="AW5" s="15" t="e">
        <f t="shared" ca="1" si="41"/>
        <v>#VALUE!</v>
      </c>
      <c r="AX5" s="15" t="e">
        <f t="shared" ca="1" si="42"/>
        <v>#VALUE!</v>
      </c>
      <c r="AY5" s="15" t="e">
        <f t="shared" ca="1" si="43"/>
        <v>#VALUE!</v>
      </c>
      <c r="AZ5" s="1" t="e">
        <f t="shared" ca="1" si="44"/>
        <v>#VALUE!</v>
      </c>
      <c r="BA5" s="15" t="e">
        <f t="shared" ca="1" si="45"/>
        <v>#VALUE!</v>
      </c>
      <c r="BB5" s="15" t="e">
        <f t="shared" ca="1" si="46"/>
        <v>#VALUE!</v>
      </c>
      <c r="BC5" s="1" t="e">
        <f t="shared" ca="1" si="47"/>
        <v>#VALUE!</v>
      </c>
      <c r="BE5" s="15" t="str">
        <f>IF(ISBLANK('Exception Stores'!$A$6),"",'Exception Stores'!$A$6)</f>
        <v/>
      </c>
      <c r="BF5" s="15" t="str">
        <f>IF(ISBLANK('Exception Stores'!$B$6),"",'Exception Stores'!$B$6)</f>
        <v/>
      </c>
      <c r="BG5" s="1">
        <f>IF(ISBLANK('Exception Stores'!$A$6),0,IF($AN$2&gt;$BF$2,($AN$2-$BF$2)*24,0))</f>
        <v>0</v>
      </c>
      <c r="BH5" s="11">
        <f>IF(ISBLANK('Exception Stores'!$A$6),0,($BF$2-$BE$2)*24)</f>
        <v>0</v>
      </c>
      <c r="BI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5" s="1">
        <f>IF(ISBLANK('Exception Stores'!$A$6),0,IF($AN$2&gt;$BF$2,0,IF(AND($AN$2&lt;$BF$2,$BT$2="B"),(($BF$2-$AN$2)*24)-$BS$2,($BF$2-$AN$2)*24)))</f>
        <v>0</v>
      </c>
      <c r="BL5" s="5"/>
      <c r="BM5" s="5"/>
      <c r="BN5" s="5"/>
      <c r="BO5" s="5"/>
      <c r="BP5" s="5"/>
      <c r="BV5" s="1" t="e">
        <f t="shared" ca="1" si="48"/>
        <v>#VALUE!</v>
      </c>
      <c r="BW5" s="1" t="e">
        <f t="shared" ca="1" si="49"/>
        <v>#VALUE!</v>
      </c>
      <c r="BX5" s="1" t="e">
        <f t="shared" ca="1" si="50"/>
        <v>#VALUE!</v>
      </c>
      <c r="BY5" s="1" t="e">
        <f t="shared" ca="1" si="51"/>
        <v>#VALUE!</v>
      </c>
      <c r="BZ5" s="1" t="e">
        <f t="shared" ca="1" si="52"/>
        <v>#VALUE!</v>
      </c>
      <c r="CB5" s="1" t="str">
        <f>IF(ISBLANK('Exception Stores'!$A$6),"",WEEKDAY($BF$2))</f>
        <v/>
      </c>
      <c r="CC5" s="1" t="str">
        <f>IF(ISBLANK('Exception Stores'!$A$6),"NO",IF('Exception Stores'!$A$6&lt;$AU$2,"YES","NO"))</f>
        <v>NO</v>
      </c>
      <c r="CD5" s="1" t="str">
        <f>IF(ISBLANK('Exception Stores'!$A$6),"NO",IF('Exception Stores'!$A$6&lt;$AV$2,"YES","NO"))</f>
        <v>NO</v>
      </c>
      <c r="CE5" s="1" t="str">
        <f>IF(ISBLANK('Exception Stores'!$A$6),"NO",IF('Exception Stores'!$A$6&lt;$AW$2,"YES","NO"))</f>
        <v>NO</v>
      </c>
      <c r="CF5" s="1" t="str">
        <f>IF(ISBLANK('Exception Stores'!$A$6),"NO",IF('Exception Stores'!$A$6&lt;$AX$2,"YES","NO"))</f>
        <v>NO</v>
      </c>
      <c r="CG5" s="1" t="str">
        <f>IF(ISBLANK('Exception Stores'!$A$6),"NO",IF('Exception Stores'!$A$6&lt;$AY$2,"YES","NO"))</f>
        <v>NO</v>
      </c>
      <c r="CI5" s="42" t="str">
        <f>IF(ISBLANK('Exception Stores'!$B$6),"NO",IF('Exception Stores'!$B$6&lt;=$AU$2,"YES","NO"))</f>
        <v>NO</v>
      </c>
      <c r="CJ5" s="42" t="str">
        <f>IF(ISBLANK('Exception Stores'!$B$6),"NO",IF('Exception Stores'!$B$6&lt;=$AV$2,"YES","NO"))</f>
        <v>NO</v>
      </c>
      <c r="CK5" s="1" t="str">
        <f>IF(ISBLANK('Exception Stores'!$B$6),"NO",IF('Exception Stores'!$B$6&lt;=$AW$2,"YES","NO"))</f>
        <v>NO</v>
      </c>
      <c r="CL5" s="1" t="str">
        <f>IF(ISBLANK('Exception Stores'!$B$6),"NO",IF('Exception Stores'!$B$6&lt;=$AX$2,"YES","NO"))</f>
        <v>NO</v>
      </c>
      <c r="CM5" s="1" t="str">
        <f>IF(ISBLANK('Exception Stores'!$B$6),"NO",IF('Exception Stores'!$B$6&lt;=$AY$2,"YES","NO"))</f>
        <v>NO</v>
      </c>
      <c r="CO5" s="1" t="e">
        <f ca="1">IF(AM5&lt;'Exception Stores'!$A$6,"YES","NO")</f>
        <v>#VALUE!</v>
      </c>
      <c r="CP5" s="1">
        <f t="shared" si="53"/>
        <v>0</v>
      </c>
      <c r="CQ5" s="1">
        <f t="shared" si="54"/>
        <v>0</v>
      </c>
      <c r="CR5" s="1">
        <f t="shared" si="55"/>
        <v>0</v>
      </c>
      <c r="CS5" s="1">
        <f t="shared" si="56"/>
        <v>0</v>
      </c>
      <c r="CT5" s="1">
        <f t="shared" si="57"/>
        <v>0</v>
      </c>
      <c r="CU5" s="1">
        <f t="shared" si="58"/>
        <v>0</v>
      </c>
      <c r="CW5" s="1" t="e">
        <f t="shared" ca="1" si="59"/>
        <v>#VALUE!</v>
      </c>
      <c r="CX5" s="1" t="e">
        <f t="shared" ca="1" si="0"/>
        <v>#VALUE!</v>
      </c>
      <c r="CY5" s="1" t="e">
        <f t="shared" ca="1" si="1"/>
        <v>#VALUE!</v>
      </c>
      <c r="CZ5" s="1" t="e">
        <f t="shared" ca="1" si="2"/>
        <v>#VALUE!</v>
      </c>
      <c r="DA5" s="1" t="e">
        <f t="shared" ca="1" si="3"/>
        <v>#VALUE!</v>
      </c>
      <c r="DB5" s="26" t="e">
        <f t="shared" ca="1" si="60"/>
        <v>#VALUE!</v>
      </c>
      <c r="DC5" s="1">
        <f t="shared" si="4"/>
        <v>0</v>
      </c>
      <c r="DD5" s="1">
        <f t="shared" si="5"/>
        <v>0</v>
      </c>
      <c r="DE5" s="1">
        <f t="shared" si="6"/>
        <v>0</v>
      </c>
      <c r="DF5" s="1">
        <f t="shared" si="7"/>
        <v>0</v>
      </c>
      <c r="DG5" s="1">
        <f t="shared" si="8"/>
        <v>0</v>
      </c>
      <c r="DH5" s="26">
        <f t="shared" si="61"/>
        <v>0</v>
      </c>
      <c r="DI5" s="1" t="e">
        <f t="shared" ca="1" si="62"/>
        <v>#VALUE!</v>
      </c>
      <c r="DK5" s="11" t="str">
        <f t="shared" si="9"/>
        <v/>
      </c>
      <c r="DL5" s="11" t="e">
        <f ca="1">IF(AND(NOT(ISBLANK('Exception Stores'!$A$6)),CO5="YES"),S5-$BH$2-(DI5*$BS$2)-(CU5*$BS$2),S5-(DB5*$BS$2))</f>
        <v>#VALUE!</v>
      </c>
      <c r="DM5" s="11" t="str">
        <f>IF(ISBLANK(A5),"",IF(COUNTIF(Remaps!$A$2:$A$200,B5)&gt;0,"YES",""))</f>
        <v>YES</v>
      </c>
      <c r="DN5" s="29">
        <f>IFERROR(INDEX(Remaps!$B$2:$B$200,MATCH(B5,Remaps!$A$2:$A$200,0),1),0)</f>
        <v>0</v>
      </c>
      <c r="DO5" s="11" t="e">
        <f t="shared" ca="1" si="10"/>
        <v>#VALUE!</v>
      </c>
      <c r="DP5" s="29" t="e">
        <f t="shared" si="11"/>
        <v>#VALUE!</v>
      </c>
      <c r="DQ5" s="11" t="e">
        <f ca="1">('Apollo Dock Status'!$Z$1-DP5)/DO5</f>
        <v>#VALUE!</v>
      </c>
      <c r="DR5" s="15" t="e">
        <f t="shared" ca="1" si="63"/>
        <v>#VALUE!</v>
      </c>
    </row>
    <row r="6" spans="1:122">
      <c r="A6" s="1" t="str">
        <f>IF(ISBLANK('Apollo Dock Status'!A6),"",'Apollo Dock Status'!A6)</f>
        <v/>
      </c>
      <c r="B6" s="1" t="str">
        <f>IF(ISBLANK('Apollo Dock Status'!B6),"",'Apollo Dock Status'!B6)</f>
        <v/>
      </c>
      <c r="C6" s="1" t="str">
        <f>IF(ISBLANK('Apollo Dock Status'!C6),"",'Apollo Dock Status'!C6)</f>
        <v/>
      </c>
      <c r="D6" s="1" t="str">
        <f>IF(ISBLANK('Apollo Dock Status'!D6),"",'Apollo Dock Status'!D6)</f>
        <v/>
      </c>
      <c r="E6" s="1" t="str">
        <f>IF(ISBLANK('Apollo Dock Status'!E6),"",'Apollo Dock Status'!E6)</f>
        <v/>
      </c>
      <c r="F6" s="1" t="str">
        <f>IF(ISBLANK('Apollo Dock Status'!F6),"",'Apollo Dock Status'!F6)</f>
        <v/>
      </c>
      <c r="G6" s="1" t="str">
        <f>IF(ISBLANK('Apollo Dock Status'!G6),"",'Apollo Dock Status'!G6)</f>
        <v/>
      </c>
      <c r="H6" s="1" t="str">
        <f>IF(ISBLANK('Apollo Dock Status'!H6),"",'Apollo Dock Status'!H6)</f>
        <v/>
      </c>
      <c r="I6" s="1" t="str">
        <f>IF(ISBLANK('Apollo Dock Status'!I6),"",'Apollo Dock Status'!I6)</f>
        <v/>
      </c>
      <c r="J6" s="1" t="str">
        <f>IF(ISBLANK('Apollo Dock Status'!J6),"",'Apollo Dock Status'!J6)</f>
        <v/>
      </c>
      <c r="K6" s="1" t="str">
        <f>IF(ISBLANK('Apollo Dock Status'!K6),"",'Apollo Dock Status'!K6)</f>
        <v/>
      </c>
      <c r="L6" s="1" t="str">
        <f>IF(ISBLANK('Apollo Dock Status'!L6),"",'Apollo Dock Status'!L6)</f>
        <v/>
      </c>
      <c r="M6" s="1" t="str">
        <f>IF(ISBLANK('Apollo Dock Status'!M6),"",'Apollo Dock Status'!M6)</f>
        <v/>
      </c>
      <c r="N6" s="1" t="str">
        <f>IF(ISBLANK('Apollo Dock Status'!N6),"",'Apollo Dock Status'!N6)</f>
        <v/>
      </c>
      <c r="O6" s="1" t="str">
        <f t="shared" si="12"/>
        <v/>
      </c>
      <c r="P6" s="1" t="str">
        <f t="shared" si="13"/>
        <v/>
      </c>
      <c r="Q6" s="1" t="str">
        <f t="shared" si="14"/>
        <v/>
      </c>
      <c r="R6" s="1" t="str">
        <f t="shared" si="15"/>
        <v/>
      </c>
      <c r="S6" s="11" t="str">
        <f t="shared" si="16"/>
        <v/>
      </c>
      <c r="T6" s="1" t="str">
        <f t="shared" si="17"/>
        <v/>
      </c>
      <c r="U6" s="11" t="str">
        <f t="shared" si="18"/>
        <v/>
      </c>
      <c r="V6" s="11" t="str">
        <f t="shared" si="19"/>
        <v/>
      </c>
      <c r="X6" s="1" t="str">
        <f t="shared" si="20"/>
        <v/>
      </c>
      <c r="Y6" s="1" t="str">
        <f t="shared" si="21"/>
        <v/>
      </c>
      <c r="Z6" s="1" t="str">
        <f t="shared" si="22"/>
        <v/>
      </c>
      <c r="AB6" s="13">
        <f t="shared" ca="1" si="23"/>
        <v>46176</v>
      </c>
      <c r="AC6" s="1">
        <f t="shared" ca="1" si="24"/>
        <v>2026</v>
      </c>
      <c r="AD6" s="1" t="str">
        <f t="shared" ca="1" si="25"/>
        <v>6</v>
      </c>
      <c r="AE6" s="1">
        <f t="shared" si="26"/>
        <v>1</v>
      </c>
      <c r="AF6" s="1" t="str">
        <f t="shared" si="27"/>
        <v/>
      </c>
      <c r="AG6" s="1">
        <f t="shared" ca="1" si="28"/>
        <v>2026</v>
      </c>
      <c r="AH6" s="1">
        <f t="shared" si="29"/>
        <v>1</v>
      </c>
      <c r="AI6" s="1" t="str">
        <f t="shared" ca="1" si="30"/>
        <v>6</v>
      </c>
      <c r="AJ6" s="13" t="e">
        <f t="shared" ca="1" si="31"/>
        <v>#VALUE!</v>
      </c>
      <c r="AK6" s="1" t="e">
        <f>IF(ISBLANK(A6),"",IFERROR(MID(F6,SEARCH(", ",F6)+LEN(", "),SEARCH(" "&amp;'Exception Stores'!$A$2,F6)-SEARCH(", ",F6)-LEN(", ")),MID(F6,SEARCH(", ",F6)+LEN(", "),SEARCH(" "&amp;'Exception Stores'!$B$2,F6)-SEARCH(", ",F6)-LEN(", "))))</f>
        <v>#VALUE!</v>
      </c>
      <c r="AL6" s="1" t="e">
        <f t="shared" si="32"/>
        <v>#VALUE!</v>
      </c>
      <c r="AM6" s="15" t="e">
        <f t="shared" ca="1" si="33"/>
        <v>#VALUE!</v>
      </c>
      <c r="AN6" s="24" t="e">
        <f t="shared" ca="1" si="34"/>
        <v>#VALUE!</v>
      </c>
      <c r="AO6" s="1" t="e">
        <f t="shared" ca="1" si="35"/>
        <v>#VALUE!</v>
      </c>
      <c r="AP6" s="13" t="e">
        <f t="shared" ca="1" si="36"/>
        <v>#VALUE!</v>
      </c>
      <c r="AQ6" s="17" t="e">
        <f t="shared" ca="1" si="37"/>
        <v>#VALUE!</v>
      </c>
      <c r="AS6" s="15" t="e">
        <f t="shared" ca="1" si="38"/>
        <v>#VALUE!</v>
      </c>
      <c r="AT6" s="5">
        <f>'Exception Stores'!$D$2</f>
        <v>0.125</v>
      </c>
      <c r="AU6" s="15" t="e">
        <f t="shared" ca="1" si="39"/>
        <v>#VALUE!</v>
      </c>
      <c r="AV6" s="15" t="e">
        <f t="shared" ca="1" si="40"/>
        <v>#VALUE!</v>
      </c>
      <c r="AW6" s="15" t="e">
        <f t="shared" ca="1" si="41"/>
        <v>#VALUE!</v>
      </c>
      <c r="AX6" s="15" t="e">
        <f t="shared" ca="1" si="42"/>
        <v>#VALUE!</v>
      </c>
      <c r="AY6" s="15" t="e">
        <f t="shared" ca="1" si="43"/>
        <v>#VALUE!</v>
      </c>
      <c r="AZ6" s="1" t="e">
        <f t="shared" ca="1" si="44"/>
        <v>#VALUE!</v>
      </c>
      <c r="BA6" s="15" t="e">
        <f t="shared" ca="1" si="45"/>
        <v>#VALUE!</v>
      </c>
      <c r="BB6" s="15" t="e">
        <f t="shared" ca="1" si="46"/>
        <v>#VALUE!</v>
      </c>
      <c r="BC6" s="1" t="e">
        <f t="shared" ca="1" si="47"/>
        <v>#VALUE!</v>
      </c>
      <c r="BE6" s="15" t="str">
        <f>IF(ISBLANK('Exception Stores'!$A$6),"",'Exception Stores'!$A$6)</f>
        <v/>
      </c>
      <c r="BF6" s="15" t="str">
        <f>IF(ISBLANK('Exception Stores'!$B$6),"",'Exception Stores'!$B$6)</f>
        <v/>
      </c>
      <c r="BG6" s="1">
        <f>IF(ISBLANK('Exception Stores'!$A$6),0,IF($AN$2&gt;$BF$2,($AN$2-$BF$2)*24,0))</f>
        <v>0</v>
      </c>
      <c r="BH6" s="11">
        <f>IF(ISBLANK('Exception Stores'!$A$6),0,($BF$2-$BE$2)*24)</f>
        <v>0</v>
      </c>
      <c r="BI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6" s="1">
        <f>IF(ISBLANK('Exception Stores'!$A$6),0,IF($AN$2&gt;$BF$2,0,IF(AND($AN$2&lt;$BF$2,$BT$2="B"),(($BF$2-$AN$2)*24)-$BS$2,($BF$2-$AN$2)*24)))</f>
        <v>0</v>
      </c>
      <c r="BL6" s="5"/>
      <c r="BM6" s="5"/>
      <c r="BN6" s="5"/>
      <c r="BO6" s="5"/>
      <c r="BP6" s="5"/>
      <c r="BV6" s="1" t="e">
        <f t="shared" ca="1" si="48"/>
        <v>#VALUE!</v>
      </c>
      <c r="BW6" s="1" t="e">
        <f t="shared" ca="1" si="49"/>
        <v>#VALUE!</v>
      </c>
      <c r="BX6" s="1" t="e">
        <f t="shared" ca="1" si="50"/>
        <v>#VALUE!</v>
      </c>
      <c r="BY6" s="1" t="e">
        <f t="shared" ca="1" si="51"/>
        <v>#VALUE!</v>
      </c>
      <c r="BZ6" s="1" t="e">
        <f t="shared" ca="1" si="52"/>
        <v>#VALUE!</v>
      </c>
      <c r="CB6" s="1" t="str">
        <f>IF(ISBLANK('Exception Stores'!$A$6),"",WEEKDAY($BF$2))</f>
        <v/>
      </c>
      <c r="CC6" s="1" t="str">
        <f>IF(ISBLANK('Exception Stores'!$A$6),"NO",IF('Exception Stores'!$A$6&lt;$AU$2,"YES","NO"))</f>
        <v>NO</v>
      </c>
      <c r="CD6" s="1" t="str">
        <f>IF(ISBLANK('Exception Stores'!$A$6),"NO",IF('Exception Stores'!$A$6&lt;$AV$2,"YES","NO"))</f>
        <v>NO</v>
      </c>
      <c r="CE6" s="1" t="str">
        <f>IF(ISBLANK('Exception Stores'!$A$6),"NO",IF('Exception Stores'!$A$6&lt;$AW$2,"YES","NO"))</f>
        <v>NO</v>
      </c>
      <c r="CF6" s="1" t="str">
        <f>IF(ISBLANK('Exception Stores'!$A$6),"NO",IF('Exception Stores'!$A$6&lt;$AX$2,"YES","NO"))</f>
        <v>NO</v>
      </c>
      <c r="CG6" s="1" t="str">
        <f>IF(ISBLANK('Exception Stores'!$A$6),"NO",IF('Exception Stores'!$A$6&lt;$AY$2,"YES","NO"))</f>
        <v>NO</v>
      </c>
      <c r="CI6" s="42" t="str">
        <f>IF(ISBLANK('Exception Stores'!$B$6),"NO",IF('Exception Stores'!$B$6&lt;=$AU$2,"YES","NO"))</f>
        <v>NO</v>
      </c>
      <c r="CJ6" s="42" t="str">
        <f>IF(ISBLANK('Exception Stores'!$B$6),"NO",IF('Exception Stores'!$B$6&lt;=$AV$2,"YES","NO"))</f>
        <v>NO</v>
      </c>
      <c r="CK6" s="1" t="str">
        <f>IF(ISBLANK('Exception Stores'!$B$6),"NO",IF('Exception Stores'!$B$6&lt;=$AW$2,"YES","NO"))</f>
        <v>NO</v>
      </c>
      <c r="CL6" s="1" t="str">
        <f>IF(ISBLANK('Exception Stores'!$B$6),"NO",IF('Exception Stores'!$B$6&lt;=$AX$2,"YES","NO"))</f>
        <v>NO</v>
      </c>
      <c r="CM6" s="1" t="str">
        <f>IF(ISBLANK('Exception Stores'!$B$6),"NO",IF('Exception Stores'!$B$6&lt;=$AY$2,"YES","NO"))</f>
        <v>NO</v>
      </c>
      <c r="CO6" s="1" t="e">
        <f ca="1">IF(AM6&lt;'Exception Stores'!$A$6,"YES","NO")</f>
        <v>#VALUE!</v>
      </c>
      <c r="CP6" s="1">
        <f t="shared" si="53"/>
        <v>0</v>
      </c>
      <c r="CQ6" s="1">
        <f t="shared" si="54"/>
        <v>0</v>
      </c>
      <c r="CR6" s="1">
        <f t="shared" si="55"/>
        <v>0</v>
      </c>
      <c r="CS6" s="1">
        <f t="shared" si="56"/>
        <v>0</v>
      </c>
      <c r="CT6" s="1">
        <f t="shared" si="57"/>
        <v>0</v>
      </c>
      <c r="CU6" s="1">
        <f t="shared" si="58"/>
        <v>0</v>
      </c>
      <c r="CW6" s="1" t="e">
        <f t="shared" ca="1" si="59"/>
        <v>#VALUE!</v>
      </c>
      <c r="CX6" s="1" t="e">
        <f t="shared" ca="1" si="0"/>
        <v>#VALUE!</v>
      </c>
      <c r="CY6" s="1" t="e">
        <f t="shared" ca="1" si="1"/>
        <v>#VALUE!</v>
      </c>
      <c r="CZ6" s="1" t="e">
        <f t="shared" ca="1" si="2"/>
        <v>#VALUE!</v>
      </c>
      <c r="DA6" s="1" t="e">
        <f t="shared" ca="1" si="3"/>
        <v>#VALUE!</v>
      </c>
      <c r="DB6" s="26" t="e">
        <f t="shared" ca="1" si="60"/>
        <v>#VALUE!</v>
      </c>
      <c r="DC6" s="1">
        <f t="shared" si="4"/>
        <v>0</v>
      </c>
      <c r="DD6" s="1">
        <f t="shared" si="5"/>
        <v>0</v>
      </c>
      <c r="DE6" s="1">
        <f t="shared" si="6"/>
        <v>0</v>
      </c>
      <c r="DF6" s="1">
        <f t="shared" si="7"/>
        <v>0</v>
      </c>
      <c r="DG6" s="1">
        <f t="shared" si="8"/>
        <v>0</v>
      </c>
      <c r="DH6" s="26">
        <f t="shared" si="61"/>
        <v>0</v>
      </c>
      <c r="DI6" s="1" t="e">
        <f t="shared" ca="1" si="62"/>
        <v>#VALUE!</v>
      </c>
      <c r="DK6" s="11" t="str">
        <f t="shared" si="9"/>
        <v/>
      </c>
      <c r="DL6" s="11" t="e">
        <f ca="1">IF(AND(NOT(ISBLANK('Exception Stores'!$A$6)),CO6="YES"),S6-$BH$2-(DI6*$BS$2)-(CU6*$BS$2),S6-(DB6*$BS$2))</f>
        <v>#VALUE!</v>
      </c>
      <c r="DM6" s="11" t="str">
        <f>IF(ISBLANK(A6),"",IF(COUNTIF(Remaps!$A$2:$A$200,B6)&gt;0,"YES",""))</f>
        <v>YES</v>
      </c>
      <c r="DN6" s="29">
        <f>IFERROR(INDEX(Remaps!$B$2:$B$200,MATCH(B6,Remaps!$A$2:$A$200,0),1),0)</f>
        <v>0</v>
      </c>
      <c r="DO6" s="11" t="e">
        <f t="shared" ca="1" si="10"/>
        <v>#VALUE!</v>
      </c>
      <c r="DP6" s="29" t="e">
        <f t="shared" si="11"/>
        <v>#VALUE!</v>
      </c>
      <c r="DQ6" s="11" t="e">
        <f ca="1">('Apollo Dock Status'!$Z$1-DP6)/DO6</f>
        <v>#VALUE!</v>
      </c>
      <c r="DR6" s="15" t="e">
        <f t="shared" ca="1" si="63"/>
        <v>#VALUE!</v>
      </c>
    </row>
    <row r="7" spans="1:122">
      <c r="A7" s="1" t="str">
        <f>IF(ISBLANK('Apollo Dock Status'!A7),"",'Apollo Dock Status'!A7)</f>
        <v/>
      </c>
      <c r="B7" s="1" t="str">
        <f>IF(ISBLANK('Apollo Dock Status'!B7),"",'Apollo Dock Status'!B7)</f>
        <v/>
      </c>
      <c r="C7" s="1" t="str">
        <f>IF(ISBLANK('Apollo Dock Status'!C7),"",'Apollo Dock Status'!C7)</f>
        <v/>
      </c>
      <c r="D7" s="1" t="str">
        <f>IF(ISBLANK('Apollo Dock Status'!D7),"",'Apollo Dock Status'!D7)</f>
        <v/>
      </c>
      <c r="E7" s="1" t="str">
        <f>IF(ISBLANK('Apollo Dock Status'!E7),"",'Apollo Dock Status'!E7)</f>
        <v/>
      </c>
      <c r="F7" s="1" t="str">
        <f>IF(ISBLANK('Apollo Dock Status'!F7),"",'Apollo Dock Status'!F7)</f>
        <v/>
      </c>
      <c r="G7" s="1" t="str">
        <f>IF(ISBLANK('Apollo Dock Status'!G7),"",'Apollo Dock Status'!G7)</f>
        <v/>
      </c>
      <c r="H7" s="1" t="str">
        <f>IF(ISBLANK('Apollo Dock Status'!H7),"",'Apollo Dock Status'!H7)</f>
        <v/>
      </c>
      <c r="I7" s="1" t="str">
        <f>IF(ISBLANK('Apollo Dock Status'!I7),"",'Apollo Dock Status'!I7)</f>
        <v/>
      </c>
      <c r="J7" s="1" t="str">
        <f>IF(ISBLANK('Apollo Dock Status'!J7),"",'Apollo Dock Status'!J7)</f>
        <v/>
      </c>
      <c r="K7" s="1" t="str">
        <f>IF(ISBLANK('Apollo Dock Status'!K7),"",'Apollo Dock Status'!K7)</f>
        <v/>
      </c>
      <c r="L7" s="1" t="str">
        <f>IF(ISBLANK('Apollo Dock Status'!L7),"",'Apollo Dock Status'!L7)</f>
        <v/>
      </c>
      <c r="M7" s="1" t="str">
        <f>IF(ISBLANK('Apollo Dock Status'!M7),"",'Apollo Dock Status'!M7)</f>
        <v/>
      </c>
      <c r="N7" s="1" t="str">
        <f>IF(ISBLANK('Apollo Dock Status'!N7),"",'Apollo Dock Status'!N7)</f>
        <v/>
      </c>
      <c r="O7" s="1" t="str">
        <f t="shared" si="12"/>
        <v/>
      </c>
      <c r="P7" s="1" t="str">
        <f t="shared" si="13"/>
        <v/>
      </c>
      <c r="Q7" s="1" t="str">
        <f t="shared" si="14"/>
        <v/>
      </c>
      <c r="R7" s="1" t="str">
        <f t="shared" si="15"/>
        <v/>
      </c>
      <c r="S7" s="11" t="str">
        <f t="shared" si="16"/>
        <v/>
      </c>
      <c r="T7" s="1" t="str">
        <f t="shared" si="17"/>
        <v/>
      </c>
      <c r="U7" s="11" t="str">
        <f t="shared" si="18"/>
        <v/>
      </c>
      <c r="V7" s="11" t="str">
        <f t="shared" si="19"/>
        <v/>
      </c>
      <c r="X7" s="1" t="str">
        <f t="shared" si="20"/>
        <v/>
      </c>
      <c r="Y7" s="1" t="str">
        <f t="shared" si="21"/>
        <v/>
      </c>
      <c r="Z7" s="1" t="str">
        <f t="shared" si="22"/>
        <v/>
      </c>
      <c r="AB7" s="13">
        <f t="shared" ca="1" si="23"/>
        <v>46176</v>
      </c>
      <c r="AC7" s="1">
        <f t="shared" ca="1" si="24"/>
        <v>2026</v>
      </c>
      <c r="AD7" s="1" t="str">
        <f t="shared" ca="1" si="25"/>
        <v>6</v>
      </c>
      <c r="AE7" s="1">
        <f t="shared" si="26"/>
        <v>1</v>
      </c>
      <c r="AF7" s="1" t="str">
        <f t="shared" si="27"/>
        <v/>
      </c>
      <c r="AG7" s="1">
        <f t="shared" ca="1" si="28"/>
        <v>2026</v>
      </c>
      <c r="AH7" s="1">
        <f t="shared" si="29"/>
        <v>1</v>
      </c>
      <c r="AI7" s="1" t="str">
        <f t="shared" ca="1" si="30"/>
        <v>6</v>
      </c>
      <c r="AJ7" s="13" t="e">
        <f t="shared" ca="1" si="31"/>
        <v>#VALUE!</v>
      </c>
      <c r="AK7" s="1" t="e">
        <f>IF(ISBLANK(A7),"",IFERROR(MID(F7,SEARCH(", ",F7)+LEN(", "),SEARCH(" "&amp;'Exception Stores'!$A$2,F7)-SEARCH(", ",F7)-LEN(", ")),MID(F7,SEARCH(", ",F7)+LEN(", "),SEARCH(" "&amp;'Exception Stores'!$B$2,F7)-SEARCH(", ",F7)-LEN(", "))))</f>
        <v>#VALUE!</v>
      </c>
      <c r="AL7" s="1" t="e">
        <f t="shared" si="32"/>
        <v>#VALUE!</v>
      </c>
      <c r="AM7" s="15" t="e">
        <f t="shared" ca="1" si="33"/>
        <v>#VALUE!</v>
      </c>
      <c r="AN7" s="24" t="e">
        <f t="shared" ca="1" si="34"/>
        <v>#VALUE!</v>
      </c>
      <c r="AO7" s="1" t="e">
        <f t="shared" ca="1" si="35"/>
        <v>#VALUE!</v>
      </c>
      <c r="AP7" s="13" t="e">
        <f t="shared" ca="1" si="36"/>
        <v>#VALUE!</v>
      </c>
      <c r="AQ7" s="17" t="e">
        <f t="shared" ca="1" si="37"/>
        <v>#VALUE!</v>
      </c>
      <c r="AS7" s="15" t="e">
        <f t="shared" ca="1" si="38"/>
        <v>#VALUE!</v>
      </c>
      <c r="AT7" s="5">
        <f>'Exception Stores'!$D$2</f>
        <v>0.125</v>
      </c>
      <c r="AU7" s="15" t="e">
        <f t="shared" ca="1" si="39"/>
        <v>#VALUE!</v>
      </c>
      <c r="AV7" s="15" t="e">
        <f t="shared" ca="1" si="40"/>
        <v>#VALUE!</v>
      </c>
      <c r="AW7" s="15" t="e">
        <f t="shared" ca="1" si="41"/>
        <v>#VALUE!</v>
      </c>
      <c r="AX7" s="15" t="e">
        <f t="shared" ca="1" si="42"/>
        <v>#VALUE!</v>
      </c>
      <c r="AY7" s="15" t="e">
        <f t="shared" ca="1" si="43"/>
        <v>#VALUE!</v>
      </c>
      <c r="AZ7" s="1" t="e">
        <f t="shared" ca="1" si="44"/>
        <v>#VALUE!</v>
      </c>
      <c r="BA7" s="15" t="e">
        <f t="shared" ca="1" si="45"/>
        <v>#VALUE!</v>
      </c>
      <c r="BB7" s="15" t="e">
        <f t="shared" ca="1" si="46"/>
        <v>#VALUE!</v>
      </c>
      <c r="BC7" s="1" t="e">
        <f t="shared" ca="1" si="47"/>
        <v>#VALUE!</v>
      </c>
      <c r="BE7" s="15" t="str">
        <f>IF(ISBLANK('Exception Stores'!$A$6),"",'Exception Stores'!$A$6)</f>
        <v/>
      </c>
      <c r="BF7" s="15" t="str">
        <f>IF(ISBLANK('Exception Stores'!$B$6),"",'Exception Stores'!$B$6)</f>
        <v/>
      </c>
      <c r="BG7" s="1">
        <f>IF(ISBLANK('Exception Stores'!$A$6),0,IF($AN$2&gt;$BF$2,($AN$2-$BF$2)*24,0))</f>
        <v>0</v>
      </c>
      <c r="BH7" s="11">
        <f>IF(ISBLANK('Exception Stores'!$A$6),0,($BF$2-$BE$2)*24)</f>
        <v>0</v>
      </c>
      <c r="BI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7" s="1">
        <f>IF(ISBLANK('Exception Stores'!$A$6),0,IF($AN$2&gt;$BF$2,0,IF(AND($AN$2&lt;$BF$2,$BT$2="B"),(($BF$2-$AN$2)*24)-$BS$2,($BF$2-$AN$2)*24)))</f>
        <v>0</v>
      </c>
      <c r="BL7" s="5"/>
      <c r="BM7" s="5"/>
      <c r="BN7" s="5"/>
      <c r="BO7" s="5"/>
      <c r="BP7" s="5"/>
      <c r="BV7" s="1" t="e">
        <f t="shared" ca="1" si="48"/>
        <v>#VALUE!</v>
      </c>
      <c r="BW7" s="1" t="e">
        <f t="shared" ca="1" si="49"/>
        <v>#VALUE!</v>
      </c>
      <c r="BX7" s="1" t="e">
        <f t="shared" ca="1" si="50"/>
        <v>#VALUE!</v>
      </c>
      <c r="BY7" s="1" t="e">
        <f t="shared" ca="1" si="51"/>
        <v>#VALUE!</v>
      </c>
      <c r="BZ7" s="1" t="e">
        <f t="shared" ca="1" si="52"/>
        <v>#VALUE!</v>
      </c>
      <c r="CB7" s="1" t="str">
        <f>IF(ISBLANK('Exception Stores'!$A$6),"",WEEKDAY($BF$2))</f>
        <v/>
      </c>
      <c r="CC7" s="1" t="str">
        <f>IF(ISBLANK('Exception Stores'!$A$6),"NO",IF('Exception Stores'!$A$6&lt;$AU$2,"YES","NO"))</f>
        <v>NO</v>
      </c>
      <c r="CD7" s="1" t="str">
        <f>IF(ISBLANK('Exception Stores'!$A$6),"NO",IF('Exception Stores'!$A$6&lt;$AV$2,"YES","NO"))</f>
        <v>NO</v>
      </c>
      <c r="CE7" s="1" t="str">
        <f>IF(ISBLANK('Exception Stores'!$A$6),"NO",IF('Exception Stores'!$A$6&lt;$AW$2,"YES","NO"))</f>
        <v>NO</v>
      </c>
      <c r="CF7" s="1" t="str">
        <f>IF(ISBLANK('Exception Stores'!$A$6),"NO",IF('Exception Stores'!$A$6&lt;$AX$2,"YES","NO"))</f>
        <v>NO</v>
      </c>
      <c r="CG7" s="1" t="str">
        <f>IF(ISBLANK('Exception Stores'!$A$6),"NO",IF('Exception Stores'!$A$6&lt;$AY$2,"YES","NO"))</f>
        <v>NO</v>
      </c>
      <c r="CI7" s="42" t="str">
        <f>IF(ISBLANK('Exception Stores'!$B$6),"NO",IF('Exception Stores'!$B$6&lt;=$AU$2,"YES","NO"))</f>
        <v>NO</v>
      </c>
      <c r="CJ7" s="42" t="str">
        <f>IF(ISBLANK('Exception Stores'!$B$6),"NO",IF('Exception Stores'!$B$6&lt;=$AV$2,"YES","NO"))</f>
        <v>NO</v>
      </c>
      <c r="CK7" s="1" t="str">
        <f>IF(ISBLANK('Exception Stores'!$B$6),"NO",IF('Exception Stores'!$B$6&lt;=$AW$2,"YES","NO"))</f>
        <v>NO</v>
      </c>
      <c r="CL7" s="1" t="str">
        <f>IF(ISBLANK('Exception Stores'!$B$6),"NO",IF('Exception Stores'!$B$6&lt;=$AX$2,"YES","NO"))</f>
        <v>NO</v>
      </c>
      <c r="CM7" s="1" t="str">
        <f>IF(ISBLANK('Exception Stores'!$B$6),"NO",IF('Exception Stores'!$B$6&lt;=$AY$2,"YES","NO"))</f>
        <v>NO</v>
      </c>
      <c r="CO7" s="1" t="e">
        <f ca="1">IF(AM7&lt;'Exception Stores'!$A$6,"YES","NO")</f>
        <v>#VALUE!</v>
      </c>
      <c r="CP7" s="1">
        <f t="shared" si="53"/>
        <v>0</v>
      </c>
      <c r="CQ7" s="1">
        <f t="shared" si="54"/>
        <v>0</v>
      </c>
      <c r="CR7" s="1">
        <f t="shared" si="55"/>
        <v>0</v>
      </c>
      <c r="CS7" s="1">
        <f t="shared" si="56"/>
        <v>0</v>
      </c>
      <c r="CT7" s="1">
        <f t="shared" si="57"/>
        <v>0</v>
      </c>
      <c r="CU7" s="1">
        <f t="shared" si="58"/>
        <v>0</v>
      </c>
      <c r="CW7" s="1" t="e">
        <f t="shared" ca="1" si="59"/>
        <v>#VALUE!</v>
      </c>
      <c r="CX7" s="1" t="e">
        <f t="shared" ca="1" si="0"/>
        <v>#VALUE!</v>
      </c>
      <c r="CY7" s="1" t="e">
        <f t="shared" ca="1" si="1"/>
        <v>#VALUE!</v>
      </c>
      <c r="CZ7" s="1" t="e">
        <f t="shared" ca="1" si="2"/>
        <v>#VALUE!</v>
      </c>
      <c r="DA7" s="1" t="e">
        <f t="shared" ca="1" si="3"/>
        <v>#VALUE!</v>
      </c>
      <c r="DB7" s="26" t="e">
        <f t="shared" ca="1" si="60"/>
        <v>#VALUE!</v>
      </c>
      <c r="DC7" s="1">
        <f t="shared" si="4"/>
        <v>0</v>
      </c>
      <c r="DD7" s="1">
        <f t="shared" si="5"/>
        <v>0</v>
      </c>
      <c r="DE7" s="1">
        <f t="shared" si="6"/>
        <v>0</v>
      </c>
      <c r="DF7" s="1">
        <f t="shared" si="7"/>
        <v>0</v>
      </c>
      <c r="DG7" s="1">
        <f t="shared" si="8"/>
        <v>0</v>
      </c>
      <c r="DH7" s="26">
        <f t="shared" si="61"/>
        <v>0</v>
      </c>
      <c r="DI7" s="1" t="e">
        <f t="shared" ca="1" si="62"/>
        <v>#VALUE!</v>
      </c>
      <c r="DK7" s="11" t="str">
        <f t="shared" si="9"/>
        <v/>
      </c>
      <c r="DL7" s="11" t="e">
        <f ca="1">IF(AND(NOT(ISBLANK('Exception Stores'!$A$6)),CO7="YES"),S7-$BH$2-(DI7*$BS$2)-(CU7*$BS$2),S7-(DB7*$BS$2))</f>
        <v>#VALUE!</v>
      </c>
      <c r="DM7" s="11" t="str">
        <f>IF(ISBLANK(A7),"",IF(COUNTIF(Remaps!$A$2:$A$200,B7)&gt;0,"YES",""))</f>
        <v>YES</v>
      </c>
      <c r="DN7" s="29">
        <f>IFERROR(INDEX(Remaps!$B$2:$B$200,MATCH(B7,Remaps!$A$2:$A$200,0),1),0)</f>
        <v>0</v>
      </c>
      <c r="DO7" s="11" t="e">
        <f t="shared" ca="1" si="10"/>
        <v>#VALUE!</v>
      </c>
      <c r="DP7" s="29" t="e">
        <f t="shared" si="11"/>
        <v>#VALUE!</v>
      </c>
      <c r="DQ7" s="11" t="e">
        <f ca="1">('Apollo Dock Status'!$Z$1-DP7)/DO7</f>
        <v>#VALUE!</v>
      </c>
      <c r="DR7" s="15" t="e">
        <f t="shared" ca="1" si="63"/>
        <v>#VALUE!</v>
      </c>
    </row>
    <row r="8" spans="1:122">
      <c r="A8" s="1" t="str">
        <f>IF(ISBLANK('Apollo Dock Status'!A8),"",'Apollo Dock Status'!A8)</f>
        <v/>
      </c>
      <c r="B8" s="1" t="str">
        <f>IF(ISBLANK('Apollo Dock Status'!B8),"",'Apollo Dock Status'!B8)</f>
        <v/>
      </c>
      <c r="C8" s="1" t="str">
        <f>IF(ISBLANK('Apollo Dock Status'!C8),"",'Apollo Dock Status'!C8)</f>
        <v/>
      </c>
      <c r="D8" s="1" t="str">
        <f>IF(ISBLANK('Apollo Dock Status'!D8),"",'Apollo Dock Status'!D8)</f>
        <v/>
      </c>
      <c r="E8" s="1" t="str">
        <f>IF(ISBLANK('Apollo Dock Status'!E8),"",'Apollo Dock Status'!E8)</f>
        <v/>
      </c>
      <c r="F8" s="1" t="str">
        <f>IF(ISBLANK('Apollo Dock Status'!F8),"",'Apollo Dock Status'!F8)</f>
        <v/>
      </c>
      <c r="G8" s="1" t="str">
        <f>IF(ISBLANK('Apollo Dock Status'!G8),"",'Apollo Dock Status'!G8)</f>
        <v/>
      </c>
      <c r="H8" s="1" t="str">
        <f>IF(ISBLANK('Apollo Dock Status'!H8),"",'Apollo Dock Status'!H8)</f>
        <v/>
      </c>
      <c r="I8" s="1" t="str">
        <f>IF(ISBLANK('Apollo Dock Status'!I8),"",'Apollo Dock Status'!I8)</f>
        <v/>
      </c>
      <c r="J8" s="1" t="str">
        <f>IF(ISBLANK('Apollo Dock Status'!J8),"",'Apollo Dock Status'!J8)</f>
        <v/>
      </c>
      <c r="K8" s="1" t="str">
        <f>IF(ISBLANK('Apollo Dock Status'!K8),"",'Apollo Dock Status'!K8)</f>
        <v/>
      </c>
      <c r="L8" s="1" t="str">
        <f>IF(ISBLANK('Apollo Dock Status'!L8),"",'Apollo Dock Status'!L8)</f>
        <v/>
      </c>
      <c r="M8" s="1" t="str">
        <f>IF(ISBLANK('Apollo Dock Status'!M8),"",'Apollo Dock Status'!M8)</f>
        <v/>
      </c>
      <c r="N8" s="1" t="str">
        <f>IF(ISBLANK('Apollo Dock Status'!N8),"",'Apollo Dock Status'!N8)</f>
        <v/>
      </c>
      <c r="O8" s="1" t="str">
        <f t="shared" si="12"/>
        <v/>
      </c>
      <c r="P8" s="1" t="str">
        <f t="shared" si="13"/>
        <v/>
      </c>
      <c r="Q8" s="1" t="str">
        <f t="shared" si="14"/>
        <v/>
      </c>
      <c r="R8" s="1" t="str">
        <f t="shared" si="15"/>
        <v/>
      </c>
      <c r="S8" s="11" t="str">
        <f t="shared" si="16"/>
        <v/>
      </c>
      <c r="T8" s="1" t="str">
        <f t="shared" si="17"/>
        <v/>
      </c>
      <c r="U8" s="11" t="str">
        <f t="shared" si="18"/>
        <v/>
      </c>
      <c r="V8" s="11" t="str">
        <f t="shared" si="19"/>
        <v/>
      </c>
      <c r="X8" s="1" t="str">
        <f t="shared" si="20"/>
        <v/>
      </c>
      <c r="Y8" s="1" t="str">
        <f t="shared" si="21"/>
        <v/>
      </c>
      <c r="Z8" s="1" t="str">
        <f t="shared" si="22"/>
        <v/>
      </c>
      <c r="AB8" s="13">
        <f t="shared" ca="1" si="23"/>
        <v>46176</v>
      </c>
      <c r="AC8" s="1">
        <f t="shared" ca="1" si="24"/>
        <v>2026</v>
      </c>
      <c r="AD8" s="1" t="str">
        <f t="shared" ca="1" si="25"/>
        <v>6</v>
      </c>
      <c r="AE8" s="1">
        <f t="shared" si="26"/>
        <v>1</v>
      </c>
      <c r="AF8" s="1" t="str">
        <f t="shared" si="27"/>
        <v/>
      </c>
      <c r="AG8" s="1">
        <f t="shared" ca="1" si="28"/>
        <v>2026</v>
      </c>
      <c r="AH8" s="1">
        <f t="shared" si="29"/>
        <v>1</v>
      </c>
      <c r="AI8" s="1" t="str">
        <f t="shared" ca="1" si="30"/>
        <v>6</v>
      </c>
      <c r="AJ8" s="13" t="e">
        <f t="shared" ca="1" si="31"/>
        <v>#VALUE!</v>
      </c>
      <c r="AK8" s="1" t="e">
        <f>IF(ISBLANK(A8),"",IFERROR(MID(F8,SEARCH(", ",F8)+LEN(", "),SEARCH(" "&amp;'Exception Stores'!$A$2,F8)-SEARCH(", ",F8)-LEN(", ")),MID(F8,SEARCH(", ",F8)+LEN(", "),SEARCH(" "&amp;'Exception Stores'!$B$2,F8)-SEARCH(", ",F8)-LEN(", "))))</f>
        <v>#VALUE!</v>
      </c>
      <c r="AL8" s="1" t="e">
        <f t="shared" si="32"/>
        <v>#VALUE!</v>
      </c>
      <c r="AM8" s="15" t="e">
        <f t="shared" ca="1" si="33"/>
        <v>#VALUE!</v>
      </c>
      <c r="AN8" s="24" t="e">
        <f t="shared" ca="1" si="34"/>
        <v>#VALUE!</v>
      </c>
      <c r="AO8" s="1" t="e">
        <f t="shared" ca="1" si="35"/>
        <v>#VALUE!</v>
      </c>
      <c r="AP8" s="13" t="e">
        <f t="shared" ca="1" si="36"/>
        <v>#VALUE!</v>
      </c>
      <c r="AQ8" s="17" t="e">
        <f t="shared" ca="1" si="37"/>
        <v>#VALUE!</v>
      </c>
      <c r="AS8" s="15" t="e">
        <f t="shared" ca="1" si="38"/>
        <v>#VALUE!</v>
      </c>
      <c r="AT8" s="5">
        <f>'Exception Stores'!$D$2</f>
        <v>0.125</v>
      </c>
      <c r="AU8" s="15" t="e">
        <f t="shared" ca="1" si="39"/>
        <v>#VALUE!</v>
      </c>
      <c r="AV8" s="15" t="e">
        <f t="shared" ca="1" si="40"/>
        <v>#VALUE!</v>
      </c>
      <c r="AW8" s="15" t="e">
        <f t="shared" ca="1" si="41"/>
        <v>#VALUE!</v>
      </c>
      <c r="AX8" s="15" t="e">
        <f t="shared" ca="1" si="42"/>
        <v>#VALUE!</v>
      </c>
      <c r="AY8" s="15" t="e">
        <f t="shared" ca="1" si="43"/>
        <v>#VALUE!</v>
      </c>
      <c r="AZ8" s="1" t="e">
        <f t="shared" ca="1" si="44"/>
        <v>#VALUE!</v>
      </c>
      <c r="BA8" s="15" t="e">
        <f t="shared" ca="1" si="45"/>
        <v>#VALUE!</v>
      </c>
      <c r="BB8" s="15" t="e">
        <f t="shared" ca="1" si="46"/>
        <v>#VALUE!</v>
      </c>
      <c r="BC8" s="1" t="e">
        <f t="shared" ca="1" si="47"/>
        <v>#VALUE!</v>
      </c>
      <c r="BE8" s="15" t="str">
        <f>IF(ISBLANK('Exception Stores'!$A$6),"",'Exception Stores'!$A$6)</f>
        <v/>
      </c>
      <c r="BF8" s="15" t="str">
        <f>IF(ISBLANK('Exception Stores'!$B$6),"",'Exception Stores'!$B$6)</f>
        <v/>
      </c>
      <c r="BG8" s="1">
        <f>IF(ISBLANK('Exception Stores'!$A$6),0,IF($AN$2&gt;$BF$2,($AN$2-$BF$2)*24,0))</f>
        <v>0</v>
      </c>
      <c r="BH8" s="11">
        <f>IF(ISBLANK('Exception Stores'!$A$6),0,($BF$2-$BE$2)*24)</f>
        <v>0</v>
      </c>
      <c r="BI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8" s="1">
        <f>IF(ISBLANK('Exception Stores'!$A$6),0,IF($AN$2&gt;$BF$2,0,IF(AND($AN$2&lt;$BF$2,$BT$2="B"),(($BF$2-$AN$2)*24)-$BS$2,($BF$2-$AN$2)*24)))</f>
        <v>0</v>
      </c>
      <c r="BL8" s="5"/>
      <c r="BM8" s="5"/>
      <c r="BN8" s="5"/>
      <c r="BO8" s="5"/>
      <c r="BP8" s="5"/>
      <c r="BV8" s="1" t="e">
        <f t="shared" ca="1" si="48"/>
        <v>#VALUE!</v>
      </c>
      <c r="BW8" s="1" t="e">
        <f t="shared" ca="1" si="49"/>
        <v>#VALUE!</v>
      </c>
      <c r="BX8" s="1" t="e">
        <f t="shared" ca="1" si="50"/>
        <v>#VALUE!</v>
      </c>
      <c r="BY8" s="1" t="e">
        <f t="shared" ca="1" si="51"/>
        <v>#VALUE!</v>
      </c>
      <c r="BZ8" s="1" t="e">
        <f t="shared" ca="1" si="52"/>
        <v>#VALUE!</v>
      </c>
      <c r="CB8" s="1" t="str">
        <f>IF(ISBLANK('Exception Stores'!$A$6),"",WEEKDAY($BF$2))</f>
        <v/>
      </c>
      <c r="CC8" s="1" t="str">
        <f>IF(ISBLANK('Exception Stores'!$A$6),"NO",IF('Exception Stores'!$A$6&lt;$AU$2,"YES","NO"))</f>
        <v>NO</v>
      </c>
      <c r="CD8" s="1" t="str">
        <f>IF(ISBLANK('Exception Stores'!$A$6),"NO",IF('Exception Stores'!$A$6&lt;$AV$2,"YES","NO"))</f>
        <v>NO</v>
      </c>
      <c r="CE8" s="1" t="str">
        <f>IF(ISBLANK('Exception Stores'!$A$6),"NO",IF('Exception Stores'!$A$6&lt;$AW$2,"YES","NO"))</f>
        <v>NO</v>
      </c>
      <c r="CF8" s="1" t="str">
        <f>IF(ISBLANK('Exception Stores'!$A$6),"NO",IF('Exception Stores'!$A$6&lt;$AX$2,"YES","NO"))</f>
        <v>NO</v>
      </c>
      <c r="CG8" s="1" t="str">
        <f>IF(ISBLANK('Exception Stores'!$A$6),"NO",IF('Exception Stores'!$A$6&lt;$AY$2,"YES","NO"))</f>
        <v>NO</v>
      </c>
      <c r="CI8" s="42" t="str">
        <f>IF(ISBLANK('Exception Stores'!$B$6),"NO",IF('Exception Stores'!$B$6&lt;=$AU$2,"YES","NO"))</f>
        <v>NO</v>
      </c>
      <c r="CJ8" s="42" t="str">
        <f>IF(ISBLANK('Exception Stores'!$B$6),"NO",IF('Exception Stores'!$B$6&lt;=$AV$2,"YES","NO"))</f>
        <v>NO</v>
      </c>
      <c r="CK8" s="1" t="str">
        <f>IF(ISBLANK('Exception Stores'!$B$6),"NO",IF('Exception Stores'!$B$6&lt;=$AW$2,"YES","NO"))</f>
        <v>NO</v>
      </c>
      <c r="CL8" s="1" t="str">
        <f>IF(ISBLANK('Exception Stores'!$B$6),"NO",IF('Exception Stores'!$B$6&lt;=$AX$2,"YES","NO"))</f>
        <v>NO</v>
      </c>
      <c r="CM8" s="1" t="str">
        <f>IF(ISBLANK('Exception Stores'!$B$6),"NO",IF('Exception Stores'!$B$6&lt;=$AY$2,"YES","NO"))</f>
        <v>NO</v>
      </c>
      <c r="CO8" s="1" t="e">
        <f ca="1">IF(AM8&lt;'Exception Stores'!$A$6,"YES","NO")</f>
        <v>#VALUE!</v>
      </c>
      <c r="CP8" s="1">
        <f t="shared" si="53"/>
        <v>0</v>
      </c>
      <c r="CQ8" s="1">
        <f t="shared" si="54"/>
        <v>0</v>
      </c>
      <c r="CR8" s="1">
        <f t="shared" si="55"/>
        <v>0</v>
      </c>
      <c r="CS8" s="1">
        <f t="shared" si="56"/>
        <v>0</v>
      </c>
      <c r="CT8" s="1">
        <f t="shared" si="57"/>
        <v>0</v>
      </c>
      <c r="CU8" s="1">
        <f t="shared" si="58"/>
        <v>0</v>
      </c>
      <c r="CW8" s="1" t="e">
        <f t="shared" ca="1" si="59"/>
        <v>#VALUE!</v>
      </c>
      <c r="CX8" s="1" t="e">
        <f t="shared" ca="1" si="0"/>
        <v>#VALUE!</v>
      </c>
      <c r="CY8" s="1" t="e">
        <f t="shared" ca="1" si="1"/>
        <v>#VALUE!</v>
      </c>
      <c r="CZ8" s="1" t="e">
        <f t="shared" ca="1" si="2"/>
        <v>#VALUE!</v>
      </c>
      <c r="DA8" s="1" t="e">
        <f t="shared" ca="1" si="3"/>
        <v>#VALUE!</v>
      </c>
      <c r="DB8" s="26" t="e">
        <f t="shared" ca="1" si="60"/>
        <v>#VALUE!</v>
      </c>
      <c r="DC8" s="1">
        <f t="shared" si="4"/>
        <v>0</v>
      </c>
      <c r="DD8" s="1">
        <f t="shared" si="5"/>
        <v>0</v>
      </c>
      <c r="DE8" s="1">
        <f t="shared" si="6"/>
        <v>0</v>
      </c>
      <c r="DF8" s="1">
        <f t="shared" si="7"/>
        <v>0</v>
      </c>
      <c r="DG8" s="1">
        <f t="shared" si="8"/>
        <v>0</v>
      </c>
      <c r="DH8" s="26">
        <f t="shared" si="61"/>
        <v>0</v>
      </c>
      <c r="DI8" s="1" t="e">
        <f t="shared" ca="1" si="62"/>
        <v>#VALUE!</v>
      </c>
      <c r="DK8" s="11" t="str">
        <f t="shared" si="9"/>
        <v/>
      </c>
      <c r="DL8" s="11" t="e">
        <f ca="1">IF(AND(NOT(ISBLANK('Exception Stores'!$A$6)),CO8="YES"),S8-$BH$2-(DI8*$BS$2)-(CU8*$BS$2),S8-(DB8*$BS$2))</f>
        <v>#VALUE!</v>
      </c>
      <c r="DM8" s="11" t="str">
        <f>IF(ISBLANK(A8),"",IF(COUNTIF(Remaps!$A$2:$A$200,B8)&gt;0,"YES",""))</f>
        <v>YES</v>
      </c>
      <c r="DN8" s="29">
        <f>IFERROR(INDEX(Remaps!$B$2:$B$200,MATCH(B8,Remaps!$A$2:$A$200,0),1),0)</f>
        <v>0</v>
      </c>
      <c r="DO8" s="11" t="e">
        <f t="shared" ca="1" si="10"/>
        <v>#VALUE!</v>
      </c>
      <c r="DP8" s="29" t="e">
        <f t="shared" si="11"/>
        <v>#VALUE!</v>
      </c>
      <c r="DQ8" s="11" t="e">
        <f ca="1">('Apollo Dock Status'!$Z$1-DP8)/DO8</f>
        <v>#VALUE!</v>
      </c>
      <c r="DR8" s="15" t="e">
        <f t="shared" ca="1" si="63"/>
        <v>#VALUE!</v>
      </c>
    </row>
    <row r="9" spans="1:122">
      <c r="A9" s="1" t="str">
        <f>IF(ISBLANK('Apollo Dock Status'!A9),"",'Apollo Dock Status'!A9)</f>
        <v/>
      </c>
      <c r="B9" s="1" t="str">
        <f>IF(ISBLANK('Apollo Dock Status'!B9),"",'Apollo Dock Status'!B9)</f>
        <v/>
      </c>
      <c r="C9" s="1" t="str">
        <f>IF(ISBLANK('Apollo Dock Status'!C9),"",'Apollo Dock Status'!C9)</f>
        <v/>
      </c>
      <c r="D9" s="1" t="str">
        <f>IF(ISBLANK('Apollo Dock Status'!D9),"",'Apollo Dock Status'!D9)</f>
        <v/>
      </c>
      <c r="E9" s="1" t="str">
        <f>IF(ISBLANK('Apollo Dock Status'!E9),"",'Apollo Dock Status'!E9)</f>
        <v/>
      </c>
      <c r="F9" s="1" t="str">
        <f>IF(ISBLANK('Apollo Dock Status'!F9),"",'Apollo Dock Status'!F9)</f>
        <v/>
      </c>
      <c r="G9" s="1" t="str">
        <f>IF(ISBLANK('Apollo Dock Status'!G9),"",'Apollo Dock Status'!G9)</f>
        <v/>
      </c>
      <c r="H9" s="1" t="str">
        <f>IF(ISBLANK('Apollo Dock Status'!H9),"",'Apollo Dock Status'!H9)</f>
        <v/>
      </c>
      <c r="I9" s="1" t="str">
        <f>IF(ISBLANK('Apollo Dock Status'!I9),"",'Apollo Dock Status'!I9)</f>
        <v/>
      </c>
      <c r="J9" s="1" t="str">
        <f>IF(ISBLANK('Apollo Dock Status'!J9),"",'Apollo Dock Status'!J9)</f>
        <v/>
      </c>
      <c r="K9" s="1" t="str">
        <f>IF(ISBLANK('Apollo Dock Status'!K9),"",'Apollo Dock Status'!K9)</f>
        <v/>
      </c>
      <c r="L9" s="1" t="str">
        <f>IF(ISBLANK('Apollo Dock Status'!L9),"",'Apollo Dock Status'!L9)</f>
        <v/>
      </c>
      <c r="M9" s="1" t="str">
        <f>IF(ISBLANK('Apollo Dock Status'!M9),"",'Apollo Dock Status'!M9)</f>
        <v/>
      </c>
      <c r="N9" s="1" t="str">
        <f>IF(ISBLANK('Apollo Dock Status'!N9),"",'Apollo Dock Status'!N9)</f>
        <v/>
      </c>
      <c r="O9" s="1" t="str">
        <f t="shared" si="12"/>
        <v/>
      </c>
      <c r="P9" s="1" t="str">
        <f t="shared" si="13"/>
        <v/>
      </c>
      <c r="Q9" s="1" t="str">
        <f t="shared" si="14"/>
        <v/>
      </c>
      <c r="R9" s="1" t="str">
        <f t="shared" si="15"/>
        <v/>
      </c>
      <c r="S9" s="11" t="str">
        <f t="shared" si="16"/>
        <v/>
      </c>
      <c r="T9" s="1" t="str">
        <f t="shared" si="17"/>
        <v/>
      </c>
      <c r="U9" s="11" t="str">
        <f t="shared" si="18"/>
        <v/>
      </c>
      <c r="V9" s="11" t="str">
        <f t="shared" si="19"/>
        <v/>
      </c>
      <c r="X9" s="1" t="str">
        <f t="shared" si="20"/>
        <v/>
      </c>
      <c r="Y9" s="1" t="str">
        <f t="shared" si="21"/>
        <v/>
      </c>
      <c r="Z9" s="1" t="str">
        <f t="shared" si="22"/>
        <v/>
      </c>
      <c r="AB9" s="13">
        <f t="shared" ca="1" si="23"/>
        <v>46176</v>
      </c>
      <c r="AC9" s="1">
        <f t="shared" ca="1" si="24"/>
        <v>2026</v>
      </c>
      <c r="AD9" s="1" t="str">
        <f t="shared" ca="1" si="25"/>
        <v>6</v>
      </c>
      <c r="AE9" s="1">
        <f t="shared" si="26"/>
        <v>1</v>
      </c>
      <c r="AF9" s="1" t="str">
        <f t="shared" si="27"/>
        <v/>
      </c>
      <c r="AG9" s="1">
        <f t="shared" ca="1" si="28"/>
        <v>2026</v>
      </c>
      <c r="AH9" s="1">
        <f t="shared" si="29"/>
        <v>1</v>
      </c>
      <c r="AI9" s="1" t="str">
        <f t="shared" ca="1" si="30"/>
        <v>6</v>
      </c>
      <c r="AJ9" s="13" t="e">
        <f t="shared" ca="1" si="31"/>
        <v>#VALUE!</v>
      </c>
      <c r="AK9" s="1" t="e">
        <f>IF(ISBLANK(A9),"",IFERROR(MID(F9,SEARCH(", ",F9)+LEN(", "),SEARCH(" "&amp;'Exception Stores'!$A$2,F9)-SEARCH(", ",F9)-LEN(", ")),MID(F9,SEARCH(", ",F9)+LEN(", "),SEARCH(" "&amp;'Exception Stores'!$B$2,F9)-SEARCH(", ",F9)-LEN(", "))))</f>
        <v>#VALUE!</v>
      </c>
      <c r="AL9" s="1" t="e">
        <f t="shared" si="32"/>
        <v>#VALUE!</v>
      </c>
      <c r="AM9" s="15" t="e">
        <f t="shared" ca="1" si="33"/>
        <v>#VALUE!</v>
      </c>
      <c r="AN9" s="24" t="e">
        <f t="shared" ca="1" si="34"/>
        <v>#VALUE!</v>
      </c>
      <c r="AO9" s="1" t="e">
        <f t="shared" ca="1" si="35"/>
        <v>#VALUE!</v>
      </c>
      <c r="AP9" s="13" t="e">
        <f t="shared" ca="1" si="36"/>
        <v>#VALUE!</v>
      </c>
      <c r="AQ9" s="17" t="e">
        <f t="shared" ca="1" si="37"/>
        <v>#VALUE!</v>
      </c>
      <c r="AS9" s="15" t="e">
        <f t="shared" ca="1" si="38"/>
        <v>#VALUE!</v>
      </c>
      <c r="AT9" s="5">
        <f>'Exception Stores'!$D$2</f>
        <v>0.125</v>
      </c>
      <c r="AU9" s="15" t="e">
        <f t="shared" ca="1" si="39"/>
        <v>#VALUE!</v>
      </c>
      <c r="AV9" s="15" t="e">
        <f t="shared" ca="1" si="40"/>
        <v>#VALUE!</v>
      </c>
      <c r="AW9" s="15" t="e">
        <f t="shared" ca="1" si="41"/>
        <v>#VALUE!</v>
      </c>
      <c r="AX9" s="15" t="e">
        <f t="shared" ca="1" si="42"/>
        <v>#VALUE!</v>
      </c>
      <c r="AY9" s="15" t="e">
        <f t="shared" ca="1" si="43"/>
        <v>#VALUE!</v>
      </c>
      <c r="AZ9" s="1" t="e">
        <f t="shared" ca="1" si="44"/>
        <v>#VALUE!</v>
      </c>
      <c r="BA9" s="15" t="e">
        <f t="shared" ca="1" si="45"/>
        <v>#VALUE!</v>
      </c>
      <c r="BB9" s="15" t="e">
        <f t="shared" ca="1" si="46"/>
        <v>#VALUE!</v>
      </c>
      <c r="BC9" s="1" t="e">
        <f t="shared" ca="1" si="47"/>
        <v>#VALUE!</v>
      </c>
      <c r="BE9" s="15" t="str">
        <f>IF(ISBLANK('Exception Stores'!$A$6),"",'Exception Stores'!$A$6)</f>
        <v/>
      </c>
      <c r="BF9" s="15" t="str">
        <f>IF(ISBLANK('Exception Stores'!$B$6),"",'Exception Stores'!$B$6)</f>
        <v/>
      </c>
      <c r="BG9" s="1">
        <f>IF(ISBLANK('Exception Stores'!$A$6),0,IF($AN$2&gt;$BF$2,($AN$2-$BF$2)*24,0))</f>
        <v>0</v>
      </c>
      <c r="BH9" s="11">
        <f>IF(ISBLANK('Exception Stores'!$A$6),0,($BF$2-$BE$2)*24)</f>
        <v>0</v>
      </c>
      <c r="BI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9" s="1">
        <f>IF(ISBLANK('Exception Stores'!$A$6),0,IF($AN$2&gt;$BF$2,0,IF(AND($AN$2&lt;$BF$2,$BT$2="B"),(($BF$2-$AN$2)*24)-$BS$2,($BF$2-$AN$2)*24)))</f>
        <v>0</v>
      </c>
      <c r="BL9" s="5"/>
      <c r="BM9" s="5"/>
      <c r="BN9" s="5"/>
      <c r="BO9" s="5"/>
      <c r="BP9" s="5"/>
      <c r="BV9" s="1" t="e">
        <f t="shared" ca="1" si="48"/>
        <v>#VALUE!</v>
      </c>
      <c r="BW9" s="1" t="e">
        <f t="shared" ca="1" si="49"/>
        <v>#VALUE!</v>
      </c>
      <c r="BX9" s="1" t="e">
        <f t="shared" ca="1" si="50"/>
        <v>#VALUE!</v>
      </c>
      <c r="BY9" s="1" t="e">
        <f t="shared" ca="1" si="51"/>
        <v>#VALUE!</v>
      </c>
      <c r="BZ9" s="1" t="e">
        <f t="shared" ca="1" si="52"/>
        <v>#VALUE!</v>
      </c>
      <c r="CB9" s="1" t="str">
        <f>IF(ISBLANK('Exception Stores'!$A$6),"",WEEKDAY($BF$2))</f>
        <v/>
      </c>
      <c r="CC9" s="1" t="str">
        <f>IF(ISBLANK('Exception Stores'!$A$6),"NO",IF('Exception Stores'!$A$6&lt;$AU$2,"YES","NO"))</f>
        <v>NO</v>
      </c>
      <c r="CD9" s="1" t="str">
        <f>IF(ISBLANK('Exception Stores'!$A$6),"NO",IF('Exception Stores'!$A$6&lt;$AV$2,"YES","NO"))</f>
        <v>NO</v>
      </c>
      <c r="CE9" s="1" t="str">
        <f>IF(ISBLANK('Exception Stores'!$A$6),"NO",IF('Exception Stores'!$A$6&lt;$AW$2,"YES","NO"))</f>
        <v>NO</v>
      </c>
      <c r="CF9" s="1" t="str">
        <f>IF(ISBLANK('Exception Stores'!$A$6),"NO",IF('Exception Stores'!$A$6&lt;$AX$2,"YES","NO"))</f>
        <v>NO</v>
      </c>
      <c r="CG9" s="1" t="str">
        <f>IF(ISBLANK('Exception Stores'!$A$6),"NO",IF('Exception Stores'!$A$6&lt;$AY$2,"YES","NO"))</f>
        <v>NO</v>
      </c>
      <c r="CI9" s="42" t="str">
        <f>IF(ISBLANK('Exception Stores'!$B$6),"NO",IF('Exception Stores'!$B$6&lt;=$AU$2,"YES","NO"))</f>
        <v>NO</v>
      </c>
      <c r="CJ9" s="42" t="str">
        <f>IF(ISBLANK('Exception Stores'!$B$6),"NO",IF('Exception Stores'!$B$6&lt;=$AV$2,"YES","NO"))</f>
        <v>NO</v>
      </c>
      <c r="CK9" s="1" t="str">
        <f>IF(ISBLANK('Exception Stores'!$B$6),"NO",IF('Exception Stores'!$B$6&lt;=$AW$2,"YES","NO"))</f>
        <v>NO</v>
      </c>
      <c r="CL9" s="1" t="str">
        <f>IF(ISBLANK('Exception Stores'!$B$6),"NO",IF('Exception Stores'!$B$6&lt;=$AX$2,"YES","NO"))</f>
        <v>NO</v>
      </c>
      <c r="CM9" s="1" t="str">
        <f>IF(ISBLANK('Exception Stores'!$B$6),"NO",IF('Exception Stores'!$B$6&lt;=$AY$2,"YES","NO"))</f>
        <v>NO</v>
      </c>
      <c r="CO9" s="1" t="e">
        <f ca="1">IF(AM9&lt;'Exception Stores'!$A$6,"YES","NO")</f>
        <v>#VALUE!</v>
      </c>
      <c r="CP9" s="1">
        <f t="shared" si="53"/>
        <v>0</v>
      </c>
      <c r="CQ9" s="1">
        <f t="shared" si="54"/>
        <v>0</v>
      </c>
      <c r="CR9" s="1">
        <f t="shared" si="55"/>
        <v>0</v>
      </c>
      <c r="CS9" s="1">
        <f t="shared" si="56"/>
        <v>0</v>
      </c>
      <c r="CT9" s="1">
        <f t="shared" si="57"/>
        <v>0</v>
      </c>
      <c r="CU9" s="1">
        <f t="shared" si="58"/>
        <v>0</v>
      </c>
      <c r="CW9" s="1" t="e">
        <f t="shared" ca="1" si="59"/>
        <v>#VALUE!</v>
      </c>
      <c r="CX9" s="1" t="e">
        <f t="shared" ca="1" si="0"/>
        <v>#VALUE!</v>
      </c>
      <c r="CY9" s="1" t="e">
        <f t="shared" ca="1" si="1"/>
        <v>#VALUE!</v>
      </c>
      <c r="CZ9" s="1" t="e">
        <f t="shared" ca="1" si="2"/>
        <v>#VALUE!</v>
      </c>
      <c r="DA9" s="1" t="e">
        <f t="shared" ca="1" si="3"/>
        <v>#VALUE!</v>
      </c>
      <c r="DB9" s="26" t="e">
        <f t="shared" ca="1" si="60"/>
        <v>#VALUE!</v>
      </c>
      <c r="DC9" s="1">
        <f t="shared" si="4"/>
        <v>0</v>
      </c>
      <c r="DD9" s="1">
        <f t="shared" si="5"/>
        <v>0</v>
      </c>
      <c r="DE9" s="1">
        <f t="shared" si="6"/>
        <v>0</v>
      </c>
      <c r="DF9" s="1">
        <f t="shared" si="7"/>
        <v>0</v>
      </c>
      <c r="DG9" s="1">
        <f t="shared" si="8"/>
        <v>0</v>
      </c>
      <c r="DH9" s="26">
        <f t="shared" si="61"/>
        <v>0</v>
      </c>
      <c r="DI9" s="1" t="e">
        <f t="shared" ca="1" si="62"/>
        <v>#VALUE!</v>
      </c>
      <c r="DK9" s="11" t="str">
        <f t="shared" si="9"/>
        <v/>
      </c>
      <c r="DL9" s="11" t="e">
        <f ca="1">IF(AND(NOT(ISBLANK('Exception Stores'!$A$6)),CO9="YES"),S9-$BH$2-(DI9*$BS$2)-(CU9*$BS$2),S9-(DB9*$BS$2))</f>
        <v>#VALUE!</v>
      </c>
      <c r="DM9" s="11" t="str">
        <f>IF(ISBLANK(A9),"",IF(COUNTIF(Remaps!$A$2:$A$200,B9)&gt;0,"YES",""))</f>
        <v>YES</v>
      </c>
      <c r="DN9" s="29">
        <f>IFERROR(INDEX(Remaps!$B$2:$B$200,MATCH(B9,Remaps!$A$2:$A$200,0),1),0)</f>
        <v>0</v>
      </c>
      <c r="DO9" s="11" t="e">
        <f t="shared" ca="1" si="10"/>
        <v>#VALUE!</v>
      </c>
      <c r="DP9" s="29" t="e">
        <f t="shared" si="11"/>
        <v>#VALUE!</v>
      </c>
      <c r="DQ9" s="11" t="e">
        <f ca="1">('Apollo Dock Status'!$Z$1-DP9)/DO9</f>
        <v>#VALUE!</v>
      </c>
      <c r="DR9" s="15" t="e">
        <f t="shared" ca="1" si="63"/>
        <v>#VALUE!</v>
      </c>
    </row>
    <row r="10" spans="1:122">
      <c r="A10" s="1" t="str">
        <f>IF(ISBLANK('Apollo Dock Status'!A10),"",'Apollo Dock Status'!A10)</f>
        <v/>
      </c>
      <c r="B10" s="1" t="str">
        <f>IF(ISBLANK('Apollo Dock Status'!B10),"",'Apollo Dock Status'!B10)</f>
        <v/>
      </c>
      <c r="C10" s="1" t="str">
        <f>IF(ISBLANK('Apollo Dock Status'!C10),"",'Apollo Dock Status'!C10)</f>
        <v/>
      </c>
      <c r="D10" s="1" t="str">
        <f>IF(ISBLANK('Apollo Dock Status'!D10),"",'Apollo Dock Status'!D10)</f>
        <v/>
      </c>
      <c r="E10" s="1" t="str">
        <f>IF(ISBLANK('Apollo Dock Status'!E10),"",'Apollo Dock Status'!E10)</f>
        <v/>
      </c>
      <c r="F10" s="1" t="str">
        <f>IF(ISBLANK('Apollo Dock Status'!F10),"",'Apollo Dock Status'!F10)</f>
        <v/>
      </c>
      <c r="G10" s="1" t="str">
        <f>IF(ISBLANK('Apollo Dock Status'!G10),"",'Apollo Dock Status'!G10)</f>
        <v/>
      </c>
      <c r="H10" s="1" t="str">
        <f>IF(ISBLANK('Apollo Dock Status'!H10),"",'Apollo Dock Status'!H10)</f>
        <v/>
      </c>
      <c r="I10" s="1" t="str">
        <f>IF(ISBLANK('Apollo Dock Status'!I10),"",'Apollo Dock Status'!I10)</f>
        <v/>
      </c>
      <c r="J10" s="1" t="str">
        <f>IF(ISBLANK('Apollo Dock Status'!J10),"",'Apollo Dock Status'!J10)</f>
        <v/>
      </c>
      <c r="K10" s="1" t="str">
        <f>IF(ISBLANK('Apollo Dock Status'!K10),"",'Apollo Dock Status'!K10)</f>
        <v/>
      </c>
      <c r="L10" s="1" t="str">
        <f>IF(ISBLANK('Apollo Dock Status'!L10),"",'Apollo Dock Status'!L10)</f>
        <v/>
      </c>
      <c r="M10" s="1" t="str">
        <f>IF(ISBLANK('Apollo Dock Status'!M10),"",'Apollo Dock Status'!M10)</f>
        <v/>
      </c>
      <c r="N10" s="1" t="str">
        <f>IF(ISBLANK('Apollo Dock Status'!N10),"",'Apollo Dock Status'!N10)</f>
        <v/>
      </c>
      <c r="O10" s="1" t="str">
        <f t="shared" si="12"/>
        <v/>
      </c>
      <c r="P10" s="1" t="str">
        <f t="shared" si="13"/>
        <v/>
      </c>
      <c r="Q10" s="1" t="str">
        <f t="shared" si="14"/>
        <v/>
      </c>
      <c r="R10" s="1" t="str">
        <f t="shared" si="15"/>
        <v/>
      </c>
      <c r="S10" s="11" t="str">
        <f t="shared" si="16"/>
        <v/>
      </c>
      <c r="T10" s="1" t="str">
        <f t="shared" si="17"/>
        <v/>
      </c>
      <c r="U10" s="11" t="str">
        <f t="shared" si="18"/>
        <v/>
      </c>
      <c r="V10" s="11" t="str">
        <f t="shared" si="19"/>
        <v/>
      </c>
      <c r="X10" s="1" t="str">
        <f t="shared" si="20"/>
        <v/>
      </c>
      <c r="Y10" s="1" t="str">
        <f t="shared" si="21"/>
        <v/>
      </c>
      <c r="Z10" s="1" t="str">
        <f t="shared" si="22"/>
        <v/>
      </c>
      <c r="AB10" s="13">
        <f t="shared" ca="1" si="23"/>
        <v>46176</v>
      </c>
      <c r="AC10" s="1">
        <f t="shared" ca="1" si="24"/>
        <v>2026</v>
      </c>
      <c r="AD10" s="1" t="str">
        <f t="shared" ca="1" si="25"/>
        <v>6</v>
      </c>
      <c r="AE10" s="1">
        <f t="shared" si="26"/>
        <v>1</v>
      </c>
      <c r="AF10" s="1" t="str">
        <f t="shared" si="27"/>
        <v/>
      </c>
      <c r="AG10" s="1">
        <f t="shared" ca="1" si="28"/>
        <v>2026</v>
      </c>
      <c r="AH10" s="1">
        <f t="shared" si="29"/>
        <v>1</v>
      </c>
      <c r="AI10" s="1" t="str">
        <f t="shared" ca="1" si="30"/>
        <v>6</v>
      </c>
      <c r="AJ10" s="13" t="e">
        <f t="shared" ca="1" si="31"/>
        <v>#VALUE!</v>
      </c>
      <c r="AK10" s="1" t="e">
        <f>IF(ISBLANK(A10),"",IFERROR(MID(F10,SEARCH(", ",F10)+LEN(", "),SEARCH(" "&amp;'Exception Stores'!$A$2,F10)-SEARCH(", ",F10)-LEN(", ")),MID(F10,SEARCH(", ",F10)+LEN(", "),SEARCH(" "&amp;'Exception Stores'!$B$2,F10)-SEARCH(", ",F10)-LEN(", "))))</f>
        <v>#VALUE!</v>
      </c>
      <c r="AL10" s="1" t="e">
        <f t="shared" si="32"/>
        <v>#VALUE!</v>
      </c>
      <c r="AM10" s="15" t="e">
        <f t="shared" ca="1" si="33"/>
        <v>#VALUE!</v>
      </c>
      <c r="AN10" s="24" t="e">
        <f t="shared" ca="1" si="34"/>
        <v>#VALUE!</v>
      </c>
      <c r="AO10" s="1" t="e">
        <f t="shared" ca="1" si="35"/>
        <v>#VALUE!</v>
      </c>
      <c r="AP10" s="13" t="e">
        <f t="shared" ca="1" si="36"/>
        <v>#VALUE!</v>
      </c>
      <c r="AQ10" s="17" t="e">
        <f t="shared" ca="1" si="37"/>
        <v>#VALUE!</v>
      </c>
      <c r="AS10" s="15" t="e">
        <f t="shared" ca="1" si="38"/>
        <v>#VALUE!</v>
      </c>
      <c r="AT10" s="5">
        <f>'Exception Stores'!$D$2</f>
        <v>0.125</v>
      </c>
      <c r="AU10" s="15" t="e">
        <f t="shared" ca="1" si="39"/>
        <v>#VALUE!</v>
      </c>
      <c r="AV10" s="15" t="e">
        <f t="shared" ca="1" si="40"/>
        <v>#VALUE!</v>
      </c>
      <c r="AW10" s="15" t="e">
        <f t="shared" ca="1" si="41"/>
        <v>#VALUE!</v>
      </c>
      <c r="AX10" s="15" t="e">
        <f t="shared" ca="1" si="42"/>
        <v>#VALUE!</v>
      </c>
      <c r="AY10" s="15" t="e">
        <f t="shared" ca="1" si="43"/>
        <v>#VALUE!</v>
      </c>
      <c r="AZ10" s="1" t="e">
        <f t="shared" ca="1" si="44"/>
        <v>#VALUE!</v>
      </c>
      <c r="BA10" s="15" t="e">
        <f t="shared" ca="1" si="45"/>
        <v>#VALUE!</v>
      </c>
      <c r="BB10" s="15" t="e">
        <f t="shared" ca="1" si="46"/>
        <v>#VALUE!</v>
      </c>
      <c r="BC10" s="1" t="e">
        <f t="shared" ca="1" si="47"/>
        <v>#VALUE!</v>
      </c>
      <c r="BE10" s="15" t="str">
        <f>IF(ISBLANK('Exception Stores'!$A$6),"",'Exception Stores'!$A$6)</f>
        <v/>
      </c>
      <c r="BF10" s="15" t="str">
        <f>IF(ISBLANK('Exception Stores'!$B$6),"",'Exception Stores'!$B$6)</f>
        <v/>
      </c>
      <c r="BG10" s="1">
        <f>IF(ISBLANK('Exception Stores'!$A$6),0,IF($AN$2&gt;$BF$2,($AN$2-$BF$2)*24,0))</f>
        <v>0</v>
      </c>
      <c r="BH10" s="11">
        <f>IF(ISBLANK('Exception Stores'!$A$6),0,($BF$2-$BE$2)*24)</f>
        <v>0</v>
      </c>
      <c r="BI1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0" s="1">
        <f>IF(ISBLANK('Exception Stores'!$A$6),0,IF($AN$2&gt;$BF$2,0,IF(AND($AN$2&lt;$BF$2,$BT$2="B"),(($BF$2-$AN$2)*24)-$BS$2,($BF$2-$AN$2)*24)))</f>
        <v>0</v>
      </c>
      <c r="BL10" s="5"/>
      <c r="BM10" s="5"/>
      <c r="BN10" s="5"/>
      <c r="BO10" s="5"/>
      <c r="BP10" s="5"/>
      <c r="BV10" s="1" t="e">
        <f t="shared" ca="1" si="48"/>
        <v>#VALUE!</v>
      </c>
      <c r="BW10" s="1" t="e">
        <f t="shared" ca="1" si="49"/>
        <v>#VALUE!</v>
      </c>
      <c r="BX10" s="1" t="e">
        <f t="shared" ca="1" si="50"/>
        <v>#VALUE!</v>
      </c>
      <c r="BY10" s="1" t="e">
        <f t="shared" ca="1" si="51"/>
        <v>#VALUE!</v>
      </c>
      <c r="BZ10" s="1" t="e">
        <f t="shared" ca="1" si="52"/>
        <v>#VALUE!</v>
      </c>
      <c r="CB10" s="1" t="str">
        <f>IF(ISBLANK('Exception Stores'!$A$6),"",WEEKDAY($BF$2))</f>
        <v/>
      </c>
      <c r="CC10" s="1" t="str">
        <f>IF(ISBLANK('Exception Stores'!$A$6),"NO",IF('Exception Stores'!$A$6&lt;$AU$2,"YES","NO"))</f>
        <v>NO</v>
      </c>
      <c r="CD10" s="1" t="str">
        <f>IF(ISBLANK('Exception Stores'!$A$6),"NO",IF('Exception Stores'!$A$6&lt;$AV$2,"YES","NO"))</f>
        <v>NO</v>
      </c>
      <c r="CE10" s="1" t="str">
        <f>IF(ISBLANK('Exception Stores'!$A$6),"NO",IF('Exception Stores'!$A$6&lt;$AW$2,"YES","NO"))</f>
        <v>NO</v>
      </c>
      <c r="CF10" s="1" t="str">
        <f>IF(ISBLANK('Exception Stores'!$A$6),"NO",IF('Exception Stores'!$A$6&lt;$AX$2,"YES","NO"))</f>
        <v>NO</v>
      </c>
      <c r="CG10" s="1" t="str">
        <f>IF(ISBLANK('Exception Stores'!$A$6),"NO",IF('Exception Stores'!$A$6&lt;$AY$2,"YES","NO"))</f>
        <v>NO</v>
      </c>
      <c r="CI10" s="42" t="str">
        <f>IF(ISBLANK('Exception Stores'!$B$6),"NO",IF('Exception Stores'!$B$6&lt;=$AU$2,"YES","NO"))</f>
        <v>NO</v>
      </c>
      <c r="CJ10" s="42" t="str">
        <f>IF(ISBLANK('Exception Stores'!$B$6),"NO",IF('Exception Stores'!$B$6&lt;=$AV$2,"YES","NO"))</f>
        <v>NO</v>
      </c>
      <c r="CK10" s="1" t="str">
        <f>IF(ISBLANK('Exception Stores'!$B$6),"NO",IF('Exception Stores'!$B$6&lt;=$AW$2,"YES","NO"))</f>
        <v>NO</v>
      </c>
      <c r="CL10" s="1" t="str">
        <f>IF(ISBLANK('Exception Stores'!$B$6),"NO",IF('Exception Stores'!$B$6&lt;=$AX$2,"YES","NO"))</f>
        <v>NO</v>
      </c>
      <c r="CM10" s="1" t="str">
        <f>IF(ISBLANK('Exception Stores'!$B$6),"NO",IF('Exception Stores'!$B$6&lt;=$AY$2,"YES","NO"))</f>
        <v>NO</v>
      </c>
      <c r="CO10" s="1" t="e">
        <f ca="1">IF(AM10&lt;'Exception Stores'!$A$6,"YES","NO")</f>
        <v>#VALUE!</v>
      </c>
      <c r="CP10" s="1">
        <f t="shared" si="53"/>
        <v>0</v>
      </c>
      <c r="CQ10" s="1">
        <f t="shared" si="54"/>
        <v>0</v>
      </c>
      <c r="CR10" s="1">
        <f t="shared" si="55"/>
        <v>0</v>
      </c>
      <c r="CS10" s="1">
        <f t="shared" si="56"/>
        <v>0</v>
      </c>
      <c r="CT10" s="1">
        <f t="shared" si="57"/>
        <v>0</v>
      </c>
      <c r="CU10" s="1">
        <f t="shared" si="58"/>
        <v>0</v>
      </c>
      <c r="CW10" s="1" t="e">
        <f t="shared" ca="1" si="59"/>
        <v>#VALUE!</v>
      </c>
      <c r="CX10" s="1" t="e">
        <f t="shared" ca="1" si="0"/>
        <v>#VALUE!</v>
      </c>
      <c r="CY10" s="1" t="e">
        <f t="shared" ca="1" si="1"/>
        <v>#VALUE!</v>
      </c>
      <c r="CZ10" s="1" t="e">
        <f t="shared" ca="1" si="2"/>
        <v>#VALUE!</v>
      </c>
      <c r="DA10" s="1" t="e">
        <f t="shared" ca="1" si="3"/>
        <v>#VALUE!</v>
      </c>
      <c r="DB10" s="26" t="e">
        <f t="shared" ca="1" si="60"/>
        <v>#VALUE!</v>
      </c>
      <c r="DC10" s="1">
        <f t="shared" si="4"/>
        <v>0</v>
      </c>
      <c r="DD10" s="1">
        <f t="shared" si="5"/>
        <v>0</v>
      </c>
      <c r="DE10" s="1">
        <f t="shared" si="6"/>
        <v>0</v>
      </c>
      <c r="DF10" s="1">
        <f t="shared" si="7"/>
        <v>0</v>
      </c>
      <c r="DG10" s="1">
        <f t="shared" si="8"/>
        <v>0</v>
      </c>
      <c r="DH10" s="26">
        <f t="shared" si="61"/>
        <v>0</v>
      </c>
      <c r="DI10" s="1" t="e">
        <f t="shared" ca="1" si="62"/>
        <v>#VALUE!</v>
      </c>
      <c r="DK10" s="11" t="str">
        <f t="shared" si="9"/>
        <v/>
      </c>
      <c r="DL10" s="11" t="e">
        <f ca="1">IF(AND(NOT(ISBLANK('Exception Stores'!$A$6)),CO10="YES"),S10-$BH$2-(DI10*$BS$2)-(CU10*$BS$2),S10-(DB10*$BS$2))</f>
        <v>#VALUE!</v>
      </c>
      <c r="DM10" s="11" t="str">
        <f>IF(ISBLANK(A10),"",IF(COUNTIF(Remaps!$A$2:$A$200,B10)&gt;0,"YES",""))</f>
        <v>YES</v>
      </c>
      <c r="DN10" s="29">
        <f>IFERROR(INDEX(Remaps!$B$2:$B$200,MATCH(B10,Remaps!$A$2:$A$200,0),1),0)</f>
        <v>0</v>
      </c>
      <c r="DO10" s="11" t="e">
        <f t="shared" ca="1" si="10"/>
        <v>#VALUE!</v>
      </c>
      <c r="DP10" s="29" t="e">
        <f t="shared" si="11"/>
        <v>#VALUE!</v>
      </c>
      <c r="DQ10" s="11" t="e">
        <f ca="1">('Apollo Dock Status'!$Z$1-DP10)/DO10</f>
        <v>#VALUE!</v>
      </c>
      <c r="DR10" s="15" t="e">
        <f t="shared" ca="1" si="63"/>
        <v>#VALUE!</v>
      </c>
    </row>
    <row r="11" spans="1:122">
      <c r="A11" s="1" t="str">
        <f>IF(ISBLANK('Apollo Dock Status'!A11),"",'Apollo Dock Status'!A11)</f>
        <v/>
      </c>
      <c r="B11" s="1" t="str">
        <f>IF(ISBLANK('Apollo Dock Status'!B11),"",'Apollo Dock Status'!B11)</f>
        <v/>
      </c>
      <c r="C11" s="1" t="str">
        <f>IF(ISBLANK('Apollo Dock Status'!C11),"",'Apollo Dock Status'!C11)</f>
        <v/>
      </c>
      <c r="D11" s="1" t="str">
        <f>IF(ISBLANK('Apollo Dock Status'!D11),"",'Apollo Dock Status'!D11)</f>
        <v/>
      </c>
      <c r="E11" s="1" t="str">
        <f>IF(ISBLANK('Apollo Dock Status'!E11),"",'Apollo Dock Status'!E11)</f>
        <v/>
      </c>
      <c r="F11" s="1" t="str">
        <f>IF(ISBLANK('Apollo Dock Status'!F11),"",'Apollo Dock Status'!F11)</f>
        <v/>
      </c>
      <c r="G11" s="1" t="str">
        <f>IF(ISBLANK('Apollo Dock Status'!G11),"",'Apollo Dock Status'!G11)</f>
        <v/>
      </c>
      <c r="H11" s="1" t="str">
        <f>IF(ISBLANK('Apollo Dock Status'!H11),"",'Apollo Dock Status'!H11)</f>
        <v/>
      </c>
      <c r="I11" s="1" t="str">
        <f>IF(ISBLANK('Apollo Dock Status'!I11),"",'Apollo Dock Status'!I11)</f>
        <v/>
      </c>
      <c r="J11" s="1" t="str">
        <f>IF(ISBLANK('Apollo Dock Status'!J11),"",'Apollo Dock Status'!J11)</f>
        <v/>
      </c>
      <c r="K11" s="1" t="str">
        <f>IF(ISBLANK('Apollo Dock Status'!K11),"",'Apollo Dock Status'!K11)</f>
        <v/>
      </c>
      <c r="L11" s="1" t="str">
        <f>IF(ISBLANK('Apollo Dock Status'!L11),"",'Apollo Dock Status'!L11)</f>
        <v/>
      </c>
      <c r="M11" s="1" t="str">
        <f>IF(ISBLANK('Apollo Dock Status'!M11),"",'Apollo Dock Status'!M11)</f>
        <v/>
      </c>
      <c r="N11" s="1" t="str">
        <f>IF(ISBLANK('Apollo Dock Status'!N11),"",'Apollo Dock Status'!N11)</f>
        <v/>
      </c>
      <c r="O11" s="1" t="str">
        <f t="shared" si="12"/>
        <v/>
      </c>
      <c r="P11" s="1" t="str">
        <f t="shared" si="13"/>
        <v/>
      </c>
      <c r="Q11" s="1" t="str">
        <f t="shared" si="14"/>
        <v/>
      </c>
      <c r="R11" s="1" t="str">
        <f t="shared" si="15"/>
        <v/>
      </c>
      <c r="S11" s="11" t="str">
        <f t="shared" si="16"/>
        <v/>
      </c>
      <c r="T11" s="1" t="str">
        <f t="shared" si="17"/>
        <v/>
      </c>
      <c r="U11" s="11" t="str">
        <f t="shared" si="18"/>
        <v/>
      </c>
      <c r="V11" s="11" t="str">
        <f t="shared" si="19"/>
        <v/>
      </c>
      <c r="X11" s="1" t="str">
        <f t="shared" si="20"/>
        <v/>
      </c>
      <c r="Y11" s="1" t="str">
        <f t="shared" si="21"/>
        <v/>
      </c>
      <c r="Z11" s="1" t="str">
        <f t="shared" si="22"/>
        <v/>
      </c>
      <c r="AB11" s="13">
        <f t="shared" ca="1" si="23"/>
        <v>46176</v>
      </c>
      <c r="AC11" s="1">
        <f t="shared" ca="1" si="24"/>
        <v>2026</v>
      </c>
      <c r="AD11" s="1" t="str">
        <f t="shared" ca="1" si="25"/>
        <v>6</v>
      </c>
      <c r="AE11" s="1">
        <f t="shared" si="26"/>
        <v>1</v>
      </c>
      <c r="AF11" s="1" t="str">
        <f t="shared" si="27"/>
        <v/>
      </c>
      <c r="AG11" s="1">
        <f t="shared" ca="1" si="28"/>
        <v>2026</v>
      </c>
      <c r="AH11" s="1">
        <f t="shared" si="29"/>
        <v>1</v>
      </c>
      <c r="AI11" s="1" t="str">
        <f t="shared" ca="1" si="30"/>
        <v>6</v>
      </c>
      <c r="AJ11" s="13" t="e">
        <f t="shared" ca="1" si="31"/>
        <v>#VALUE!</v>
      </c>
      <c r="AK11" s="1" t="e">
        <f>IF(ISBLANK(A11),"",IFERROR(MID(F11,SEARCH(", ",F11)+LEN(", "),SEARCH(" "&amp;'Exception Stores'!$A$2,F11)-SEARCH(", ",F11)-LEN(", ")),MID(F11,SEARCH(", ",F11)+LEN(", "),SEARCH(" "&amp;'Exception Stores'!$B$2,F11)-SEARCH(", ",F11)-LEN(", "))))</f>
        <v>#VALUE!</v>
      </c>
      <c r="AL11" s="1" t="e">
        <f t="shared" si="32"/>
        <v>#VALUE!</v>
      </c>
      <c r="AM11" s="15" t="e">
        <f t="shared" ca="1" si="33"/>
        <v>#VALUE!</v>
      </c>
      <c r="AN11" s="24" t="e">
        <f t="shared" ca="1" si="34"/>
        <v>#VALUE!</v>
      </c>
      <c r="AO11" s="1" t="e">
        <f t="shared" ca="1" si="35"/>
        <v>#VALUE!</v>
      </c>
      <c r="AP11" s="13" t="e">
        <f t="shared" ca="1" si="36"/>
        <v>#VALUE!</v>
      </c>
      <c r="AQ11" s="17" t="e">
        <f t="shared" ca="1" si="37"/>
        <v>#VALUE!</v>
      </c>
      <c r="AS11" s="15" t="e">
        <f t="shared" ca="1" si="38"/>
        <v>#VALUE!</v>
      </c>
      <c r="AT11" s="5">
        <f>'Exception Stores'!$D$2</f>
        <v>0.125</v>
      </c>
      <c r="AU11" s="15" t="e">
        <f t="shared" ca="1" si="39"/>
        <v>#VALUE!</v>
      </c>
      <c r="AV11" s="15" t="e">
        <f t="shared" ca="1" si="40"/>
        <v>#VALUE!</v>
      </c>
      <c r="AW11" s="15" t="e">
        <f t="shared" ca="1" si="41"/>
        <v>#VALUE!</v>
      </c>
      <c r="AX11" s="15" t="e">
        <f t="shared" ca="1" si="42"/>
        <v>#VALUE!</v>
      </c>
      <c r="AY11" s="15" t="e">
        <f t="shared" ca="1" si="43"/>
        <v>#VALUE!</v>
      </c>
      <c r="AZ11" s="1" t="e">
        <f t="shared" ca="1" si="44"/>
        <v>#VALUE!</v>
      </c>
      <c r="BA11" s="15" t="e">
        <f t="shared" ca="1" si="45"/>
        <v>#VALUE!</v>
      </c>
      <c r="BB11" s="15" t="e">
        <f t="shared" ca="1" si="46"/>
        <v>#VALUE!</v>
      </c>
      <c r="BC11" s="1" t="e">
        <f t="shared" ca="1" si="47"/>
        <v>#VALUE!</v>
      </c>
      <c r="BE11" s="15" t="str">
        <f>IF(ISBLANK('Exception Stores'!$A$6),"",'Exception Stores'!$A$6)</f>
        <v/>
      </c>
      <c r="BF11" s="15" t="str">
        <f>IF(ISBLANK('Exception Stores'!$B$6),"",'Exception Stores'!$B$6)</f>
        <v/>
      </c>
      <c r="BG11" s="1">
        <f>IF(ISBLANK('Exception Stores'!$A$6),0,IF($AN$2&gt;$BF$2,($AN$2-$BF$2)*24,0))</f>
        <v>0</v>
      </c>
      <c r="BH11" s="11">
        <f>IF(ISBLANK('Exception Stores'!$A$6),0,($BF$2-$BE$2)*24)</f>
        <v>0</v>
      </c>
      <c r="BI1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1" s="1">
        <f>IF(ISBLANK('Exception Stores'!$A$6),0,IF($AN$2&gt;$BF$2,0,IF(AND($AN$2&lt;$BF$2,$BT$2="B"),(($BF$2-$AN$2)*24)-$BS$2,($BF$2-$AN$2)*24)))</f>
        <v>0</v>
      </c>
      <c r="BL11" s="5"/>
      <c r="BM11" s="5"/>
      <c r="BN11" s="5"/>
      <c r="BO11" s="5"/>
      <c r="BP11" s="5"/>
      <c r="BV11" s="1" t="e">
        <f t="shared" ca="1" si="48"/>
        <v>#VALUE!</v>
      </c>
      <c r="BW11" s="1" t="e">
        <f t="shared" ca="1" si="49"/>
        <v>#VALUE!</v>
      </c>
      <c r="BX11" s="1" t="e">
        <f t="shared" ca="1" si="50"/>
        <v>#VALUE!</v>
      </c>
      <c r="BY11" s="1" t="e">
        <f t="shared" ca="1" si="51"/>
        <v>#VALUE!</v>
      </c>
      <c r="BZ11" s="1" t="e">
        <f t="shared" ca="1" si="52"/>
        <v>#VALUE!</v>
      </c>
      <c r="CB11" s="1" t="str">
        <f>IF(ISBLANK('Exception Stores'!$A$6),"",WEEKDAY($BF$2))</f>
        <v/>
      </c>
      <c r="CC11" s="1" t="str">
        <f>IF(ISBLANK('Exception Stores'!$A$6),"NO",IF('Exception Stores'!$A$6&lt;$AU$2,"YES","NO"))</f>
        <v>NO</v>
      </c>
      <c r="CD11" s="1" t="str">
        <f>IF(ISBLANK('Exception Stores'!$A$6),"NO",IF('Exception Stores'!$A$6&lt;$AV$2,"YES","NO"))</f>
        <v>NO</v>
      </c>
      <c r="CE11" s="1" t="str">
        <f>IF(ISBLANK('Exception Stores'!$A$6),"NO",IF('Exception Stores'!$A$6&lt;$AW$2,"YES","NO"))</f>
        <v>NO</v>
      </c>
      <c r="CF11" s="1" t="str">
        <f>IF(ISBLANK('Exception Stores'!$A$6),"NO",IF('Exception Stores'!$A$6&lt;$AX$2,"YES","NO"))</f>
        <v>NO</v>
      </c>
      <c r="CG11" s="1" t="str">
        <f>IF(ISBLANK('Exception Stores'!$A$6),"NO",IF('Exception Stores'!$A$6&lt;$AY$2,"YES","NO"))</f>
        <v>NO</v>
      </c>
      <c r="CI11" s="42" t="str">
        <f>IF(ISBLANK('Exception Stores'!$B$6),"NO",IF('Exception Stores'!$B$6&lt;=$AU$2,"YES","NO"))</f>
        <v>NO</v>
      </c>
      <c r="CJ11" s="42" t="str">
        <f>IF(ISBLANK('Exception Stores'!$B$6),"NO",IF('Exception Stores'!$B$6&lt;=$AV$2,"YES","NO"))</f>
        <v>NO</v>
      </c>
      <c r="CK11" s="1" t="str">
        <f>IF(ISBLANK('Exception Stores'!$B$6),"NO",IF('Exception Stores'!$B$6&lt;=$AW$2,"YES","NO"))</f>
        <v>NO</v>
      </c>
      <c r="CL11" s="1" t="str">
        <f>IF(ISBLANK('Exception Stores'!$B$6),"NO",IF('Exception Stores'!$B$6&lt;=$AX$2,"YES","NO"))</f>
        <v>NO</v>
      </c>
      <c r="CM11" s="1" t="str">
        <f>IF(ISBLANK('Exception Stores'!$B$6),"NO",IF('Exception Stores'!$B$6&lt;=$AY$2,"YES","NO"))</f>
        <v>NO</v>
      </c>
      <c r="CO11" s="1" t="e">
        <f ca="1">IF(AM11&lt;'Exception Stores'!$A$6,"YES","NO")</f>
        <v>#VALUE!</v>
      </c>
      <c r="CP11" s="1">
        <f t="shared" si="53"/>
        <v>0</v>
      </c>
      <c r="CQ11" s="1">
        <f t="shared" si="54"/>
        <v>0</v>
      </c>
      <c r="CR11" s="1">
        <f t="shared" si="55"/>
        <v>0</v>
      </c>
      <c r="CS11" s="1">
        <f t="shared" si="56"/>
        <v>0</v>
      </c>
      <c r="CT11" s="1">
        <f t="shared" si="57"/>
        <v>0</v>
      </c>
      <c r="CU11" s="1">
        <f t="shared" si="58"/>
        <v>0</v>
      </c>
      <c r="CW11" s="1" t="e">
        <f t="shared" ca="1" si="59"/>
        <v>#VALUE!</v>
      </c>
      <c r="CX11" s="1" t="e">
        <f t="shared" ca="1" si="0"/>
        <v>#VALUE!</v>
      </c>
      <c r="CY11" s="1" t="e">
        <f t="shared" ca="1" si="1"/>
        <v>#VALUE!</v>
      </c>
      <c r="CZ11" s="1" t="e">
        <f t="shared" ca="1" si="2"/>
        <v>#VALUE!</v>
      </c>
      <c r="DA11" s="1" t="e">
        <f t="shared" ca="1" si="3"/>
        <v>#VALUE!</v>
      </c>
      <c r="DB11" s="26" t="e">
        <f t="shared" ca="1" si="60"/>
        <v>#VALUE!</v>
      </c>
      <c r="DC11" s="1">
        <f t="shared" si="4"/>
        <v>0</v>
      </c>
      <c r="DD11" s="1">
        <f t="shared" si="5"/>
        <v>0</v>
      </c>
      <c r="DE11" s="1">
        <f t="shared" si="6"/>
        <v>0</v>
      </c>
      <c r="DF11" s="1">
        <f t="shared" si="7"/>
        <v>0</v>
      </c>
      <c r="DG11" s="1">
        <f t="shared" si="8"/>
        <v>0</v>
      </c>
      <c r="DH11" s="26">
        <f t="shared" si="61"/>
        <v>0</v>
      </c>
      <c r="DI11" s="1" t="e">
        <f t="shared" ca="1" si="62"/>
        <v>#VALUE!</v>
      </c>
      <c r="DK11" s="11" t="str">
        <f t="shared" si="9"/>
        <v/>
      </c>
      <c r="DL11" s="11" t="e">
        <f ca="1">IF(AND(NOT(ISBLANK('Exception Stores'!$A$6)),CO11="YES"),S11-$BH$2-(DI11*$BS$2)-(CU11*$BS$2),S11-(DB11*$BS$2))</f>
        <v>#VALUE!</v>
      </c>
      <c r="DM11" s="11" t="str">
        <f>IF(ISBLANK(A11),"",IF(COUNTIF(Remaps!$A$2:$A$200,B11)&gt;0,"YES",""))</f>
        <v>YES</v>
      </c>
      <c r="DN11" s="29">
        <f>IFERROR(INDEX(Remaps!$B$2:$B$200,MATCH(B11,Remaps!$A$2:$A$200,0),1),0)</f>
        <v>0</v>
      </c>
      <c r="DO11" s="11" t="e">
        <f t="shared" ca="1" si="10"/>
        <v>#VALUE!</v>
      </c>
      <c r="DP11" s="29" t="e">
        <f t="shared" si="11"/>
        <v>#VALUE!</v>
      </c>
      <c r="DQ11" s="11" t="e">
        <f ca="1">('Apollo Dock Status'!$Z$1-DP11)/DO11</f>
        <v>#VALUE!</v>
      </c>
      <c r="DR11" s="15" t="e">
        <f t="shared" ca="1" si="63"/>
        <v>#VALUE!</v>
      </c>
    </row>
    <row r="12" spans="1:122">
      <c r="A12" s="1" t="str">
        <f>IF(ISBLANK('Apollo Dock Status'!A12),"",'Apollo Dock Status'!A12)</f>
        <v/>
      </c>
      <c r="B12" s="1" t="str">
        <f>IF(ISBLANK('Apollo Dock Status'!B12),"",'Apollo Dock Status'!B12)</f>
        <v/>
      </c>
      <c r="C12" s="1" t="str">
        <f>IF(ISBLANK('Apollo Dock Status'!C12),"",'Apollo Dock Status'!C12)</f>
        <v/>
      </c>
      <c r="D12" s="1" t="str">
        <f>IF(ISBLANK('Apollo Dock Status'!D12),"",'Apollo Dock Status'!D12)</f>
        <v/>
      </c>
      <c r="E12" s="1" t="str">
        <f>IF(ISBLANK('Apollo Dock Status'!E12),"",'Apollo Dock Status'!E12)</f>
        <v/>
      </c>
      <c r="F12" s="1" t="str">
        <f>IF(ISBLANK('Apollo Dock Status'!F12),"",'Apollo Dock Status'!F12)</f>
        <v/>
      </c>
      <c r="G12" s="1" t="str">
        <f>IF(ISBLANK('Apollo Dock Status'!G12),"",'Apollo Dock Status'!G12)</f>
        <v/>
      </c>
      <c r="H12" s="1" t="str">
        <f>IF(ISBLANK('Apollo Dock Status'!H12),"",'Apollo Dock Status'!H12)</f>
        <v/>
      </c>
      <c r="I12" s="1" t="str">
        <f>IF(ISBLANK('Apollo Dock Status'!I12),"",'Apollo Dock Status'!I12)</f>
        <v/>
      </c>
      <c r="J12" s="1" t="str">
        <f>IF(ISBLANK('Apollo Dock Status'!J12),"",'Apollo Dock Status'!J12)</f>
        <v/>
      </c>
      <c r="K12" s="1" t="str">
        <f>IF(ISBLANK('Apollo Dock Status'!K12),"",'Apollo Dock Status'!K12)</f>
        <v/>
      </c>
      <c r="L12" s="1" t="str">
        <f>IF(ISBLANK('Apollo Dock Status'!L12),"",'Apollo Dock Status'!L12)</f>
        <v/>
      </c>
      <c r="M12" s="1" t="str">
        <f>IF(ISBLANK('Apollo Dock Status'!M12),"",'Apollo Dock Status'!M12)</f>
        <v/>
      </c>
      <c r="N12" s="1" t="str">
        <f>IF(ISBLANK('Apollo Dock Status'!N12),"",'Apollo Dock Status'!N12)</f>
        <v/>
      </c>
      <c r="O12" s="1" t="str">
        <f t="shared" si="12"/>
        <v/>
      </c>
      <c r="P12" s="1" t="str">
        <f t="shared" si="13"/>
        <v/>
      </c>
      <c r="Q12" s="1" t="str">
        <f t="shared" si="14"/>
        <v/>
      </c>
      <c r="R12" s="1" t="str">
        <f t="shared" si="15"/>
        <v/>
      </c>
      <c r="S12" s="11" t="str">
        <f t="shared" si="16"/>
        <v/>
      </c>
      <c r="T12" s="1" t="str">
        <f t="shared" si="17"/>
        <v/>
      </c>
      <c r="U12" s="11" t="str">
        <f t="shared" si="18"/>
        <v/>
      </c>
      <c r="V12" s="11" t="str">
        <f t="shared" si="19"/>
        <v/>
      </c>
      <c r="X12" s="1" t="str">
        <f t="shared" si="20"/>
        <v/>
      </c>
      <c r="Y12" s="1" t="str">
        <f t="shared" si="21"/>
        <v/>
      </c>
      <c r="Z12" s="1" t="str">
        <f t="shared" si="22"/>
        <v/>
      </c>
      <c r="AB12" s="13">
        <f t="shared" ca="1" si="23"/>
        <v>46176</v>
      </c>
      <c r="AC12" s="1">
        <f t="shared" ca="1" si="24"/>
        <v>2026</v>
      </c>
      <c r="AD12" s="1" t="str">
        <f t="shared" ca="1" si="25"/>
        <v>6</v>
      </c>
      <c r="AE12" s="1">
        <f t="shared" si="26"/>
        <v>1</v>
      </c>
      <c r="AF12" s="1" t="str">
        <f t="shared" si="27"/>
        <v/>
      </c>
      <c r="AG12" s="1">
        <f t="shared" ca="1" si="28"/>
        <v>2026</v>
      </c>
      <c r="AH12" s="1">
        <f t="shared" si="29"/>
        <v>1</v>
      </c>
      <c r="AI12" s="1" t="str">
        <f t="shared" ca="1" si="30"/>
        <v>6</v>
      </c>
      <c r="AJ12" s="13" t="e">
        <f t="shared" ca="1" si="31"/>
        <v>#VALUE!</v>
      </c>
      <c r="AK12" s="1" t="e">
        <f>IF(ISBLANK(A12),"",IFERROR(MID(F12,SEARCH(", ",F12)+LEN(", "),SEARCH(" "&amp;'Exception Stores'!$A$2,F12)-SEARCH(", ",F12)-LEN(", ")),MID(F12,SEARCH(", ",F12)+LEN(", "),SEARCH(" "&amp;'Exception Stores'!$B$2,F12)-SEARCH(", ",F12)-LEN(", "))))</f>
        <v>#VALUE!</v>
      </c>
      <c r="AL12" s="1" t="e">
        <f t="shared" si="32"/>
        <v>#VALUE!</v>
      </c>
      <c r="AM12" s="15" t="e">
        <f t="shared" ca="1" si="33"/>
        <v>#VALUE!</v>
      </c>
      <c r="AN12" s="24" t="e">
        <f t="shared" ca="1" si="34"/>
        <v>#VALUE!</v>
      </c>
      <c r="AO12" s="1" t="e">
        <f t="shared" ca="1" si="35"/>
        <v>#VALUE!</v>
      </c>
      <c r="AP12" s="13" t="e">
        <f t="shared" ca="1" si="36"/>
        <v>#VALUE!</v>
      </c>
      <c r="AQ12" s="17" t="e">
        <f t="shared" ca="1" si="37"/>
        <v>#VALUE!</v>
      </c>
      <c r="AS12" s="15" t="e">
        <f t="shared" ca="1" si="38"/>
        <v>#VALUE!</v>
      </c>
      <c r="AT12" s="5">
        <f>'Exception Stores'!$D$2</f>
        <v>0.125</v>
      </c>
      <c r="AU12" s="15" t="e">
        <f t="shared" ca="1" si="39"/>
        <v>#VALUE!</v>
      </c>
      <c r="AV12" s="15" t="e">
        <f t="shared" ca="1" si="40"/>
        <v>#VALUE!</v>
      </c>
      <c r="AW12" s="15" t="e">
        <f t="shared" ca="1" si="41"/>
        <v>#VALUE!</v>
      </c>
      <c r="AX12" s="15" t="e">
        <f t="shared" ca="1" si="42"/>
        <v>#VALUE!</v>
      </c>
      <c r="AY12" s="15" t="e">
        <f t="shared" ca="1" si="43"/>
        <v>#VALUE!</v>
      </c>
      <c r="AZ12" s="1" t="e">
        <f t="shared" ca="1" si="44"/>
        <v>#VALUE!</v>
      </c>
      <c r="BA12" s="15" t="e">
        <f t="shared" ca="1" si="45"/>
        <v>#VALUE!</v>
      </c>
      <c r="BB12" s="15" t="e">
        <f t="shared" ca="1" si="46"/>
        <v>#VALUE!</v>
      </c>
      <c r="BC12" s="1" t="e">
        <f t="shared" ca="1" si="47"/>
        <v>#VALUE!</v>
      </c>
      <c r="BE12" s="15" t="str">
        <f>IF(ISBLANK('Exception Stores'!$A$6),"",'Exception Stores'!$A$6)</f>
        <v/>
      </c>
      <c r="BF12" s="15" t="str">
        <f>IF(ISBLANK('Exception Stores'!$B$6),"",'Exception Stores'!$B$6)</f>
        <v/>
      </c>
      <c r="BG12" s="1">
        <f>IF(ISBLANK('Exception Stores'!$A$6),0,IF($AN$2&gt;$BF$2,($AN$2-$BF$2)*24,0))</f>
        <v>0</v>
      </c>
      <c r="BH12" s="11">
        <f>IF(ISBLANK('Exception Stores'!$A$6),0,($BF$2-$BE$2)*24)</f>
        <v>0</v>
      </c>
      <c r="BI1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2" s="1">
        <f>IF(ISBLANK('Exception Stores'!$A$6),0,IF($AN$2&gt;$BF$2,0,IF(AND($AN$2&lt;$BF$2,$BT$2="B"),(($BF$2-$AN$2)*24)-$BS$2,($BF$2-$AN$2)*24)))</f>
        <v>0</v>
      </c>
      <c r="BL12" s="5"/>
      <c r="BM12" s="5"/>
      <c r="BN12" s="5"/>
      <c r="BO12" s="5"/>
      <c r="BP12" s="5"/>
      <c r="BV12" s="1" t="e">
        <f t="shared" ca="1" si="48"/>
        <v>#VALUE!</v>
      </c>
      <c r="BW12" s="1" t="e">
        <f t="shared" ca="1" si="49"/>
        <v>#VALUE!</v>
      </c>
      <c r="BX12" s="1" t="e">
        <f t="shared" ca="1" si="50"/>
        <v>#VALUE!</v>
      </c>
      <c r="BY12" s="1" t="e">
        <f t="shared" ca="1" si="51"/>
        <v>#VALUE!</v>
      </c>
      <c r="BZ12" s="1" t="e">
        <f t="shared" ca="1" si="52"/>
        <v>#VALUE!</v>
      </c>
      <c r="CB12" s="1" t="str">
        <f>IF(ISBLANK('Exception Stores'!$A$6),"",WEEKDAY($BF$2))</f>
        <v/>
      </c>
      <c r="CC12" s="1" t="str">
        <f>IF(ISBLANK('Exception Stores'!$A$6),"NO",IF('Exception Stores'!$A$6&lt;$AU$2,"YES","NO"))</f>
        <v>NO</v>
      </c>
      <c r="CD12" s="1" t="str">
        <f>IF(ISBLANK('Exception Stores'!$A$6),"NO",IF('Exception Stores'!$A$6&lt;$AV$2,"YES","NO"))</f>
        <v>NO</v>
      </c>
      <c r="CE12" s="1" t="str">
        <f>IF(ISBLANK('Exception Stores'!$A$6),"NO",IF('Exception Stores'!$A$6&lt;$AW$2,"YES","NO"))</f>
        <v>NO</v>
      </c>
      <c r="CF12" s="1" t="str">
        <f>IF(ISBLANK('Exception Stores'!$A$6),"NO",IF('Exception Stores'!$A$6&lt;$AX$2,"YES","NO"))</f>
        <v>NO</v>
      </c>
      <c r="CG12" s="1" t="str">
        <f>IF(ISBLANK('Exception Stores'!$A$6),"NO",IF('Exception Stores'!$A$6&lt;$AY$2,"YES","NO"))</f>
        <v>NO</v>
      </c>
      <c r="CI12" s="42" t="str">
        <f>IF(ISBLANK('Exception Stores'!$B$6),"NO",IF('Exception Stores'!$B$6&lt;=$AU$2,"YES","NO"))</f>
        <v>NO</v>
      </c>
      <c r="CJ12" s="42" t="str">
        <f>IF(ISBLANK('Exception Stores'!$B$6),"NO",IF('Exception Stores'!$B$6&lt;=$AV$2,"YES","NO"))</f>
        <v>NO</v>
      </c>
      <c r="CK12" s="1" t="str">
        <f>IF(ISBLANK('Exception Stores'!$B$6),"NO",IF('Exception Stores'!$B$6&lt;=$AW$2,"YES","NO"))</f>
        <v>NO</v>
      </c>
      <c r="CL12" s="1" t="str">
        <f>IF(ISBLANK('Exception Stores'!$B$6),"NO",IF('Exception Stores'!$B$6&lt;=$AX$2,"YES","NO"))</f>
        <v>NO</v>
      </c>
      <c r="CM12" s="1" t="str">
        <f>IF(ISBLANK('Exception Stores'!$B$6),"NO",IF('Exception Stores'!$B$6&lt;=$AY$2,"YES","NO"))</f>
        <v>NO</v>
      </c>
      <c r="CO12" s="1" t="e">
        <f ca="1">IF(AM12&lt;'Exception Stores'!$A$6,"YES","NO")</f>
        <v>#VALUE!</v>
      </c>
      <c r="CP12" s="1">
        <f t="shared" si="53"/>
        <v>0</v>
      </c>
      <c r="CQ12" s="1">
        <f t="shared" si="54"/>
        <v>0</v>
      </c>
      <c r="CR12" s="1">
        <f t="shared" si="55"/>
        <v>0</v>
      </c>
      <c r="CS12" s="1">
        <f t="shared" si="56"/>
        <v>0</v>
      </c>
      <c r="CT12" s="1">
        <f t="shared" si="57"/>
        <v>0</v>
      </c>
      <c r="CU12" s="1">
        <f t="shared" si="58"/>
        <v>0</v>
      </c>
      <c r="CW12" s="1" t="e">
        <f t="shared" ca="1" si="59"/>
        <v>#VALUE!</v>
      </c>
      <c r="CX12" s="1" t="e">
        <f t="shared" ca="1" si="0"/>
        <v>#VALUE!</v>
      </c>
      <c r="CY12" s="1" t="e">
        <f t="shared" ca="1" si="1"/>
        <v>#VALUE!</v>
      </c>
      <c r="CZ12" s="1" t="e">
        <f t="shared" ca="1" si="2"/>
        <v>#VALUE!</v>
      </c>
      <c r="DA12" s="1" t="e">
        <f t="shared" ca="1" si="3"/>
        <v>#VALUE!</v>
      </c>
      <c r="DB12" s="26" t="e">
        <f t="shared" ca="1" si="60"/>
        <v>#VALUE!</v>
      </c>
      <c r="DC12" s="1">
        <f t="shared" si="4"/>
        <v>0</v>
      </c>
      <c r="DD12" s="1">
        <f t="shared" si="5"/>
        <v>0</v>
      </c>
      <c r="DE12" s="1">
        <f t="shared" si="6"/>
        <v>0</v>
      </c>
      <c r="DF12" s="1">
        <f t="shared" si="7"/>
        <v>0</v>
      </c>
      <c r="DG12" s="1">
        <f t="shared" si="8"/>
        <v>0</v>
      </c>
      <c r="DH12" s="26">
        <f t="shared" si="61"/>
        <v>0</v>
      </c>
      <c r="DI12" s="1" t="e">
        <f t="shared" ca="1" si="62"/>
        <v>#VALUE!</v>
      </c>
      <c r="DK12" s="11" t="str">
        <f t="shared" si="9"/>
        <v/>
      </c>
      <c r="DL12" s="11" t="e">
        <f ca="1">IF(AND(NOT(ISBLANK('Exception Stores'!$A$6)),CO12="YES"),S12-$BH$2-(DI12*$BS$2)-(CU12*$BS$2),S12-(DB12*$BS$2))</f>
        <v>#VALUE!</v>
      </c>
      <c r="DM12" s="11" t="str">
        <f>IF(ISBLANK(A12),"",IF(COUNTIF(Remaps!$A$2:$A$200,B12)&gt;0,"YES",""))</f>
        <v>YES</v>
      </c>
      <c r="DN12" s="29">
        <f>IFERROR(INDEX(Remaps!$B$2:$B$200,MATCH(B12,Remaps!$A$2:$A$200,0),1),0)</f>
        <v>0</v>
      </c>
      <c r="DO12" s="11" t="e">
        <f t="shared" ca="1" si="10"/>
        <v>#VALUE!</v>
      </c>
      <c r="DP12" s="29" t="e">
        <f t="shared" si="11"/>
        <v>#VALUE!</v>
      </c>
      <c r="DQ12" s="11" t="e">
        <f ca="1">('Apollo Dock Status'!$Z$1-DP12)/DO12</f>
        <v>#VALUE!</v>
      </c>
      <c r="DR12" s="15" t="e">
        <f t="shared" ca="1" si="63"/>
        <v>#VALUE!</v>
      </c>
    </row>
    <row r="13" spans="1:122">
      <c r="A13" s="1" t="str">
        <f>IF(ISBLANK('Apollo Dock Status'!A13),"",'Apollo Dock Status'!A13)</f>
        <v/>
      </c>
      <c r="B13" s="1" t="str">
        <f>IF(ISBLANK('Apollo Dock Status'!B13),"",'Apollo Dock Status'!B13)</f>
        <v/>
      </c>
      <c r="C13" s="1" t="str">
        <f>IF(ISBLANK('Apollo Dock Status'!C13),"",'Apollo Dock Status'!C13)</f>
        <v/>
      </c>
      <c r="D13" s="1" t="str">
        <f>IF(ISBLANK('Apollo Dock Status'!D13),"",'Apollo Dock Status'!D13)</f>
        <v/>
      </c>
      <c r="E13" s="1" t="str">
        <f>IF(ISBLANK('Apollo Dock Status'!E13),"",'Apollo Dock Status'!E13)</f>
        <v/>
      </c>
      <c r="F13" s="1" t="str">
        <f>IF(ISBLANK('Apollo Dock Status'!F13),"",'Apollo Dock Status'!F13)</f>
        <v/>
      </c>
      <c r="G13" s="1" t="str">
        <f>IF(ISBLANK('Apollo Dock Status'!G13),"",'Apollo Dock Status'!G13)</f>
        <v/>
      </c>
      <c r="H13" s="1" t="str">
        <f>IF(ISBLANK('Apollo Dock Status'!H13),"",'Apollo Dock Status'!H13)</f>
        <v/>
      </c>
      <c r="I13" s="1" t="str">
        <f>IF(ISBLANK('Apollo Dock Status'!I13),"",'Apollo Dock Status'!I13)</f>
        <v/>
      </c>
      <c r="J13" s="1" t="str">
        <f>IF(ISBLANK('Apollo Dock Status'!J13),"",'Apollo Dock Status'!J13)</f>
        <v/>
      </c>
      <c r="K13" s="1" t="str">
        <f>IF(ISBLANK('Apollo Dock Status'!K13),"",'Apollo Dock Status'!K13)</f>
        <v/>
      </c>
      <c r="L13" s="1" t="str">
        <f>IF(ISBLANK('Apollo Dock Status'!L13),"",'Apollo Dock Status'!L13)</f>
        <v/>
      </c>
      <c r="M13" s="1" t="str">
        <f>IF(ISBLANK('Apollo Dock Status'!M13),"",'Apollo Dock Status'!M13)</f>
        <v/>
      </c>
      <c r="N13" s="1" t="str">
        <f>IF(ISBLANK('Apollo Dock Status'!N13),"",'Apollo Dock Status'!N13)</f>
        <v/>
      </c>
      <c r="O13" s="1" t="str">
        <f t="shared" si="12"/>
        <v/>
      </c>
      <c r="P13" s="1" t="str">
        <f t="shared" si="13"/>
        <v/>
      </c>
      <c r="Q13" s="1" t="str">
        <f t="shared" si="14"/>
        <v/>
      </c>
      <c r="R13" s="1" t="str">
        <f t="shared" si="15"/>
        <v/>
      </c>
      <c r="S13" s="11" t="str">
        <f t="shared" si="16"/>
        <v/>
      </c>
      <c r="T13" s="1" t="str">
        <f t="shared" si="17"/>
        <v/>
      </c>
      <c r="U13" s="11" t="str">
        <f t="shared" si="18"/>
        <v/>
      </c>
      <c r="V13" s="11" t="str">
        <f t="shared" si="19"/>
        <v/>
      </c>
      <c r="X13" s="1" t="str">
        <f t="shared" si="20"/>
        <v/>
      </c>
      <c r="Y13" s="1" t="str">
        <f t="shared" si="21"/>
        <v/>
      </c>
      <c r="Z13" s="1" t="str">
        <f t="shared" si="22"/>
        <v/>
      </c>
      <c r="AB13" s="13">
        <f t="shared" ca="1" si="23"/>
        <v>46176</v>
      </c>
      <c r="AC13" s="1">
        <f t="shared" ca="1" si="24"/>
        <v>2026</v>
      </c>
      <c r="AD13" s="1" t="str">
        <f t="shared" ca="1" si="25"/>
        <v>6</v>
      </c>
      <c r="AE13" s="1">
        <f t="shared" si="26"/>
        <v>1</v>
      </c>
      <c r="AF13" s="1" t="str">
        <f t="shared" si="27"/>
        <v/>
      </c>
      <c r="AG13" s="1">
        <f t="shared" ca="1" si="28"/>
        <v>2026</v>
      </c>
      <c r="AH13" s="1">
        <f t="shared" si="29"/>
        <v>1</v>
      </c>
      <c r="AI13" s="1" t="str">
        <f t="shared" ca="1" si="30"/>
        <v>6</v>
      </c>
      <c r="AJ13" s="13" t="e">
        <f t="shared" ca="1" si="31"/>
        <v>#VALUE!</v>
      </c>
      <c r="AK13" s="1" t="e">
        <f>IF(ISBLANK(A13),"",IFERROR(MID(F13,SEARCH(", ",F13)+LEN(", "),SEARCH(" "&amp;'Exception Stores'!$A$2,F13)-SEARCH(", ",F13)-LEN(", ")),MID(F13,SEARCH(", ",F13)+LEN(", "),SEARCH(" "&amp;'Exception Stores'!$B$2,F13)-SEARCH(", ",F13)-LEN(", "))))</f>
        <v>#VALUE!</v>
      </c>
      <c r="AL13" s="1" t="e">
        <f t="shared" si="32"/>
        <v>#VALUE!</v>
      </c>
      <c r="AM13" s="15" t="e">
        <f t="shared" ca="1" si="33"/>
        <v>#VALUE!</v>
      </c>
      <c r="AN13" s="24" t="e">
        <f t="shared" ca="1" si="34"/>
        <v>#VALUE!</v>
      </c>
      <c r="AO13" s="1" t="e">
        <f t="shared" ca="1" si="35"/>
        <v>#VALUE!</v>
      </c>
      <c r="AP13" s="13" t="e">
        <f t="shared" ca="1" si="36"/>
        <v>#VALUE!</v>
      </c>
      <c r="AQ13" s="17" t="e">
        <f t="shared" ca="1" si="37"/>
        <v>#VALUE!</v>
      </c>
      <c r="AS13" s="15" t="e">
        <f t="shared" ca="1" si="38"/>
        <v>#VALUE!</v>
      </c>
      <c r="AT13" s="5">
        <f>'Exception Stores'!$D$2</f>
        <v>0.125</v>
      </c>
      <c r="AU13" s="15" t="e">
        <f t="shared" ca="1" si="39"/>
        <v>#VALUE!</v>
      </c>
      <c r="AV13" s="15" t="e">
        <f t="shared" ca="1" si="40"/>
        <v>#VALUE!</v>
      </c>
      <c r="AW13" s="15" t="e">
        <f t="shared" ca="1" si="41"/>
        <v>#VALUE!</v>
      </c>
      <c r="AX13" s="15" t="e">
        <f t="shared" ca="1" si="42"/>
        <v>#VALUE!</v>
      </c>
      <c r="AY13" s="15" t="e">
        <f t="shared" ca="1" si="43"/>
        <v>#VALUE!</v>
      </c>
      <c r="AZ13" s="1" t="e">
        <f t="shared" ca="1" si="44"/>
        <v>#VALUE!</v>
      </c>
      <c r="BA13" s="15" t="e">
        <f t="shared" ca="1" si="45"/>
        <v>#VALUE!</v>
      </c>
      <c r="BB13" s="15" t="e">
        <f t="shared" ca="1" si="46"/>
        <v>#VALUE!</v>
      </c>
      <c r="BC13" s="1" t="e">
        <f t="shared" ca="1" si="47"/>
        <v>#VALUE!</v>
      </c>
      <c r="BE13" s="15" t="str">
        <f>IF(ISBLANK('Exception Stores'!$A$6),"",'Exception Stores'!$A$6)</f>
        <v/>
      </c>
      <c r="BF13" s="15" t="str">
        <f>IF(ISBLANK('Exception Stores'!$B$6),"",'Exception Stores'!$B$6)</f>
        <v/>
      </c>
      <c r="BG13" s="1">
        <f>IF(ISBLANK('Exception Stores'!$A$6),0,IF($AN$2&gt;$BF$2,($AN$2-$BF$2)*24,0))</f>
        <v>0</v>
      </c>
      <c r="BH13" s="11">
        <f>IF(ISBLANK('Exception Stores'!$A$6),0,($BF$2-$BE$2)*24)</f>
        <v>0</v>
      </c>
      <c r="BI1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3" s="1">
        <f>IF(ISBLANK('Exception Stores'!$A$6),0,IF($AN$2&gt;$BF$2,0,IF(AND($AN$2&lt;$BF$2,$BT$2="B"),(($BF$2-$AN$2)*24)-$BS$2,($BF$2-$AN$2)*24)))</f>
        <v>0</v>
      </c>
      <c r="BL13" s="5"/>
      <c r="BM13" s="5"/>
      <c r="BN13" s="5"/>
      <c r="BO13" s="5"/>
      <c r="BP13" s="5"/>
      <c r="BV13" s="1" t="e">
        <f t="shared" ca="1" si="48"/>
        <v>#VALUE!</v>
      </c>
      <c r="BW13" s="1" t="e">
        <f t="shared" ca="1" si="49"/>
        <v>#VALUE!</v>
      </c>
      <c r="BX13" s="1" t="e">
        <f t="shared" ca="1" si="50"/>
        <v>#VALUE!</v>
      </c>
      <c r="BY13" s="1" t="e">
        <f t="shared" ca="1" si="51"/>
        <v>#VALUE!</v>
      </c>
      <c r="BZ13" s="1" t="e">
        <f t="shared" ca="1" si="52"/>
        <v>#VALUE!</v>
      </c>
      <c r="CB13" s="1" t="str">
        <f>IF(ISBLANK('Exception Stores'!$A$6),"",WEEKDAY($BF$2))</f>
        <v/>
      </c>
      <c r="CC13" s="1" t="str">
        <f>IF(ISBLANK('Exception Stores'!$A$6),"NO",IF('Exception Stores'!$A$6&lt;$AU$2,"YES","NO"))</f>
        <v>NO</v>
      </c>
      <c r="CD13" s="1" t="str">
        <f>IF(ISBLANK('Exception Stores'!$A$6),"NO",IF('Exception Stores'!$A$6&lt;$AV$2,"YES","NO"))</f>
        <v>NO</v>
      </c>
      <c r="CE13" s="1" t="str">
        <f>IF(ISBLANK('Exception Stores'!$A$6),"NO",IF('Exception Stores'!$A$6&lt;$AW$2,"YES","NO"))</f>
        <v>NO</v>
      </c>
      <c r="CF13" s="1" t="str">
        <f>IF(ISBLANK('Exception Stores'!$A$6),"NO",IF('Exception Stores'!$A$6&lt;$AX$2,"YES","NO"))</f>
        <v>NO</v>
      </c>
      <c r="CG13" s="1" t="str">
        <f>IF(ISBLANK('Exception Stores'!$A$6),"NO",IF('Exception Stores'!$A$6&lt;$AY$2,"YES","NO"))</f>
        <v>NO</v>
      </c>
      <c r="CI13" s="42" t="str">
        <f>IF(ISBLANK('Exception Stores'!$B$6),"NO",IF('Exception Stores'!$B$6&lt;=$AU$2,"YES","NO"))</f>
        <v>NO</v>
      </c>
      <c r="CJ13" s="42" t="str">
        <f>IF(ISBLANK('Exception Stores'!$B$6),"NO",IF('Exception Stores'!$B$6&lt;=$AV$2,"YES","NO"))</f>
        <v>NO</v>
      </c>
      <c r="CK13" s="1" t="str">
        <f>IF(ISBLANK('Exception Stores'!$B$6),"NO",IF('Exception Stores'!$B$6&lt;=$AW$2,"YES","NO"))</f>
        <v>NO</v>
      </c>
      <c r="CL13" s="1" t="str">
        <f>IF(ISBLANK('Exception Stores'!$B$6),"NO",IF('Exception Stores'!$B$6&lt;=$AX$2,"YES","NO"))</f>
        <v>NO</v>
      </c>
      <c r="CM13" s="1" t="str">
        <f>IF(ISBLANK('Exception Stores'!$B$6),"NO",IF('Exception Stores'!$B$6&lt;=$AY$2,"YES","NO"))</f>
        <v>NO</v>
      </c>
      <c r="CO13" s="1" t="e">
        <f ca="1">IF(AM13&lt;'Exception Stores'!$A$6,"YES","NO")</f>
        <v>#VALUE!</v>
      </c>
      <c r="CP13" s="1">
        <f t="shared" si="53"/>
        <v>0</v>
      </c>
      <c r="CQ13" s="1">
        <f t="shared" si="54"/>
        <v>0</v>
      </c>
      <c r="CR13" s="1">
        <f t="shared" si="55"/>
        <v>0</v>
      </c>
      <c r="CS13" s="1">
        <f t="shared" si="56"/>
        <v>0</v>
      </c>
      <c r="CT13" s="1">
        <f t="shared" si="57"/>
        <v>0</v>
      </c>
      <c r="CU13" s="1">
        <f t="shared" si="58"/>
        <v>0</v>
      </c>
      <c r="CW13" s="1" t="e">
        <f t="shared" ca="1" si="59"/>
        <v>#VALUE!</v>
      </c>
      <c r="CX13" s="1" t="e">
        <f t="shared" ca="1" si="0"/>
        <v>#VALUE!</v>
      </c>
      <c r="CY13" s="1" t="e">
        <f t="shared" ca="1" si="1"/>
        <v>#VALUE!</v>
      </c>
      <c r="CZ13" s="1" t="e">
        <f t="shared" ca="1" si="2"/>
        <v>#VALUE!</v>
      </c>
      <c r="DA13" s="1" t="e">
        <f t="shared" ca="1" si="3"/>
        <v>#VALUE!</v>
      </c>
      <c r="DB13" s="26" t="e">
        <f t="shared" ca="1" si="60"/>
        <v>#VALUE!</v>
      </c>
      <c r="DC13" s="1">
        <f t="shared" si="4"/>
        <v>0</v>
      </c>
      <c r="DD13" s="1">
        <f t="shared" si="5"/>
        <v>0</v>
      </c>
      <c r="DE13" s="1">
        <f t="shared" si="6"/>
        <v>0</v>
      </c>
      <c r="DF13" s="1">
        <f t="shared" si="7"/>
        <v>0</v>
      </c>
      <c r="DG13" s="1">
        <f t="shared" si="8"/>
        <v>0</v>
      </c>
      <c r="DH13" s="26">
        <f t="shared" si="61"/>
        <v>0</v>
      </c>
      <c r="DI13" s="1" t="e">
        <f t="shared" ca="1" si="62"/>
        <v>#VALUE!</v>
      </c>
      <c r="DK13" s="11" t="str">
        <f t="shared" si="9"/>
        <v/>
      </c>
      <c r="DL13" s="11" t="e">
        <f ca="1">IF(AND(NOT(ISBLANK('Exception Stores'!$A$6)),CO13="YES"),S13-$BH$2-(DI13*$BS$2)-(CU13*$BS$2),S13-(DB13*$BS$2))</f>
        <v>#VALUE!</v>
      </c>
      <c r="DM13" s="11" t="str">
        <f>IF(ISBLANK(A13),"",IF(COUNTIF(Remaps!$A$2:$A$200,B13)&gt;0,"YES",""))</f>
        <v>YES</v>
      </c>
      <c r="DN13" s="29">
        <f>IFERROR(INDEX(Remaps!$B$2:$B$200,MATCH(B13,Remaps!$A$2:$A$200,0),1),0)</f>
        <v>0</v>
      </c>
      <c r="DO13" s="11" t="e">
        <f t="shared" ca="1" si="10"/>
        <v>#VALUE!</v>
      </c>
      <c r="DP13" s="29" t="e">
        <f t="shared" si="11"/>
        <v>#VALUE!</v>
      </c>
      <c r="DQ13" s="11" t="e">
        <f ca="1">('Apollo Dock Status'!$Z$1-DP13)/DO13</f>
        <v>#VALUE!</v>
      </c>
      <c r="DR13" s="15" t="e">
        <f t="shared" ca="1" si="63"/>
        <v>#VALUE!</v>
      </c>
    </row>
    <row r="14" spans="1:122">
      <c r="A14" s="1" t="str">
        <f>IF(ISBLANK('Apollo Dock Status'!A14),"",'Apollo Dock Status'!A14)</f>
        <v/>
      </c>
      <c r="B14" s="1" t="str">
        <f>IF(ISBLANK('Apollo Dock Status'!B14),"",'Apollo Dock Status'!B14)</f>
        <v/>
      </c>
      <c r="C14" s="1" t="str">
        <f>IF(ISBLANK('Apollo Dock Status'!C14),"",'Apollo Dock Status'!C14)</f>
        <v/>
      </c>
      <c r="D14" s="1" t="str">
        <f>IF(ISBLANK('Apollo Dock Status'!D14),"",'Apollo Dock Status'!D14)</f>
        <v/>
      </c>
      <c r="E14" s="1" t="str">
        <f>IF(ISBLANK('Apollo Dock Status'!E14),"",'Apollo Dock Status'!E14)</f>
        <v/>
      </c>
      <c r="F14" s="1" t="str">
        <f>IF(ISBLANK('Apollo Dock Status'!F14),"",'Apollo Dock Status'!F14)</f>
        <v/>
      </c>
      <c r="G14" s="1" t="str">
        <f>IF(ISBLANK('Apollo Dock Status'!G14),"",'Apollo Dock Status'!G14)</f>
        <v/>
      </c>
      <c r="H14" s="1" t="str">
        <f>IF(ISBLANK('Apollo Dock Status'!H14),"",'Apollo Dock Status'!H14)</f>
        <v/>
      </c>
      <c r="I14" s="1" t="str">
        <f>IF(ISBLANK('Apollo Dock Status'!I14),"",'Apollo Dock Status'!I14)</f>
        <v/>
      </c>
      <c r="J14" s="1" t="str">
        <f>IF(ISBLANK('Apollo Dock Status'!J14),"",'Apollo Dock Status'!J14)</f>
        <v/>
      </c>
      <c r="K14" s="1" t="str">
        <f>IF(ISBLANK('Apollo Dock Status'!K14),"",'Apollo Dock Status'!K14)</f>
        <v/>
      </c>
      <c r="L14" s="1" t="str">
        <f>IF(ISBLANK('Apollo Dock Status'!L14),"",'Apollo Dock Status'!L14)</f>
        <v/>
      </c>
      <c r="M14" s="1" t="str">
        <f>IF(ISBLANK('Apollo Dock Status'!M14),"",'Apollo Dock Status'!M14)</f>
        <v/>
      </c>
      <c r="N14" s="1" t="str">
        <f>IF(ISBLANK('Apollo Dock Status'!N14),"",'Apollo Dock Status'!N14)</f>
        <v/>
      </c>
      <c r="O14" s="1" t="str">
        <f t="shared" si="12"/>
        <v/>
      </c>
      <c r="P14" s="1" t="str">
        <f t="shared" si="13"/>
        <v/>
      </c>
      <c r="Q14" s="1" t="str">
        <f t="shared" si="14"/>
        <v/>
      </c>
      <c r="R14" s="1" t="str">
        <f t="shared" si="15"/>
        <v/>
      </c>
      <c r="S14" s="11" t="str">
        <f t="shared" si="16"/>
        <v/>
      </c>
      <c r="T14" s="1" t="str">
        <f t="shared" si="17"/>
        <v/>
      </c>
      <c r="U14" s="11" t="str">
        <f t="shared" si="18"/>
        <v/>
      </c>
      <c r="V14" s="11" t="str">
        <f t="shared" si="19"/>
        <v/>
      </c>
      <c r="X14" s="1" t="str">
        <f t="shared" si="20"/>
        <v/>
      </c>
      <c r="Y14" s="1" t="str">
        <f t="shared" si="21"/>
        <v/>
      </c>
      <c r="Z14" s="1" t="str">
        <f t="shared" si="22"/>
        <v/>
      </c>
      <c r="AB14" s="13">
        <f t="shared" ca="1" si="23"/>
        <v>46176</v>
      </c>
      <c r="AC14" s="1">
        <f t="shared" ca="1" si="24"/>
        <v>2026</v>
      </c>
      <c r="AD14" s="1" t="str">
        <f t="shared" ca="1" si="25"/>
        <v>6</v>
      </c>
      <c r="AE14" s="1">
        <f t="shared" si="26"/>
        <v>1</v>
      </c>
      <c r="AF14" s="1" t="str">
        <f t="shared" si="27"/>
        <v/>
      </c>
      <c r="AG14" s="1">
        <f t="shared" ca="1" si="28"/>
        <v>2026</v>
      </c>
      <c r="AH14" s="1">
        <f t="shared" si="29"/>
        <v>1</v>
      </c>
      <c r="AI14" s="1" t="str">
        <f t="shared" ca="1" si="30"/>
        <v>6</v>
      </c>
      <c r="AJ14" s="13" t="e">
        <f t="shared" ca="1" si="31"/>
        <v>#VALUE!</v>
      </c>
      <c r="AK14" s="1" t="e">
        <f>IF(ISBLANK(A14),"",IFERROR(MID(F14,SEARCH(", ",F14)+LEN(", "),SEARCH(" "&amp;'Exception Stores'!$A$2,F14)-SEARCH(", ",F14)-LEN(", ")),MID(F14,SEARCH(", ",F14)+LEN(", "),SEARCH(" "&amp;'Exception Stores'!$B$2,F14)-SEARCH(", ",F14)-LEN(", "))))</f>
        <v>#VALUE!</v>
      </c>
      <c r="AL14" s="1" t="e">
        <f t="shared" si="32"/>
        <v>#VALUE!</v>
      </c>
      <c r="AM14" s="15" t="e">
        <f t="shared" ca="1" si="33"/>
        <v>#VALUE!</v>
      </c>
      <c r="AN14" s="24" t="e">
        <f t="shared" ca="1" si="34"/>
        <v>#VALUE!</v>
      </c>
      <c r="AO14" s="1" t="e">
        <f t="shared" ca="1" si="35"/>
        <v>#VALUE!</v>
      </c>
      <c r="AP14" s="13" t="e">
        <f t="shared" ca="1" si="36"/>
        <v>#VALUE!</v>
      </c>
      <c r="AQ14" s="17" t="e">
        <f t="shared" ca="1" si="37"/>
        <v>#VALUE!</v>
      </c>
      <c r="AS14" s="15" t="e">
        <f t="shared" ca="1" si="38"/>
        <v>#VALUE!</v>
      </c>
      <c r="AT14" s="5">
        <f>'Exception Stores'!$D$2</f>
        <v>0.125</v>
      </c>
      <c r="AU14" s="15" t="e">
        <f t="shared" ca="1" si="39"/>
        <v>#VALUE!</v>
      </c>
      <c r="AV14" s="15" t="e">
        <f t="shared" ca="1" si="40"/>
        <v>#VALUE!</v>
      </c>
      <c r="AW14" s="15" t="e">
        <f t="shared" ca="1" si="41"/>
        <v>#VALUE!</v>
      </c>
      <c r="AX14" s="15" t="e">
        <f t="shared" ca="1" si="42"/>
        <v>#VALUE!</v>
      </c>
      <c r="AY14" s="15" t="e">
        <f t="shared" ca="1" si="43"/>
        <v>#VALUE!</v>
      </c>
      <c r="AZ14" s="1" t="e">
        <f t="shared" ca="1" si="44"/>
        <v>#VALUE!</v>
      </c>
      <c r="BA14" s="15" t="e">
        <f t="shared" ca="1" si="45"/>
        <v>#VALUE!</v>
      </c>
      <c r="BB14" s="15" t="e">
        <f t="shared" ca="1" si="46"/>
        <v>#VALUE!</v>
      </c>
      <c r="BC14" s="1" t="e">
        <f t="shared" ca="1" si="47"/>
        <v>#VALUE!</v>
      </c>
      <c r="BE14" s="15" t="str">
        <f>IF(ISBLANK('Exception Stores'!$A$6),"",'Exception Stores'!$A$6)</f>
        <v/>
      </c>
      <c r="BF14" s="15" t="str">
        <f>IF(ISBLANK('Exception Stores'!$B$6),"",'Exception Stores'!$B$6)</f>
        <v/>
      </c>
      <c r="BG14" s="1">
        <f>IF(ISBLANK('Exception Stores'!$A$6),0,IF($AN$2&gt;$BF$2,($AN$2-$BF$2)*24,0))</f>
        <v>0</v>
      </c>
      <c r="BH14" s="11">
        <f>IF(ISBLANK('Exception Stores'!$A$6),0,($BF$2-$BE$2)*24)</f>
        <v>0</v>
      </c>
      <c r="BI1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4" s="1">
        <f>IF(ISBLANK('Exception Stores'!$A$6),0,IF($AN$2&gt;$BF$2,0,IF(AND($AN$2&lt;$BF$2,$BT$2="B"),(($BF$2-$AN$2)*24)-$BS$2,($BF$2-$AN$2)*24)))</f>
        <v>0</v>
      </c>
      <c r="BL14" s="5"/>
      <c r="BM14" s="5"/>
      <c r="BN14" s="5"/>
      <c r="BO14" s="5"/>
      <c r="BP14" s="5"/>
      <c r="BV14" s="1" t="e">
        <f t="shared" ca="1" si="48"/>
        <v>#VALUE!</v>
      </c>
      <c r="BW14" s="1" t="e">
        <f t="shared" ca="1" si="49"/>
        <v>#VALUE!</v>
      </c>
      <c r="BX14" s="1" t="e">
        <f t="shared" ca="1" si="50"/>
        <v>#VALUE!</v>
      </c>
      <c r="BY14" s="1" t="e">
        <f t="shared" ca="1" si="51"/>
        <v>#VALUE!</v>
      </c>
      <c r="BZ14" s="1" t="e">
        <f t="shared" ca="1" si="52"/>
        <v>#VALUE!</v>
      </c>
      <c r="CB14" s="1" t="str">
        <f>IF(ISBLANK('Exception Stores'!$A$6),"",WEEKDAY($BF$2))</f>
        <v/>
      </c>
      <c r="CC14" s="1" t="str">
        <f>IF(ISBLANK('Exception Stores'!$A$6),"NO",IF('Exception Stores'!$A$6&lt;$AU$2,"YES","NO"))</f>
        <v>NO</v>
      </c>
      <c r="CD14" s="1" t="str">
        <f>IF(ISBLANK('Exception Stores'!$A$6),"NO",IF('Exception Stores'!$A$6&lt;$AV$2,"YES","NO"))</f>
        <v>NO</v>
      </c>
      <c r="CE14" s="1" t="str">
        <f>IF(ISBLANK('Exception Stores'!$A$6),"NO",IF('Exception Stores'!$A$6&lt;$AW$2,"YES","NO"))</f>
        <v>NO</v>
      </c>
      <c r="CF14" s="1" t="str">
        <f>IF(ISBLANK('Exception Stores'!$A$6),"NO",IF('Exception Stores'!$A$6&lt;$AX$2,"YES","NO"))</f>
        <v>NO</v>
      </c>
      <c r="CG14" s="1" t="str">
        <f>IF(ISBLANK('Exception Stores'!$A$6),"NO",IF('Exception Stores'!$A$6&lt;$AY$2,"YES","NO"))</f>
        <v>NO</v>
      </c>
      <c r="CI14" s="42" t="str">
        <f>IF(ISBLANK('Exception Stores'!$B$6),"NO",IF('Exception Stores'!$B$6&lt;=$AU$2,"YES","NO"))</f>
        <v>NO</v>
      </c>
      <c r="CJ14" s="42" t="str">
        <f>IF(ISBLANK('Exception Stores'!$B$6),"NO",IF('Exception Stores'!$B$6&lt;=$AV$2,"YES","NO"))</f>
        <v>NO</v>
      </c>
      <c r="CK14" s="1" t="str">
        <f>IF(ISBLANK('Exception Stores'!$B$6),"NO",IF('Exception Stores'!$B$6&lt;=$AW$2,"YES","NO"))</f>
        <v>NO</v>
      </c>
      <c r="CL14" s="1" t="str">
        <f>IF(ISBLANK('Exception Stores'!$B$6),"NO",IF('Exception Stores'!$B$6&lt;=$AX$2,"YES","NO"))</f>
        <v>NO</v>
      </c>
      <c r="CM14" s="1" t="str">
        <f>IF(ISBLANK('Exception Stores'!$B$6),"NO",IF('Exception Stores'!$B$6&lt;=$AY$2,"YES","NO"))</f>
        <v>NO</v>
      </c>
      <c r="CO14" s="1" t="e">
        <f ca="1">IF(AM14&lt;'Exception Stores'!$A$6,"YES","NO")</f>
        <v>#VALUE!</v>
      </c>
      <c r="CP14" s="1">
        <f t="shared" si="53"/>
        <v>0</v>
      </c>
      <c r="CQ14" s="1">
        <f t="shared" si="54"/>
        <v>0</v>
      </c>
      <c r="CR14" s="1">
        <f t="shared" si="55"/>
        <v>0</v>
      </c>
      <c r="CS14" s="1">
        <f t="shared" si="56"/>
        <v>0</v>
      </c>
      <c r="CT14" s="1">
        <f t="shared" si="57"/>
        <v>0</v>
      </c>
      <c r="CU14" s="1">
        <f t="shared" si="58"/>
        <v>0</v>
      </c>
      <c r="CW14" s="1" t="e">
        <f t="shared" ca="1" si="59"/>
        <v>#VALUE!</v>
      </c>
      <c r="CX14" s="1" t="e">
        <f t="shared" ca="1" si="0"/>
        <v>#VALUE!</v>
      </c>
      <c r="CY14" s="1" t="e">
        <f t="shared" ca="1" si="1"/>
        <v>#VALUE!</v>
      </c>
      <c r="CZ14" s="1" t="e">
        <f t="shared" ca="1" si="2"/>
        <v>#VALUE!</v>
      </c>
      <c r="DA14" s="1" t="e">
        <f t="shared" ca="1" si="3"/>
        <v>#VALUE!</v>
      </c>
      <c r="DB14" s="26" t="e">
        <f t="shared" ca="1" si="60"/>
        <v>#VALUE!</v>
      </c>
      <c r="DC14" s="1">
        <f t="shared" si="4"/>
        <v>0</v>
      </c>
      <c r="DD14" s="1">
        <f t="shared" si="5"/>
        <v>0</v>
      </c>
      <c r="DE14" s="1">
        <f t="shared" si="6"/>
        <v>0</v>
      </c>
      <c r="DF14" s="1">
        <f t="shared" si="7"/>
        <v>0</v>
      </c>
      <c r="DG14" s="1">
        <f t="shared" si="8"/>
        <v>0</v>
      </c>
      <c r="DH14" s="26">
        <f t="shared" si="61"/>
        <v>0</v>
      </c>
      <c r="DI14" s="1" t="e">
        <f t="shared" ca="1" si="62"/>
        <v>#VALUE!</v>
      </c>
      <c r="DK14" s="11" t="str">
        <f t="shared" si="9"/>
        <v/>
      </c>
      <c r="DL14" s="11" t="e">
        <f ca="1">IF(AND(NOT(ISBLANK('Exception Stores'!$A$6)),CO14="YES"),S14-$BH$2-(DI14*$BS$2)-(CU14*$BS$2),S14-(DB14*$BS$2))</f>
        <v>#VALUE!</v>
      </c>
      <c r="DM14" s="11" t="str">
        <f>IF(ISBLANK(A14),"",IF(COUNTIF(Remaps!$A$2:$A$200,B14)&gt;0,"YES",""))</f>
        <v>YES</v>
      </c>
      <c r="DN14" s="29">
        <f>IFERROR(INDEX(Remaps!$B$2:$B$200,MATCH(B14,Remaps!$A$2:$A$200,0),1),0)</f>
        <v>0</v>
      </c>
      <c r="DO14" s="11" t="e">
        <f t="shared" ca="1" si="10"/>
        <v>#VALUE!</v>
      </c>
      <c r="DP14" s="29" t="e">
        <f t="shared" si="11"/>
        <v>#VALUE!</v>
      </c>
      <c r="DQ14" s="11" t="e">
        <f ca="1">('Apollo Dock Status'!$Z$1-DP14)/DO14</f>
        <v>#VALUE!</v>
      </c>
      <c r="DR14" s="15" t="e">
        <f t="shared" ca="1" si="63"/>
        <v>#VALUE!</v>
      </c>
    </row>
    <row r="15" spans="1:122">
      <c r="A15" s="1" t="str">
        <f>IF(ISBLANK('Apollo Dock Status'!A15),"",'Apollo Dock Status'!A15)</f>
        <v/>
      </c>
      <c r="B15" s="1" t="str">
        <f>IF(ISBLANK('Apollo Dock Status'!B15),"",'Apollo Dock Status'!B15)</f>
        <v/>
      </c>
      <c r="C15" s="1" t="str">
        <f>IF(ISBLANK('Apollo Dock Status'!C15),"",'Apollo Dock Status'!C15)</f>
        <v/>
      </c>
      <c r="D15" s="1" t="str">
        <f>IF(ISBLANK('Apollo Dock Status'!D15),"",'Apollo Dock Status'!D15)</f>
        <v/>
      </c>
      <c r="E15" s="1" t="str">
        <f>IF(ISBLANK('Apollo Dock Status'!E15),"",'Apollo Dock Status'!E15)</f>
        <v/>
      </c>
      <c r="F15" s="1" t="str">
        <f>IF(ISBLANK('Apollo Dock Status'!F15),"",'Apollo Dock Status'!F15)</f>
        <v/>
      </c>
      <c r="G15" s="1" t="str">
        <f>IF(ISBLANK('Apollo Dock Status'!G15),"",'Apollo Dock Status'!G15)</f>
        <v/>
      </c>
      <c r="H15" s="1" t="str">
        <f>IF(ISBLANK('Apollo Dock Status'!H15),"",'Apollo Dock Status'!H15)</f>
        <v/>
      </c>
      <c r="I15" s="1" t="str">
        <f>IF(ISBLANK('Apollo Dock Status'!I15),"",'Apollo Dock Status'!I15)</f>
        <v/>
      </c>
      <c r="J15" s="1" t="str">
        <f>IF(ISBLANK('Apollo Dock Status'!J15),"",'Apollo Dock Status'!J15)</f>
        <v/>
      </c>
      <c r="K15" s="1" t="str">
        <f>IF(ISBLANK('Apollo Dock Status'!K15),"",'Apollo Dock Status'!K15)</f>
        <v/>
      </c>
      <c r="L15" s="1" t="str">
        <f>IF(ISBLANK('Apollo Dock Status'!L15),"",'Apollo Dock Status'!L15)</f>
        <v/>
      </c>
      <c r="M15" s="1" t="str">
        <f>IF(ISBLANK('Apollo Dock Status'!M15),"",'Apollo Dock Status'!M15)</f>
        <v/>
      </c>
      <c r="N15" s="1" t="str">
        <f>IF(ISBLANK('Apollo Dock Status'!N15),"",'Apollo Dock Status'!N15)</f>
        <v/>
      </c>
      <c r="O15" s="1" t="str">
        <f t="shared" si="12"/>
        <v/>
      </c>
      <c r="P15" s="1" t="str">
        <f t="shared" si="13"/>
        <v/>
      </c>
      <c r="Q15" s="1" t="str">
        <f t="shared" si="14"/>
        <v/>
      </c>
      <c r="R15" s="1" t="str">
        <f t="shared" si="15"/>
        <v/>
      </c>
      <c r="S15" s="11" t="str">
        <f t="shared" si="16"/>
        <v/>
      </c>
      <c r="T15" s="1" t="str">
        <f t="shared" si="17"/>
        <v/>
      </c>
      <c r="U15" s="11" t="str">
        <f t="shared" si="18"/>
        <v/>
      </c>
      <c r="V15" s="11" t="str">
        <f t="shared" si="19"/>
        <v/>
      </c>
      <c r="X15" s="1" t="str">
        <f t="shared" si="20"/>
        <v/>
      </c>
      <c r="Y15" s="1" t="str">
        <f t="shared" si="21"/>
        <v/>
      </c>
      <c r="Z15" s="1" t="str">
        <f t="shared" si="22"/>
        <v/>
      </c>
      <c r="AB15" s="13">
        <f t="shared" ca="1" si="23"/>
        <v>46176</v>
      </c>
      <c r="AC15" s="1">
        <f t="shared" ca="1" si="24"/>
        <v>2026</v>
      </c>
      <c r="AD15" s="1" t="str">
        <f t="shared" ca="1" si="25"/>
        <v>6</v>
      </c>
      <c r="AE15" s="1">
        <f t="shared" si="26"/>
        <v>1</v>
      </c>
      <c r="AF15" s="1" t="str">
        <f t="shared" si="27"/>
        <v/>
      </c>
      <c r="AG15" s="1">
        <f t="shared" ca="1" si="28"/>
        <v>2026</v>
      </c>
      <c r="AH15" s="1">
        <f t="shared" si="29"/>
        <v>1</v>
      </c>
      <c r="AI15" s="1" t="str">
        <f t="shared" ca="1" si="30"/>
        <v>6</v>
      </c>
      <c r="AJ15" s="13" t="e">
        <f t="shared" ca="1" si="31"/>
        <v>#VALUE!</v>
      </c>
      <c r="AK15" s="1" t="e">
        <f>IF(ISBLANK(A15),"",IFERROR(MID(F15,SEARCH(", ",F15)+LEN(", "),SEARCH(" "&amp;'Exception Stores'!$A$2,F15)-SEARCH(", ",F15)-LEN(", ")),MID(F15,SEARCH(", ",F15)+LEN(", "),SEARCH(" "&amp;'Exception Stores'!$B$2,F15)-SEARCH(", ",F15)-LEN(", "))))</f>
        <v>#VALUE!</v>
      </c>
      <c r="AL15" s="1" t="e">
        <f t="shared" si="32"/>
        <v>#VALUE!</v>
      </c>
      <c r="AM15" s="15" t="e">
        <f t="shared" ca="1" si="33"/>
        <v>#VALUE!</v>
      </c>
      <c r="AN15" s="24" t="e">
        <f t="shared" ca="1" si="34"/>
        <v>#VALUE!</v>
      </c>
      <c r="AO15" s="1" t="e">
        <f t="shared" ca="1" si="35"/>
        <v>#VALUE!</v>
      </c>
      <c r="AP15" s="13" t="e">
        <f t="shared" ca="1" si="36"/>
        <v>#VALUE!</v>
      </c>
      <c r="AQ15" s="17" t="e">
        <f t="shared" ca="1" si="37"/>
        <v>#VALUE!</v>
      </c>
      <c r="AS15" s="15" t="e">
        <f t="shared" ca="1" si="38"/>
        <v>#VALUE!</v>
      </c>
      <c r="AT15" s="5">
        <f>'Exception Stores'!$D$2</f>
        <v>0.125</v>
      </c>
      <c r="AU15" s="15" t="e">
        <f t="shared" ca="1" si="39"/>
        <v>#VALUE!</v>
      </c>
      <c r="AV15" s="15" t="e">
        <f t="shared" ca="1" si="40"/>
        <v>#VALUE!</v>
      </c>
      <c r="AW15" s="15" t="e">
        <f t="shared" ca="1" si="41"/>
        <v>#VALUE!</v>
      </c>
      <c r="AX15" s="15" t="e">
        <f t="shared" ca="1" si="42"/>
        <v>#VALUE!</v>
      </c>
      <c r="AY15" s="15" t="e">
        <f t="shared" ca="1" si="43"/>
        <v>#VALUE!</v>
      </c>
      <c r="AZ15" s="1" t="e">
        <f t="shared" ca="1" si="44"/>
        <v>#VALUE!</v>
      </c>
      <c r="BA15" s="15" t="e">
        <f t="shared" ca="1" si="45"/>
        <v>#VALUE!</v>
      </c>
      <c r="BB15" s="15" t="e">
        <f t="shared" ca="1" si="46"/>
        <v>#VALUE!</v>
      </c>
      <c r="BC15" s="1" t="e">
        <f t="shared" ca="1" si="47"/>
        <v>#VALUE!</v>
      </c>
      <c r="BE15" s="15" t="str">
        <f>IF(ISBLANK('Exception Stores'!$A$6),"",'Exception Stores'!$A$6)</f>
        <v/>
      </c>
      <c r="BF15" s="15" t="str">
        <f>IF(ISBLANK('Exception Stores'!$B$6),"",'Exception Stores'!$B$6)</f>
        <v/>
      </c>
      <c r="BG15" s="1">
        <f>IF(ISBLANK('Exception Stores'!$A$6),0,IF($AN$2&gt;$BF$2,($AN$2-$BF$2)*24,0))</f>
        <v>0</v>
      </c>
      <c r="BH15" s="11">
        <f>IF(ISBLANK('Exception Stores'!$A$6),0,($BF$2-$BE$2)*24)</f>
        <v>0</v>
      </c>
      <c r="BI1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5" s="1">
        <f>IF(ISBLANK('Exception Stores'!$A$6),0,IF($AN$2&gt;$BF$2,0,IF(AND($AN$2&lt;$BF$2,$BT$2="B"),(($BF$2-$AN$2)*24)-$BS$2,($BF$2-$AN$2)*24)))</f>
        <v>0</v>
      </c>
      <c r="BL15" s="5"/>
      <c r="BM15" s="5"/>
      <c r="BN15" s="5"/>
      <c r="BO15" s="5"/>
      <c r="BP15" s="5"/>
      <c r="BV15" s="1" t="e">
        <f t="shared" ca="1" si="48"/>
        <v>#VALUE!</v>
      </c>
      <c r="BW15" s="1" t="e">
        <f t="shared" ca="1" si="49"/>
        <v>#VALUE!</v>
      </c>
      <c r="BX15" s="1" t="e">
        <f t="shared" ca="1" si="50"/>
        <v>#VALUE!</v>
      </c>
      <c r="BY15" s="1" t="e">
        <f t="shared" ca="1" si="51"/>
        <v>#VALUE!</v>
      </c>
      <c r="BZ15" s="1" t="e">
        <f t="shared" ca="1" si="52"/>
        <v>#VALUE!</v>
      </c>
      <c r="CB15" s="1" t="str">
        <f>IF(ISBLANK('Exception Stores'!$A$6),"",WEEKDAY($BF$2))</f>
        <v/>
      </c>
      <c r="CC15" s="1" t="str">
        <f>IF(ISBLANK('Exception Stores'!$A$6),"NO",IF('Exception Stores'!$A$6&lt;$AU$2,"YES","NO"))</f>
        <v>NO</v>
      </c>
      <c r="CD15" s="1" t="str">
        <f>IF(ISBLANK('Exception Stores'!$A$6),"NO",IF('Exception Stores'!$A$6&lt;$AV$2,"YES","NO"))</f>
        <v>NO</v>
      </c>
      <c r="CE15" s="1" t="str">
        <f>IF(ISBLANK('Exception Stores'!$A$6),"NO",IF('Exception Stores'!$A$6&lt;$AW$2,"YES","NO"))</f>
        <v>NO</v>
      </c>
      <c r="CF15" s="1" t="str">
        <f>IF(ISBLANK('Exception Stores'!$A$6),"NO",IF('Exception Stores'!$A$6&lt;$AX$2,"YES","NO"))</f>
        <v>NO</v>
      </c>
      <c r="CG15" s="1" t="str">
        <f>IF(ISBLANK('Exception Stores'!$A$6),"NO",IF('Exception Stores'!$A$6&lt;$AY$2,"YES","NO"))</f>
        <v>NO</v>
      </c>
      <c r="CI15" s="42" t="str">
        <f>IF(ISBLANK('Exception Stores'!$B$6),"NO",IF('Exception Stores'!$B$6&lt;=$AU$2,"YES","NO"))</f>
        <v>NO</v>
      </c>
      <c r="CJ15" s="42" t="str">
        <f>IF(ISBLANK('Exception Stores'!$B$6),"NO",IF('Exception Stores'!$B$6&lt;=$AV$2,"YES","NO"))</f>
        <v>NO</v>
      </c>
      <c r="CK15" s="1" t="str">
        <f>IF(ISBLANK('Exception Stores'!$B$6),"NO",IF('Exception Stores'!$B$6&lt;=$AW$2,"YES","NO"))</f>
        <v>NO</v>
      </c>
      <c r="CL15" s="1" t="str">
        <f>IF(ISBLANK('Exception Stores'!$B$6),"NO",IF('Exception Stores'!$B$6&lt;=$AX$2,"YES","NO"))</f>
        <v>NO</v>
      </c>
      <c r="CM15" s="1" t="str">
        <f>IF(ISBLANK('Exception Stores'!$B$6),"NO",IF('Exception Stores'!$B$6&lt;=$AY$2,"YES","NO"))</f>
        <v>NO</v>
      </c>
      <c r="CO15" s="1" t="e">
        <f ca="1">IF(AM15&lt;'Exception Stores'!$A$6,"YES","NO")</f>
        <v>#VALUE!</v>
      </c>
      <c r="CP15" s="1">
        <f t="shared" si="53"/>
        <v>0</v>
      </c>
      <c r="CQ15" s="1">
        <f t="shared" si="54"/>
        <v>0</v>
      </c>
      <c r="CR15" s="1">
        <f t="shared" si="55"/>
        <v>0</v>
      </c>
      <c r="CS15" s="1">
        <f t="shared" si="56"/>
        <v>0</v>
      </c>
      <c r="CT15" s="1">
        <f t="shared" si="57"/>
        <v>0</v>
      </c>
      <c r="CU15" s="1">
        <f t="shared" si="58"/>
        <v>0</v>
      </c>
      <c r="CW15" s="1" t="e">
        <f t="shared" ca="1" si="59"/>
        <v>#VALUE!</v>
      </c>
      <c r="CX15" s="1" t="e">
        <f t="shared" ca="1" si="0"/>
        <v>#VALUE!</v>
      </c>
      <c r="CY15" s="1" t="e">
        <f t="shared" ca="1" si="1"/>
        <v>#VALUE!</v>
      </c>
      <c r="CZ15" s="1" t="e">
        <f t="shared" ca="1" si="2"/>
        <v>#VALUE!</v>
      </c>
      <c r="DA15" s="1" t="e">
        <f t="shared" ca="1" si="3"/>
        <v>#VALUE!</v>
      </c>
      <c r="DB15" s="26" t="e">
        <f t="shared" ca="1" si="60"/>
        <v>#VALUE!</v>
      </c>
      <c r="DC15" s="1">
        <f t="shared" si="4"/>
        <v>0</v>
      </c>
      <c r="DD15" s="1">
        <f t="shared" si="5"/>
        <v>0</v>
      </c>
      <c r="DE15" s="1">
        <f t="shared" si="6"/>
        <v>0</v>
      </c>
      <c r="DF15" s="1">
        <f t="shared" si="7"/>
        <v>0</v>
      </c>
      <c r="DG15" s="1">
        <f t="shared" si="8"/>
        <v>0</v>
      </c>
      <c r="DH15" s="26">
        <f t="shared" si="61"/>
        <v>0</v>
      </c>
      <c r="DI15" s="1" t="e">
        <f t="shared" ca="1" si="62"/>
        <v>#VALUE!</v>
      </c>
      <c r="DK15" s="11" t="str">
        <f t="shared" si="9"/>
        <v/>
      </c>
      <c r="DL15" s="11" t="e">
        <f ca="1">IF(AND(NOT(ISBLANK('Exception Stores'!$A$6)),CO15="YES"),S15-$BH$2-(DI15*$BS$2)-(CU15*$BS$2),S15-(DB15*$BS$2))</f>
        <v>#VALUE!</v>
      </c>
      <c r="DM15" s="11" t="str">
        <f>IF(ISBLANK(A15),"",IF(COUNTIF(Remaps!$A$2:$A$200,B15)&gt;0,"YES",""))</f>
        <v>YES</v>
      </c>
      <c r="DN15" s="29">
        <f>IFERROR(INDEX(Remaps!$B$2:$B$200,MATCH(B15,Remaps!$A$2:$A$200,0),1),0)</f>
        <v>0</v>
      </c>
      <c r="DO15" s="11" t="e">
        <f t="shared" ca="1" si="10"/>
        <v>#VALUE!</v>
      </c>
      <c r="DP15" s="29" t="e">
        <f t="shared" si="11"/>
        <v>#VALUE!</v>
      </c>
      <c r="DQ15" s="11" t="e">
        <f ca="1">('Apollo Dock Status'!$Z$1-DP15)/DO15</f>
        <v>#VALUE!</v>
      </c>
      <c r="DR15" s="15" t="e">
        <f t="shared" ca="1" si="63"/>
        <v>#VALUE!</v>
      </c>
    </row>
    <row r="16" spans="1:122">
      <c r="A16" s="1" t="str">
        <f>IF(ISBLANK('Apollo Dock Status'!A16),"",'Apollo Dock Status'!A16)</f>
        <v/>
      </c>
      <c r="B16" s="1" t="str">
        <f>IF(ISBLANK('Apollo Dock Status'!B16),"",'Apollo Dock Status'!B16)</f>
        <v/>
      </c>
      <c r="C16" s="1" t="str">
        <f>IF(ISBLANK('Apollo Dock Status'!C16),"",'Apollo Dock Status'!C16)</f>
        <v/>
      </c>
      <c r="D16" s="1" t="str">
        <f>IF(ISBLANK('Apollo Dock Status'!D16),"",'Apollo Dock Status'!D16)</f>
        <v/>
      </c>
      <c r="E16" s="1" t="str">
        <f>IF(ISBLANK('Apollo Dock Status'!E16),"",'Apollo Dock Status'!E16)</f>
        <v/>
      </c>
      <c r="F16" s="1" t="str">
        <f>IF(ISBLANK('Apollo Dock Status'!F16),"",'Apollo Dock Status'!F16)</f>
        <v/>
      </c>
      <c r="G16" s="1" t="str">
        <f>IF(ISBLANK('Apollo Dock Status'!G16),"",'Apollo Dock Status'!G16)</f>
        <v/>
      </c>
      <c r="H16" s="1" t="str">
        <f>IF(ISBLANK('Apollo Dock Status'!H16),"",'Apollo Dock Status'!H16)</f>
        <v/>
      </c>
      <c r="I16" s="1" t="str">
        <f>IF(ISBLANK('Apollo Dock Status'!I16),"",'Apollo Dock Status'!I16)</f>
        <v/>
      </c>
      <c r="J16" s="1" t="str">
        <f>IF(ISBLANK('Apollo Dock Status'!J16),"",'Apollo Dock Status'!J16)</f>
        <v/>
      </c>
      <c r="K16" s="1" t="str">
        <f>IF(ISBLANK('Apollo Dock Status'!K16),"",'Apollo Dock Status'!K16)</f>
        <v/>
      </c>
      <c r="L16" s="1" t="str">
        <f>IF(ISBLANK('Apollo Dock Status'!L16),"",'Apollo Dock Status'!L16)</f>
        <v/>
      </c>
      <c r="M16" s="1" t="str">
        <f>IF(ISBLANK('Apollo Dock Status'!M16),"",'Apollo Dock Status'!M16)</f>
        <v/>
      </c>
      <c r="N16" s="1" t="str">
        <f>IF(ISBLANK('Apollo Dock Status'!N16),"",'Apollo Dock Status'!N16)</f>
        <v/>
      </c>
      <c r="O16" s="1" t="str">
        <f t="shared" si="12"/>
        <v/>
      </c>
      <c r="P16" s="1" t="str">
        <f t="shared" si="13"/>
        <v/>
      </c>
      <c r="Q16" s="1" t="str">
        <f t="shared" si="14"/>
        <v/>
      </c>
      <c r="R16" s="1" t="str">
        <f t="shared" si="15"/>
        <v/>
      </c>
      <c r="S16" s="11" t="str">
        <f t="shared" si="16"/>
        <v/>
      </c>
      <c r="T16" s="1" t="str">
        <f t="shared" si="17"/>
        <v/>
      </c>
      <c r="U16" s="11" t="str">
        <f t="shared" si="18"/>
        <v/>
      </c>
      <c r="V16" s="11" t="str">
        <f t="shared" si="19"/>
        <v/>
      </c>
      <c r="X16" s="1" t="str">
        <f t="shared" si="20"/>
        <v/>
      </c>
      <c r="Y16" s="1" t="str">
        <f t="shared" si="21"/>
        <v/>
      </c>
      <c r="Z16" s="1" t="str">
        <f t="shared" si="22"/>
        <v/>
      </c>
      <c r="AB16" s="13">
        <f t="shared" ca="1" si="23"/>
        <v>46176</v>
      </c>
      <c r="AC16" s="1">
        <f t="shared" ca="1" si="24"/>
        <v>2026</v>
      </c>
      <c r="AD16" s="1" t="str">
        <f t="shared" ca="1" si="25"/>
        <v>6</v>
      </c>
      <c r="AE16" s="1">
        <f t="shared" si="26"/>
        <v>1</v>
      </c>
      <c r="AF16" s="1" t="str">
        <f t="shared" si="27"/>
        <v/>
      </c>
      <c r="AG16" s="1">
        <f t="shared" ca="1" si="28"/>
        <v>2026</v>
      </c>
      <c r="AH16" s="1">
        <f t="shared" si="29"/>
        <v>1</v>
      </c>
      <c r="AI16" s="1" t="str">
        <f t="shared" ca="1" si="30"/>
        <v>6</v>
      </c>
      <c r="AJ16" s="13" t="e">
        <f t="shared" ca="1" si="31"/>
        <v>#VALUE!</v>
      </c>
      <c r="AK16" s="1" t="e">
        <f>IF(ISBLANK(A16),"",IFERROR(MID(F16,SEARCH(", ",F16)+LEN(", "),SEARCH(" "&amp;'Exception Stores'!$A$2,F16)-SEARCH(", ",F16)-LEN(", ")),MID(F16,SEARCH(", ",F16)+LEN(", "),SEARCH(" "&amp;'Exception Stores'!$B$2,F16)-SEARCH(", ",F16)-LEN(", "))))</f>
        <v>#VALUE!</v>
      </c>
      <c r="AL16" s="1" t="e">
        <f t="shared" si="32"/>
        <v>#VALUE!</v>
      </c>
      <c r="AM16" s="15" t="e">
        <f t="shared" ca="1" si="33"/>
        <v>#VALUE!</v>
      </c>
      <c r="AN16" s="24" t="e">
        <f t="shared" ca="1" si="34"/>
        <v>#VALUE!</v>
      </c>
      <c r="AO16" s="1" t="e">
        <f t="shared" ca="1" si="35"/>
        <v>#VALUE!</v>
      </c>
      <c r="AP16" s="13" t="e">
        <f t="shared" ca="1" si="36"/>
        <v>#VALUE!</v>
      </c>
      <c r="AQ16" s="17" t="e">
        <f t="shared" ca="1" si="37"/>
        <v>#VALUE!</v>
      </c>
      <c r="AS16" s="15" t="e">
        <f t="shared" ca="1" si="38"/>
        <v>#VALUE!</v>
      </c>
      <c r="AT16" s="5">
        <f>'Exception Stores'!$D$2</f>
        <v>0.125</v>
      </c>
      <c r="AU16" s="15" t="e">
        <f t="shared" ca="1" si="39"/>
        <v>#VALUE!</v>
      </c>
      <c r="AV16" s="15" t="e">
        <f t="shared" ca="1" si="40"/>
        <v>#VALUE!</v>
      </c>
      <c r="AW16" s="15" t="e">
        <f t="shared" ca="1" si="41"/>
        <v>#VALUE!</v>
      </c>
      <c r="AX16" s="15" t="e">
        <f t="shared" ca="1" si="42"/>
        <v>#VALUE!</v>
      </c>
      <c r="AY16" s="15" t="e">
        <f t="shared" ca="1" si="43"/>
        <v>#VALUE!</v>
      </c>
      <c r="AZ16" s="1" t="e">
        <f t="shared" ca="1" si="44"/>
        <v>#VALUE!</v>
      </c>
      <c r="BA16" s="15" t="e">
        <f t="shared" ca="1" si="45"/>
        <v>#VALUE!</v>
      </c>
      <c r="BB16" s="15" t="e">
        <f t="shared" ca="1" si="46"/>
        <v>#VALUE!</v>
      </c>
      <c r="BC16" s="1" t="e">
        <f t="shared" ca="1" si="47"/>
        <v>#VALUE!</v>
      </c>
      <c r="BE16" s="15" t="str">
        <f>IF(ISBLANK('Exception Stores'!$A$6),"",'Exception Stores'!$A$6)</f>
        <v/>
      </c>
      <c r="BF16" s="15" t="str">
        <f>IF(ISBLANK('Exception Stores'!$B$6),"",'Exception Stores'!$B$6)</f>
        <v/>
      </c>
      <c r="BG16" s="1">
        <f>IF(ISBLANK('Exception Stores'!$A$6),0,IF($AN$2&gt;$BF$2,($AN$2-$BF$2)*24,0))</f>
        <v>0</v>
      </c>
      <c r="BH16" s="11">
        <f>IF(ISBLANK('Exception Stores'!$A$6),0,($BF$2-$BE$2)*24)</f>
        <v>0</v>
      </c>
      <c r="BI1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6" s="1">
        <f>IF(ISBLANK('Exception Stores'!$A$6),0,IF($AN$2&gt;$BF$2,0,IF(AND($AN$2&lt;$BF$2,$BT$2="B"),(($BF$2-$AN$2)*24)-$BS$2,($BF$2-$AN$2)*24)))</f>
        <v>0</v>
      </c>
      <c r="BL16" s="5"/>
      <c r="BM16" s="5"/>
      <c r="BN16" s="5"/>
      <c r="BO16" s="5"/>
      <c r="BP16" s="5"/>
      <c r="BV16" s="1" t="e">
        <f t="shared" ca="1" si="48"/>
        <v>#VALUE!</v>
      </c>
      <c r="BW16" s="1" t="e">
        <f t="shared" ca="1" si="49"/>
        <v>#VALUE!</v>
      </c>
      <c r="BX16" s="1" t="e">
        <f t="shared" ca="1" si="50"/>
        <v>#VALUE!</v>
      </c>
      <c r="BY16" s="1" t="e">
        <f t="shared" ca="1" si="51"/>
        <v>#VALUE!</v>
      </c>
      <c r="BZ16" s="1" t="e">
        <f t="shared" ca="1" si="52"/>
        <v>#VALUE!</v>
      </c>
      <c r="CB16" s="1" t="str">
        <f>IF(ISBLANK('Exception Stores'!$A$6),"",WEEKDAY($BF$2))</f>
        <v/>
      </c>
      <c r="CC16" s="1" t="str">
        <f>IF(ISBLANK('Exception Stores'!$A$6),"NO",IF('Exception Stores'!$A$6&lt;$AU$2,"YES","NO"))</f>
        <v>NO</v>
      </c>
      <c r="CD16" s="1" t="str">
        <f>IF(ISBLANK('Exception Stores'!$A$6),"NO",IF('Exception Stores'!$A$6&lt;$AV$2,"YES","NO"))</f>
        <v>NO</v>
      </c>
      <c r="CE16" s="1" t="str">
        <f>IF(ISBLANK('Exception Stores'!$A$6),"NO",IF('Exception Stores'!$A$6&lt;$AW$2,"YES","NO"))</f>
        <v>NO</v>
      </c>
      <c r="CF16" s="1" t="str">
        <f>IF(ISBLANK('Exception Stores'!$A$6),"NO",IF('Exception Stores'!$A$6&lt;$AX$2,"YES","NO"))</f>
        <v>NO</v>
      </c>
      <c r="CG16" s="1" t="str">
        <f>IF(ISBLANK('Exception Stores'!$A$6),"NO",IF('Exception Stores'!$A$6&lt;$AY$2,"YES","NO"))</f>
        <v>NO</v>
      </c>
      <c r="CI16" s="42" t="str">
        <f>IF(ISBLANK('Exception Stores'!$B$6),"NO",IF('Exception Stores'!$B$6&lt;=$AU$2,"YES","NO"))</f>
        <v>NO</v>
      </c>
      <c r="CJ16" s="42" t="str">
        <f>IF(ISBLANK('Exception Stores'!$B$6),"NO",IF('Exception Stores'!$B$6&lt;=$AV$2,"YES","NO"))</f>
        <v>NO</v>
      </c>
      <c r="CK16" s="1" t="str">
        <f>IF(ISBLANK('Exception Stores'!$B$6),"NO",IF('Exception Stores'!$B$6&lt;=$AW$2,"YES","NO"))</f>
        <v>NO</v>
      </c>
      <c r="CL16" s="1" t="str">
        <f>IF(ISBLANK('Exception Stores'!$B$6),"NO",IF('Exception Stores'!$B$6&lt;=$AX$2,"YES","NO"))</f>
        <v>NO</v>
      </c>
      <c r="CM16" s="1" t="str">
        <f>IF(ISBLANK('Exception Stores'!$B$6),"NO",IF('Exception Stores'!$B$6&lt;=$AY$2,"YES","NO"))</f>
        <v>NO</v>
      </c>
      <c r="CO16" s="1" t="e">
        <f ca="1">IF(AM16&lt;'Exception Stores'!$A$6,"YES","NO")</f>
        <v>#VALUE!</v>
      </c>
      <c r="CP16" s="1">
        <f t="shared" si="53"/>
        <v>0</v>
      </c>
      <c r="CQ16" s="1">
        <f t="shared" si="54"/>
        <v>0</v>
      </c>
      <c r="CR16" s="1">
        <f t="shared" si="55"/>
        <v>0</v>
      </c>
      <c r="CS16" s="1">
        <f t="shared" si="56"/>
        <v>0</v>
      </c>
      <c r="CT16" s="1">
        <f t="shared" si="57"/>
        <v>0</v>
      </c>
      <c r="CU16" s="1">
        <f t="shared" si="58"/>
        <v>0</v>
      </c>
      <c r="CW16" s="1" t="e">
        <f t="shared" ca="1" si="59"/>
        <v>#VALUE!</v>
      </c>
      <c r="CX16" s="1" t="e">
        <f t="shared" ca="1" si="0"/>
        <v>#VALUE!</v>
      </c>
      <c r="CY16" s="1" t="e">
        <f t="shared" ca="1" si="1"/>
        <v>#VALUE!</v>
      </c>
      <c r="CZ16" s="1" t="e">
        <f t="shared" ca="1" si="2"/>
        <v>#VALUE!</v>
      </c>
      <c r="DA16" s="1" t="e">
        <f t="shared" ca="1" si="3"/>
        <v>#VALUE!</v>
      </c>
      <c r="DB16" s="26" t="e">
        <f t="shared" ca="1" si="60"/>
        <v>#VALUE!</v>
      </c>
      <c r="DC16" s="1">
        <f t="shared" si="4"/>
        <v>0</v>
      </c>
      <c r="DD16" s="1">
        <f t="shared" si="5"/>
        <v>0</v>
      </c>
      <c r="DE16" s="1">
        <f t="shared" si="6"/>
        <v>0</v>
      </c>
      <c r="DF16" s="1">
        <f t="shared" si="7"/>
        <v>0</v>
      </c>
      <c r="DG16" s="1">
        <f t="shared" si="8"/>
        <v>0</v>
      </c>
      <c r="DH16" s="26">
        <f t="shared" si="61"/>
        <v>0</v>
      </c>
      <c r="DI16" s="1" t="e">
        <f t="shared" ca="1" si="62"/>
        <v>#VALUE!</v>
      </c>
      <c r="DK16" s="11" t="str">
        <f t="shared" si="9"/>
        <v/>
      </c>
      <c r="DL16" s="11" t="e">
        <f ca="1">IF(AND(NOT(ISBLANK('Exception Stores'!$A$6)),CO16="YES"),S16-$BH$2-(DI16*$BS$2)-(CU16*$BS$2),S16-(DB16*$BS$2))</f>
        <v>#VALUE!</v>
      </c>
      <c r="DM16" s="11" t="str">
        <f>IF(ISBLANK(A16),"",IF(COUNTIF(Remaps!$A$2:$A$200,B16)&gt;0,"YES",""))</f>
        <v>YES</v>
      </c>
      <c r="DN16" s="29">
        <f>IFERROR(INDEX(Remaps!$B$2:$B$200,MATCH(B16,Remaps!$A$2:$A$200,0),1),0)</f>
        <v>0</v>
      </c>
      <c r="DO16" s="11" t="e">
        <f t="shared" ca="1" si="10"/>
        <v>#VALUE!</v>
      </c>
      <c r="DP16" s="29" t="e">
        <f t="shared" si="11"/>
        <v>#VALUE!</v>
      </c>
      <c r="DQ16" s="11" t="e">
        <f ca="1">('Apollo Dock Status'!$Z$1-DP16)/DO16</f>
        <v>#VALUE!</v>
      </c>
      <c r="DR16" s="15" t="e">
        <f t="shared" ca="1" si="63"/>
        <v>#VALUE!</v>
      </c>
    </row>
    <row r="17" spans="1:122">
      <c r="A17" s="1" t="str">
        <f>IF(ISBLANK('Apollo Dock Status'!A17),"",'Apollo Dock Status'!A17)</f>
        <v/>
      </c>
      <c r="B17" s="1" t="str">
        <f>IF(ISBLANK('Apollo Dock Status'!B17),"",'Apollo Dock Status'!B17)</f>
        <v/>
      </c>
      <c r="C17" s="1" t="str">
        <f>IF(ISBLANK('Apollo Dock Status'!C17),"",'Apollo Dock Status'!C17)</f>
        <v/>
      </c>
      <c r="D17" s="1" t="str">
        <f>IF(ISBLANK('Apollo Dock Status'!D17),"",'Apollo Dock Status'!D17)</f>
        <v/>
      </c>
      <c r="E17" s="1" t="str">
        <f>IF(ISBLANK('Apollo Dock Status'!E17),"",'Apollo Dock Status'!E17)</f>
        <v/>
      </c>
      <c r="F17" s="1" t="str">
        <f>IF(ISBLANK('Apollo Dock Status'!F17),"",'Apollo Dock Status'!F17)</f>
        <v/>
      </c>
      <c r="G17" s="1" t="str">
        <f>IF(ISBLANK('Apollo Dock Status'!G17),"",'Apollo Dock Status'!G17)</f>
        <v/>
      </c>
      <c r="H17" s="1" t="str">
        <f>IF(ISBLANK('Apollo Dock Status'!H17),"",'Apollo Dock Status'!H17)</f>
        <v/>
      </c>
      <c r="I17" s="1" t="str">
        <f>IF(ISBLANK('Apollo Dock Status'!I17),"",'Apollo Dock Status'!I17)</f>
        <v/>
      </c>
      <c r="J17" s="1" t="str">
        <f>IF(ISBLANK('Apollo Dock Status'!J17),"",'Apollo Dock Status'!J17)</f>
        <v/>
      </c>
      <c r="K17" s="1" t="str">
        <f>IF(ISBLANK('Apollo Dock Status'!K17),"",'Apollo Dock Status'!K17)</f>
        <v/>
      </c>
      <c r="L17" s="1" t="str">
        <f>IF(ISBLANK('Apollo Dock Status'!L17),"",'Apollo Dock Status'!L17)</f>
        <v/>
      </c>
      <c r="M17" s="1" t="str">
        <f>IF(ISBLANK('Apollo Dock Status'!M17),"",'Apollo Dock Status'!M17)</f>
        <v/>
      </c>
      <c r="N17" s="1" t="str">
        <f>IF(ISBLANK('Apollo Dock Status'!N17),"",'Apollo Dock Status'!N17)</f>
        <v/>
      </c>
      <c r="O17" s="1" t="str">
        <f t="shared" si="12"/>
        <v/>
      </c>
      <c r="P17" s="1" t="str">
        <f t="shared" si="13"/>
        <v/>
      </c>
      <c r="Q17" s="1" t="str">
        <f t="shared" si="14"/>
        <v/>
      </c>
      <c r="R17" s="1" t="str">
        <f t="shared" si="15"/>
        <v/>
      </c>
      <c r="S17" s="11" t="str">
        <f t="shared" si="16"/>
        <v/>
      </c>
      <c r="T17" s="1" t="str">
        <f t="shared" si="17"/>
        <v/>
      </c>
      <c r="U17" s="11" t="str">
        <f t="shared" si="18"/>
        <v/>
      </c>
      <c r="V17" s="11" t="str">
        <f t="shared" si="19"/>
        <v/>
      </c>
      <c r="X17" s="1" t="str">
        <f t="shared" si="20"/>
        <v/>
      </c>
      <c r="Y17" s="1" t="str">
        <f t="shared" si="21"/>
        <v/>
      </c>
      <c r="Z17" s="1" t="str">
        <f t="shared" si="22"/>
        <v/>
      </c>
      <c r="AB17" s="13">
        <f t="shared" ca="1" si="23"/>
        <v>46176</v>
      </c>
      <c r="AC17" s="1">
        <f t="shared" ca="1" si="24"/>
        <v>2026</v>
      </c>
      <c r="AD17" s="1" t="str">
        <f t="shared" ca="1" si="25"/>
        <v>6</v>
      </c>
      <c r="AE17" s="1">
        <f t="shared" si="26"/>
        <v>1</v>
      </c>
      <c r="AF17" s="1" t="str">
        <f t="shared" si="27"/>
        <v/>
      </c>
      <c r="AG17" s="1">
        <f t="shared" ca="1" si="28"/>
        <v>2026</v>
      </c>
      <c r="AH17" s="1">
        <f t="shared" si="29"/>
        <v>1</v>
      </c>
      <c r="AI17" s="1" t="str">
        <f t="shared" ca="1" si="30"/>
        <v>6</v>
      </c>
      <c r="AJ17" s="13" t="e">
        <f t="shared" ca="1" si="31"/>
        <v>#VALUE!</v>
      </c>
      <c r="AK17" s="1" t="e">
        <f>IF(ISBLANK(A17),"",IFERROR(MID(F17,SEARCH(", ",F17)+LEN(", "),SEARCH(" "&amp;'Exception Stores'!$A$2,F17)-SEARCH(", ",F17)-LEN(", ")),MID(F17,SEARCH(", ",F17)+LEN(", "),SEARCH(" "&amp;'Exception Stores'!$B$2,F17)-SEARCH(", ",F17)-LEN(", "))))</f>
        <v>#VALUE!</v>
      </c>
      <c r="AL17" s="1" t="e">
        <f t="shared" si="32"/>
        <v>#VALUE!</v>
      </c>
      <c r="AM17" s="15" t="e">
        <f t="shared" ca="1" si="33"/>
        <v>#VALUE!</v>
      </c>
      <c r="AN17" s="24" t="e">
        <f t="shared" ca="1" si="34"/>
        <v>#VALUE!</v>
      </c>
      <c r="AO17" s="1" t="e">
        <f t="shared" ca="1" si="35"/>
        <v>#VALUE!</v>
      </c>
      <c r="AP17" s="13" t="e">
        <f t="shared" ca="1" si="36"/>
        <v>#VALUE!</v>
      </c>
      <c r="AQ17" s="17" t="e">
        <f t="shared" ca="1" si="37"/>
        <v>#VALUE!</v>
      </c>
      <c r="AS17" s="15" t="e">
        <f t="shared" ca="1" si="38"/>
        <v>#VALUE!</v>
      </c>
      <c r="AT17" s="5">
        <f>'Exception Stores'!$D$2</f>
        <v>0.125</v>
      </c>
      <c r="AU17" s="15" t="e">
        <f t="shared" ca="1" si="39"/>
        <v>#VALUE!</v>
      </c>
      <c r="AV17" s="15" t="e">
        <f t="shared" ca="1" si="40"/>
        <v>#VALUE!</v>
      </c>
      <c r="AW17" s="15" t="e">
        <f t="shared" ca="1" si="41"/>
        <v>#VALUE!</v>
      </c>
      <c r="AX17" s="15" t="e">
        <f t="shared" ca="1" si="42"/>
        <v>#VALUE!</v>
      </c>
      <c r="AY17" s="15" t="e">
        <f t="shared" ca="1" si="43"/>
        <v>#VALUE!</v>
      </c>
      <c r="AZ17" s="1" t="e">
        <f t="shared" ca="1" si="44"/>
        <v>#VALUE!</v>
      </c>
      <c r="BA17" s="15" t="e">
        <f t="shared" ca="1" si="45"/>
        <v>#VALUE!</v>
      </c>
      <c r="BB17" s="15" t="e">
        <f t="shared" ca="1" si="46"/>
        <v>#VALUE!</v>
      </c>
      <c r="BC17" s="1" t="e">
        <f t="shared" ca="1" si="47"/>
        <v>#VALUE!</v>
      </c>
      <c r="BE17" s="15" t="str">
        <f>IF(ISBLANK('Exception Stores'!$A$6),"",'Exception Stores'!$A$6)</f>
        <v/>
      </c>
      <c r="BF17" s="15" t="str">
        <f>IF(ISBLANK('Exception Stores'!$B$6),"",'Exception Stores'!$B$6)</f>
        <v/>
      </c>
      <c r="BG17" s="1">
        <f>IF(ISBLANK('Exception Stores'!$A$6),0,IF($AN$2&gt;$BF$2,($AN$2-$BF$2)*24,0))</f>
        <v>0</v>
      </c>
      <c r="BH17" s="11">
        <f>IF(ISBLANK('Exception Stores'!$A$6),0,($BF$2-$BE$2)*24)</f>
        <v>0</v>
      </c>
      <c r="BI1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7" s="1">
        <f>IF(ISBLANK('Exception Stores'!$A$6),0,IF($AN$2&gt;$BF$2,0,IF(AND($AN$2&lt;$BF$2,$BT$2="B"),(($BF$2-$AN$2)*24)-$BS$2,($BF$2-$AN$2)*24)))</f>
        <v>0</v>
      </c>
      <c r="BL17" s="5"/>
      <c r="BM17" s="5"/>
      <c r="BN17" s="5"/>
      <c r="BO17" s="5"/>
      <c r="BP17" s="5"/>
      <c r="BV17" s="1" t="e">
        <f t="shared" ca="1" si="48"/>
        <v>#VALUE!</v>
      </c>
      <c r="BW17" s="1" t="e">
        <f t="shared" ca="1" si="49"/>
        <v>#VALUE!</v>
      </c>
      <c r="BX17" s="1" t="e">
        <f t="shared" ca="1" si="50"/>
        <v>#VALUE!</v>
      </c>
      <c r="BY17" s="1" t="e">
        <f t="shared" ca="1" si="51"/>
        <v>#VALUE!</v>
      </c>
      <c r="BZ17" s="1" t="e">
        <f t="shared" ca="1" si="52"/>
        <v>#VALUE!</v>
      </c>
      <c r="CB17" s="1" t="str">
        <f>IF(ISBLANK('Exception Stores'!$A$6),"",WEEKDAY($BF$2))</f>
        <v/>
      </c>
      <c r="CC17" s="1" t="str">
        <f>IF(ISBLANK('Exception Stores'!$A$6),"NO",IF('Exception Stores'!$A$6&lt;$AU$2,"YES","NO"))</f>
        <v>NO</v>
      </c>
      <c r="CD17" s="1" t="str">
        <f>IF(ISBLANK('Exception Stores'!$A$6),"NO",IF('Exception Stores'!$A$6&lt;$AV$2,"YES","NO"))</f>
        <v>NO</v>
      </c>
      <c r="CE17" s="1" t="str">
        <f>IF(ISBLANK('Exception Stores'!$A$6),"NO",IF('Exception Stores'!$A$6&lt;$AW$2,"YES","NO"))</f>
        <v>NO</v>
      </c>
      <c r="CF17" s="1" t="str">
        <f>IF(ISBLANK('Exception Stores'!$A$6),"NO",IF('Exception Stores'!$A$6&lt;$AX$2,"YES","NO"))</f>
        <v>NO</v>
      </c>
      <c r="CG17" s="1" t="str">
        <f>IF(ISBLANK('Exception Stores'!$A$6),"NO",IF('Exception Stores'!$A$6&lt;$AY$2,"YES","NO"))</f>
        <v>NO</v>
      </c>
      <c r="CI17" s="42" t="str">
        <f>IF(ISBLANK('Exception Stores'!$B$6),"NO",IF('Exception Stores'!$B$6&lt;=$AU$2,"YES","NO"))</f>
        <v>NO</v>
      </c>
      <c r="CJ17" s="42" t="str">
        <f>IF(ISBLANK('Exception Stores'!$B$6),"NO",IF('Exception Stores'!$B$6&lt;=$AV$2,"YES","NO"))</f>
        <v>NO</v>
      </c>
      <c r="CK17" s="1" t="str">
        <f>IF(ISBLANK('Exception Stores'!$B$6),"NO",IF('Exception Stores'!$B$6&lt;=$AW$2,"YES","NO"))</f>
        <v>NO</v>
      </c>
      <c r="CL17" s="1" t="str">
        <f>IF(ISBLANK('Exception Stores'!$B$6),"NO",IF('Exception Stores'!$B$6&lt;=$AX$2,"YES","NO"))</f>
        <v>NO</v>
      </c>
      <c r="CM17" s="1" t="str">
        <f>IF(ISBLANK('Exception Stores'!$B$6),"NO",IF('Exception Stores'!$B$6&lt;=$AY$2,"YES","NO"))</f>
        <v>NO</v>
      </c>
      <c r="CO17" s="1" t="e">
        <f ca="1">IF(AM17&lt;'Exception Stores'!$A$6,"YES","NO")</f>
        <v>#VALUE!</v>
      </c>
      <c r="CP17" s="1">
        <f t="shared" si="53"/>
        <v>0</v>
      </c>
      <c r="CQ17" s="1">
        <f t="shared" si="54"/>
        <v>0</v>
      </c>
      <c r="CR17" s="1">
        <f t="shared" si="55"/>
        <v>0</v>
      </c>
      <c r="CS17" s="1">
        <f t="shared" si="56"/>
        <v>0</v>
      </c>
      <c r="CT17" s="1">
        <f t="shared" si="57"/>
        <v>0</v>
      </c>
      <c r="CU17" s="1">
        <f t="shared" si="58"/>
        <v>0</v>
      </c>
      <c r="CW17" s="1" t="e">
        <f t="shared" ca="1" si="59"/>
        <v>#VALUE!</v>
      </c>
      <c r="CX17" s="1" t="e">
        <f t="shared" ca="1" si="0"/>
        <v>#VALUE!</v>
      </c>
      <c r="CY17" s="1" t="e">
        <f t="shared" ca="1" si="1"/>
        <v>#VALUE!</v>
      </c>
      <c r="CZ17" s="1" t="e">
        <f t="shared" ca="1" si="2"/>
        <v>#VALUE!</v>
      </c>
      <c r="DA17" s="1" t="e">
        <f t="shared" ca="1" si="3"/>
        <v>#VALUE!</v>
      </c>
      <c r="DB17" s="26" t="e">
        <f t="shared" ca="1" si="60"/>
        <v>#VALUE!</v>
      </c>
      <c r="DC17" s="1">
        <f t="shared" si="4"/>
        <v>0</v>
      </c>
      <c r="DD17" s="1">
        <f t="shared" si="5"/>
        <v>0</v>
      </c>
      <c r="DE17" s="1">
        <f t="shared" si="6"/>
        <v>0</v>
      </c>
      <c r="DF17" s="1">
        <f t="shared" si="7"/>
        <v>0</v>
      </c>
      <c r="DG17" s="1">
        <f t="shared" si="8"/>
        <v>0</v>
      </c>
      <c r="DH17" s="26">
        <f t="shared" si="61"/>
        <v>0</v>
      </c>
      <c r="DI17" s="1" t="e">
        <f t="shared" ca="1" si="62"/>
        <v>#VALUE!</v>
      </c>
      <c r="DK17" s="11" t="str">
        <f t="shared" si="9"/>
        <v/>
      </c>
      <c r="DL17" s="11" t="e">
        <f ca="1">IF(AND(NOT(ISBLANK('Exception Stores'!$A$6)),CO17="YES"),S17-$BH$2-(DI17*$BS$2)-(CU17*$BS$2),S17-(DB17*$BS$2))</f>
        <v>#VALUE!</v>
      </c>
      <c r="DM17" s="11" t="str">
        <f>IF(ISBLANK(A17),"",IF(COUNTIF(Remaps!$A$2:$A$200,B17)&gt;0,"YES",""))</f>
        <v>YES</v>
      </c>
      <c r="DN17" s="29">
        <f>IFERROR(INDEX(Remaps!$B$2:$B$200,MATCH(B17,Remaps!$A$2:$A$200,0),1),0)</f>
        <v>0</v>
      </c>
      <c r="DO17" s="11" t="e">
        <f t="shared" ca="1" si="10"/>
        <v>#VALUE!</v>
      </c>
      <c r="DP17" s="29" t="e">
        <f t="shared" si="11"/>
        <v>#VALUE!</v>
      </c>
      <c r="DQ17" s="11" t="e">
        <f ca="1">('Apollo Dock Status'!$Z$1-DP17)/DO17</f>
        <v>#VALUE!</v>
      </c>
      <c r="DR17" s="15" t="e">
        <f t="shared" ca="1" si="63"/>
        <v>#VALUE!</v>
      </c>
    </row>
    <row r="18" spans="1:122">
      <c r="A18" s="1" t="str">
        <f>IF(ISBLANK('Apollo Dock Status'!A18),"",'Apollo Dock Status'!A18)</f>
        <v/>
      </c>
      <c r="B18" s="1" t="str">
        <f>IF(ISBLANK('Apollo Dock Status'!B18),"",'Apollo Dock Status'!B18)</f>
        <v/>
      </c>
      <c r="C18" s="1" t="str">
        <f>IF(ISBLANK('Apollo Dock Status'!C18),"",'Apollo Dock Status'!C18)</f>
        <v/>
      </c>
      <c r="D18" s="1" t="str">
        <f>IF(ISBLANK('Apollo Dock Status'!D18),"",'Apollo Dock Status'!D18)</f>
        <v/>
      </c>
      <c r="E18" s="1" t="str">
        <f>IF(ISBLANK('Apollo Dock Status'!E18),"",'Apollo Dock Status'!E18)</f>
        <v/>
      </c>
      <c r="F18" s="1" t="str">
        <f>IF(ISBLANK('Apollo Dock Status'!F18),"",'Apollo Dock Status'!F18)</f>
        <v/>
      </c>
      <c r="G18" s="1" t="str">
        <f>IF(ISBLANK('Apollo Dock Status'!G18),"",'Apollo Dock Status'!G18)</f>
        <v/>
      </c>
      <c r="H18" s="1" t="str">
        <f>IF(ISBLANK('Apollo Dock Status'!H18),"",'Apollo Dock Status'!H18)</f>
        <v/>
      </c>
      <c r="I18" s="1" t="str">
        <f>IF(ISBLANK('Apollo Dock Status'!I18),"",'Apollo Dock Status'!I18)</f>
        <v/>
      </c>
      <c r="J18" s="1" t="str">
        <f>IF(ISBLANK('Apollo Dock Status'!J18),"",'Apollo Dock Status'!J18)</f>
        <v/>
      </c>
      <c r="K18" s="1" t="str">
        <f>IF(ISBLANK('Apollo Dock Status'!K18),"",'Apollo Dock Status'!K18)</f>
        <v/>
      </c>
      <c r="L18" s="1" t="str">
        <f>IF(ISBLANK('Apollo Dock Status'!L18),"",'Apollo Dock Status'!L18)</f>
        <v/>
      </c>
      <c r="M18" s="1" t="str">
        <f>IF(ISBLANK('Apollo Dock Status'!M18),"",'Apollo Dock Status'!M18)</f>
        <v/>
      </c>
      <c r="N18" s="1" t="str">
        <f>IF(ISBLANK('Apollo Dock Status'!N18),"",'Apollo Dock Status'!N18)</f>
        <v/>
      </c>
      <c r="O18" s="1" t="str">
        <f t="shared" si="12"/>
        <v/>
      </c>
      <c r="P18" s="1" t="str">
        <f t="shared" si="13"/>
        <v/>
      </c>
      <c r="Q18" s="1" t="str">
        <f t="shared" si="14"/>
        <v/>
      </c>
      <c r="R18" s="1" t="str">
        <f t="shared" si="15"/>
        <v/>
      </c>
      <c r="S18" s="11" t="str">
        <f t="shared" si="16"/>
        <v/>
      </c>
      <c r="T18" s="1" t="str">
        <f t="shared" si="17"/>
        <v/>
      </c>
      <c r="U18" s="11" t="str">
        <f t="shared" si="18"/>
        <v/>
      </c>
      <c r="V18" s="11" t="str">
        <f t="shared" si="19"/>
        <v/>
      </c>
      <c r="X18" s="1" t="str">
        <f t="shared" si="20"/>
        <v/>
      </c>
      <c r="Y18" s="1" t="str">
        <f t="shared" si="21"/>
        <v/>
      </c>
      <c r="Z18" s="1" t="str">
        <f t="shared" si="22"/>
        <v/>
      </c>
      <c r="AB18" s="13">
        <f t="shared" ca="1" si="23"/>
        <v>46176</v>
      </c>
      <c r="AC18" s="1">
        <f t="shared" ca="1" si="24"/>
        <v>2026</v>
      </c>
      <c r="AD18" s="1" t="str">
        <f t="shared" ca="1" si="25"/>
        <v>6</v>
      </c>
      <c r="AE18" s="1">
        <f t="shared" si="26"/>
        <v>1</v>
      </c>
      <c r="AF18" s="1" t="str">
        <f t="shared" si="27"/>
        <v/>
      </c>
      <c r="AG18" s="1">
        <f t="shared" ca="1" si="28"/>
        <v>2026</v>
      </c>
      <c r="AH18" s="1">
        <f t="shared" si="29"/>
        <v>1</v>
      </c>
      <c r="AI18" s="1" t="str">
        <f t="shared" ca="1" si="30"/>
        <v>6</v>
      </c>
      <c r="AJ18" s="13" t="e">
        <f t="shared" ca="1" si="31"/>
        <v>#VALUE!</v>
      </c>
      <c r="AK18" s="1" t="e">
        <f>IF(ISBLANK(A18),"",IFERROR(MID(F18,SEARCH(", ",F18)+LEN(", "),SEARCH(" "&amp;'Exception Stores'!$A$2,F18)-SEARCH(", ",F18)-LEN(", ")),MID(F18,SEARCH(", ",F18)+LEN(", "),SEARCH(" "&amp;'Exception Stores'!$B$2,F18)-SEARCH(", ",F18)-LEN(", "))))</f>
        <v>#VALUE!</v>
      </c>
      <c r="AL18" s="1" t="e">
        <f t="shared" si="32"/>
        <v>#VALUE!</v>
      </c>
      <c r="AM18" s="15" t="e">
        <f t="shared" ca="1" si="33"/>
        <v>#VALUE!</v>
      </c>
      <c r="AN18" s="24" t="e">
        <f t="shared" ca="1" si="34"/>
        <v>#VALUE!</v>
      </c>
      <c r="AO18" s="1" t="e">
        <f t="shared" ca="1" si="35"/>
        <v>#VALUE!</v>
      </c>
      <c r="AP18" s="13" t="e">
        <f t="shared" ca="1" si="36"/>
        <v>#VALUE!</v>
      </c>
      <c r="AQ18" s="17" t="e">
        <f t="shared" ca="1" si="37"/>
        <v>#VALUE!</v>
      </c>
      <c r="AS18" s="15" t="e">
        <f t="shared" ca="1" si="38"/>
        <v>#VALUE!</v>
      </c>
      <c r="AT18" s="5">
        <f>'Exception Stores'!$D$2</f>
        <v>0.125</v>
      </c>
      <c r="AU18" s="15" t="e">
        <f t="shared" ca="1" si="39"/>
        <v>#VALUE!</v>
      </c>
      <c r="AV18" s="15" t="e">
        <f t="shared" ca="1" si="40"/>
        <v>#VALUE!</v>
      </c>
      <c r="AW18" s="15" t="e">
        <f t="shared" ca="1" si="41"/>
        <v>#VALUE!</v>
      </c>
      <c r="AX18" s="15" t="e">
        <f t="shared" ca="1" si="42"/>
        <v>#VALUE!</v>
      </c>
      <c r="AY18" s="15" t="e">
        <f t="shared" ca="1" si="43"/>
        <v>#VALUE!</v>
      </c>
      <c r="AZ18" s="1" t="e">
        <f t="shared" ca="1" si="44"/>
        <v>#VALUE!</v>
      </c>
      <c r="BA18" s="15" t="e">
        <f t="shared" ca="1" si="45"/>
        <v>#VALUE!</v>
      </c>
      <c r="BB18" s="15" t="e">
        <f t="shared" ca="1" si="46"/>
        <v>#VALUE!</v>
      </c>
      <c r="BC18" s="1" t="e">
        <f t="shared" ca="1" si="47"/>
        <v>#VALUE!</v>
      </c>
      <c r="BE18" s="15" t="str">
        <f>IF(ISBLANK('Exception Stores'!$A$6),"",'Exception Stores'!$A$6)</f>
        <v/>
      </c>
      <c r="BF18" s="15" t="str">
        <f>IF(ISBLANK('Exception Stores'!$B$6),"",'Exception Stores'!$B$6)</f>
        <v/>
      </c>
      <c r="BG18" s="1">
        <f>IF(ISBLANK('Exception Stores'!$A$6),0,IF($AN$2&gt;$BF$2,($AN$2-$BF$2)*24,0))</f>
        <v>0</v>
      </c>
      <c r="BH18" s="11">
        <f>IF(ISBLANK('Exception Stores'!$A$6),0,($BF$2-$BE$2)*24)</f>
        <v>0</v>
      </c>
      <c r="BI1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8" s="1">
        <f>IF(ISBLANK('Exception Stores'!$A$6),0,IF($AN$2&gt;$BF$2,0,IF(AND($AN$2&lt;$BF$2,$BT$2="B"),(($BF$2-$AN$2)*24)-$BS$2,($BF$2-$AN$2)*24)))</f>
        <v>0</v>
      </c>
      <c r="BL18" s="5"/>
      <c r="BM18" s="5"/>
      <c r="BN18" s="5"/>
      <c r="BO18" s="5"/>
      <c r="BP18" s="5"/>
      <c r="BV18" s="1" t="e">
        <f t="shared" ca="1" si="48"/>
        <v>#VALUE!</v>
      </c>
      <c r="BW18" s="1" t="e">
        <f t="shared" ca="1" si="49"/>
        <v>#VALUE!</v>
      </c>
      <c r="BX18" s="1" t="e">
        <f t="shared" ca="1" si="50"/>
        <v>#VALUE!</v>
      </c>
      <c r="BY18" s="1" t="e">
        <f t="shared" ca="1" si="51"/>
        <v>#VALUE!</v>
      </c>
      <c r="BZ18" s="1" t="e">
        <f t="shared" ca="1" si="52"/>
        <v>#VALUE!</v>
      </c>
      <c r="CB18" s="1" t="str">
        <f>IF(ISBLANK('Exception Stores'!$A$6),"",WEEKDAY($BF$2))</f>
        <v/>
      </c>
      <c r="CC18" s="1" t="str">
        <f>IF(ISBLANK('Exception Stores'!$A$6),"NO",IF('Exception Stores'!$A$6&lt;$AU$2,"YES","NO"))</f>
        <v>NO</v>
      </c>
      <c r="CD18" s="1" t="str">
        <f>IF(ISBLANK('Exception Stores'!$A$6),"NO",IF('Exception Stores'!$A$6&lt;$AV$2,"YES","NO"))</f>
        <v>NO</v>
      </c>
      <c r="CE18" s="1" t="str">
        <f>IF(ISBLANK('Exception Stores'!$A$6),"NO",IF('Exception Stores'!$A$6&lt;$AW$2,"YES","NO"))</f>
        <v>NO</v>
      </c>
      <c r="CF18" s="1" t="str">
        <f>IF(ISBLANK('Exception Stores'!$A$6),"NO",IF('Exception Stores'!$A$6&lt;$AX$2,"YES","NO"))</f>
        <v>NO</v>
      </c>
      <c r="CG18" s="1" t="str">
        <f>IF(ISBLANK('Exception Stores'!$A$6),"NO",IF('Exception Stores'!$A$6&lt;$AY$2,"YES","NO"))</f>
        <v>NO</v>
      </c>
      <c r="CI18" s="42" t="str">
        <f>IF(ISBLANK('Exception Stores'!$B$6),"NO",IF('Exception Stores'!$B$6&lt;=$AU$2,"YES","NO"))</f>
        <v>NO</v>
      </c>
      <c r="CJ18" s="42" t="str">
        <f>IF(ISBLANK('Exception Stores'!$B$6),"NO",IF('Exception Stores'!$B$6&lt;=$AV$2,"YES","NO"))</f>
        <v>NO</v>
      </c>
      <c r="CK18" s="1" t="str">
        <f>IF(ISBLANK('Exception Stores'!$B$6),"NO",IF('Exception Stores'!$B$6&lt;=$AW$2,"YES","NO"))</f>
        <v>NO</v>
      </c>
      <c r="CL18" s="1" t="str">
        <f>IF(ISBLANK('Exception Stores'!$B$6),"NO",IF('Exception Stores'!$B$6&lt;=$AX$2,"YES","NO"))</f>
        <v>NO</v>
      </c>
      <c r="CM18" s="1" t="str">
        <f>IF(ISBLANK('Exception Stores'!$B$6),"NO",IF('Exception Stores'!$B$6&lt;=$AY$2,"YES","NO"))</f>
        <v>NO</v>
      </c>
      <c r="CO18" s="1" t="e">
        <f ca="1">IF(AM18&lt;'Exception Stores'!$A$6,"YES","NO")</f>
        <v>#VALUE!</v>
      </c>
      <c r="CP18" s="1">
        <f t="shared" si="53"/>
        <v>0</v>
      </c>
      <c r="CQ18" s="1">
        <f t="shared" si="54"/>
        <v>0</v>
      </c>
      <c r="CR18" s="1">
        <f t="shared" si="55"/>
        <v>0</v>
      </c>
      <c r="CS18" s="1">
        <f t="shared" si="56"/>
        <v>0</v>
      </c>
      <c r="CT18" s="1">
        <f t="shared" si="57"/>
        <v>0</v>
      </c>
      <c r="CU18" s="1">
        <f t="shared" si="58"/>
        <v>0</v>
      </c>
      <c r="CW18" s="1" t="e">
        <f t="shared" ca="1" si="59"/>
        <v>#VALUE!</v>
      </c>
      <c r="CX18" s="1" t="e">
        <f t="shared" ca="1" si="0"/>
        <v>#VALUE!</v>
      </c>
      <c r="CY18" s="1" t="e">
        <f t="shared" ca="1" si="1"/>
        <v>#VALUE!</v>
      </c>
      <c r="CZ18" s="1" t="e">
        <f t="shared" ca="1" si="2"/>
        <v>#VALUE!</v>
      </c>
      <c r="DA18" s="1" t="e">
        <f t="shared" ca="1" si="3"/>
        <v>#VALUE!</v>
      </c>
      <c r="DB18" s="26" t="e">
        <f t="shared" ca="1" si="60"/>
        <v>#VALUE!</v>
      </c>
      <c r="DC18" s="1">
        <f t="shared" si="4"/>
        <v>0</v>
      </c>
      <c r="DD18" s="1">
        <f t="shared" si="5"/>
        <v>0</v>
      </c>
      <c r="DE18" s="1">
        <f t="shared" si="6"/>
        <v>0</v>
      </c>
      <c r="DF18" s="1">
        <f t="shared" si="7"/>
        <v>0</v>
      </c>
      <c r="DG18" s="1">
        <f t="shared" si="8"/>
        <v>0</v>
      </c>
      <c r="DH18" s="26">
        <f t="shared" si="61"/>
        <v>0</v>
      </c>
      <c r="DI18" s="1" t="e">
        <f t="shared" ca="1" si="62"/>
        <v>#VALUE!</v>
      </c>
      <c r="DK18" s="11" t="str">
        <f t="shared" si="9"/>
        <v/>
      </c>
      <c r="DL18" s="11" t="e">
        <f ca="1">IF(AND(NOT(ISBLANK('Exception Stores'!$A$6)),CO18="YES"),S18-$BH$2-(DI18*$BS$2)-(CU18*$BS$2),S18-(DB18*$BS$2))</f>
        <v>#VALUE!</v>
      </c>
      <c r="DM18" s="11" t="str">
        <f>IF(ISBLANK(A18),"",IF(COUNTIF(Remaps!$A$2:$A$200,B18)&gt;0,"YES",""))</f>
        <v>YES</v>
      </c>
      <c r="DN18" s="29">
        <f>IFERROR(INDEX(Remaps!$B$2:$B$200,MATCH(B18,Remaps!$A$2:$A$200,0),1),0)</f>
        <v>0</v>
      </c>
      <c r="DO18" s="11" t="e">
        <f t="shared" ca="1" si="10"/>
        <v>#VALUE!</v>
      </c>
      <c r="DP18" s="29" t="e">
        <f t="shared" si="11"/>
        <v>#VALUE!</v>
      </c>
      <c r="DQ18" s="11" t="e">
        <f ca="1">('Apollo Dock Status'!$Z$1-DP18)/DO18</f>
        <v>#VALUE!</v>
      </c>
      <c r="DR18" s="15" t="e">
        <f t="shared" ca="1" si="63"/>
        <v>#VALUE!</v>
      </c>
    </row>
    <row r="19" spans="1:122">
      <c r="A19" s="1" t="str">
        <f>IF(ISBLANK('Apollo Dock Status'!A19),"",'Apollo Dock Status'!A19)</f>
        <v/>
      </c>
      <c r="B19" s="1" t="str">
        <f>IF(ISBLANK('Apollo Dock Status'!B19),"",'Apollo Dock Status'!B19)</f>
        <v/>
      </c>
      <c r="C19" s="1" t="str">
        <f>IF(ISBLANK('Apollo Dock Status'!C19),"",'Apollo Dock Status'!C19)</f>
        <v/>
      </c>
      <c r="D19" s="1" t="str">
        <f>IF(ISBLANK('Apollo Dock Status'!D19),"",'Apollo Dock Status'!D19)</f>
        <v/>
      </c>
      <c r="E19" s="1" t="str">
        <f>IF(ISBLANK('Apollo Dock Status'!E19),"",'Apollo Dock Status'!E19)</f>
        <v/>
      </c>
      <c r="F19" s="1" t="str">
        <f>IF(ISBLANK('Apollo Dock Status'!F19),"",'Apollo Dock Status'!F19)</f>
        <v/>
      </c>
      <c r="G19" s="1" t="str">
        <f>IF(ISBLANK('Apollo Dock Status'!G19),"",'Apollo Dock Status'!G19)</f>
        <v/>
      </c>
      <c r="H19" s="1" t="str">
        <f>IF(ISBLANK('Apollo Dock Status'!H19),"",'Apollo Dock Status'!H19)</f>
        <v/>
      </c>
      <c r="I19" s="1" t="str">
        <f>IF(ISBLANK('Apollo Dock Status'!I19),"",'Apollo Dock Status'!I19)</f>
        <v/>
      </c>
      <c r="J19" s="1" t="str">
        <f>IF(ISBLANK('Apollo Dock Status'!J19),"",'Apollo Dock Status'!J19)</f>
        <v/>
      </c>
      <c r="K19" s="1" t="str">
        <f>IF(ISBLANK('Apollo Dock Status'!K19),"",'Apollo Dock Status'!K19)</f>
        <v/>
      </c>
      <c r="L19" s="1" t="str">
        <f>IF(ISBLANK('Apollo Dock Status'!L19),"",'Apollo Dock Status'!L19)</f>
        <v/>
      </c>
      <c r="M19" s="1" t="str">
        <f>IF(ISBLANK('Apollo Dock Status'!M19),"",'Apollo Dock Status'!M19)</f>
        <v/>
      </c>
      <c r="N19" s="1" t="str">
        <f>IF(ISBLANK('Apollo Dock Status'!N19),"",'Apollo Dock Status'!N19)</f>
        <v/>
      </c>
      <c r="O19" s="1" t="str">
        <f t="shared" si="12"/>
        <v/>
      </c>
      <c r="P19" s="1" t="str">
        <f t="shared" si="13"/>
        <v/>
      </c>
      <c r="Q19" s="1" t="str">
        <f t="shared" si="14"/>
        <v/>
      </c>
      <c r="R19" s="1" t="str">
        <f t="shared" si="15"/>
        <v/>
      </c>
      <c r="S19" s="11" t="str">
        <f t="shared" si="16"/>
        <v/>
      </c>
      <c r="T19" s="1" t="str">
        <f t="shared" si="17"/>
        <v/>
      </c>
      <c r="U19" s="11" t="str">
        <f t="shared" si="18"/>
        <v/>
      </c>
      <c r="V19" s="11" t="str">
        <f t="shared" si="19"/>
        <v/>
      </c>
      <c r="X19" s="1" t="str">
        <f t="shared" si="20"/>
        <v/>
      </c>
      <c r="Y19" s="1" t="str">
        <f t="shared" si="21"/>
        <v/>
      </c>
      <c r="Z19" s="1" t="str">
        <f t="shared" si="22"/>
        <v/>
      </c>
      <c r="AB19" s="13">
        <f t="shared" ca="1" si="23"/>
        <v>46176</v>
      </c>
      <c r="AC19" s="1">
        <f t="shared" ca="1" si="24"/>
        <v>2026</v>
      </c>
      <c r="AD19" s="1" t="str">
        <f t="shared" ca="1" si="25"/>
        <v>6</v>
      </c>
      <c r="AE19" s="1">
        <f t="shared" si="26"/>
        <v>1</v>
      </c>
      <c r="AF19" s="1" t="str">
        <f t="shared" si="27"/>
        <v/>
      </c>
      <c r="AG19" s="1">
        <f t="shared" ca="1" si="28"/>
        <v>2026</v>
      </c>
      <c r="AH19" s="1">
        <f t="shared" si="29"/>
        <v>1</v>
      </c>
      <c r="AI19" s="1" t="str">
        <f t="shared" ca="1" si="30"/>
        <v>6</v>
      </c>
      <c r="AJ19" s="13" t="e">
        <f t="shared" ca="1" si="31"/>
        <v>#VALUE!</v>
      </c>
      <c r="AK19" s="1" t="e">
        <f>IF(ISBLANK(A19),"",IFERROR(MID(F19,SEARCH(", ",F19)+LEN(", "),SEARCH(" "&amp;'Exception Stores'!$A$2,F19)-SEARCH(", ",F19)-LEN(", ")),MID(F19,SEARCH(", ",F19)+LEN(", "),SEARCH(" "&amp;'Exception Stores'!$B$2,F19)-SEARCH(", ",F19)-LEN(", "))))</f>
        <v>#VALUE!</v>
      </c>
      <c r="AL19" s="1" t="e">
        <f t="shared" si="32"/>
        <v>#VALUE!</v>
      </c>
      <c r="AM19" s="15" t="e">
        <f t="shared" ca="1" si="33"/>
        <v>#VALUE!</v>
      </c>
      <c r="AN19" s="24" t="e">
        <f t="shared" ca="1" si="34"/>
        <v>#VALUE!</v>
      </c>
      <c r="AO19" s="1" t="e">
        <f t="shared" ca="1" si="35"/>
        <v>#VALUE!</v>
      </c>
      <c r="AP19" s="13" t="e">
        <f t="shared" ca="1" si="36"/>
        <v>#VALUE!</v>
      </c>
      <c r="AQ19" s="17" t="e">
        <f t="shared" ca="1" si="37"/>
        <v>#VALUE!</v>
      </c>
      <c r="AS19" s="15" t="e">
        <f t="shared" ca="1" si="38"/>
        <v>#VALUE!</v>
      </c>
      <c r="AT19" s="5">
        <f>'Exception Stores'!$D$2</f>
        <v>0.125</v>
      </c>
      <c r="AU19" s="15" t="e">
        <f t="shared" ca="1" si="39"/>
        <v>#VALUE!</v>
      </c>
      <c r="AV19" s="15" t="e">
        <f t="shared" ca="1" si="40"/>
        <v>#VALUE!</v>
      </c>
      <c r="AW19" s="15" t="e">
        <f t="shared" ca="1" si="41"/>
        <v>#VALUE!</v>
      </c>
      <c r="AX19" s="15" t="e">
        <f t="shared" ca="1" si="42"/>
        <v>#VALUE!</v>
      </c>
      <c r="AY19" s="15" t="e">
        <f t="shared" ca="1" si="43"/>
        <v>#VALUE!</v>
      </c>
      <c r="AZ19" s="1" t="e">
        <f t="shared" ca="1" si="44"/>
        <v>#VALUE!</v>
      </c>
      <c r="BA19" s="15" t="e">
        <f t="shared" ca="1" si="45"/>
        <v>#VALUE!</v>
      </c>
      <c r="BB19" s="15" t="e">
        <f t="shared" ca="1" si="46"/>
        <v>#VALUE!</v>
      </c>
      <c r="BC19" s="1" t="e">
        <f t="shared" ca="1" si="47"/>
        <v>#VALUE!</v>
      </c>
      <c r="BE19" s="15" t="str">
        <f>IF(ISBLANK('Exception Stores'!$A$6),"",'Exception Stores'!$A$6)</f>
        <v/>
      </c>
      <c r="BF19" s="15" t="str">
        <f>IF(ISBLANK('Exception Stores'!$B$6),"",'Exception Stores'!$B$6)</f>
        <v/>
      </c>
      <c r="BG19" s="1">
        <f>IF(ISBLANK('Exception Stores'!$A$6),0,IF($AN$2&gt;$BF$2,($AN$2-$BF$2)*24,0))</f>
        <v>0</v>
      </c>
      <c r="BH19" s="11">
        <f>IF(ISBLANK('Exception Stores'!$A$6),0,($BF$2-$BE$2)*24)</f>
        <v>0</v>
      </c>
      <c r="BI1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9" s="1">
        <f>IF(ISBLANK('Exception Stores'!$A$6),0,IF($AN$2&gt;$BF$2,0,IF(AND($AN$2&lt;$BF$2,$BT$2="B"),(($BF$2-$AN$2)*24)-$BS$2,($BF$2-$AN$2)*24)))</f>
        <v>0</v>
      </c>
      <c r="BL19" s="5"/>
      <c r="BM19" s="5"/>
      <c r="BN19" s="5"/>
      <c r="BO19" s="5"/>
      <c r="BP19" s="5"/>
      <c r="BV19" s="1" t="e">
        <f t="shared" ca="1" si="48"/>
        <v>#VALUE!</v>
      </c>
      <c r="BW19" s="1" t="e">
        <f t="shared" ca="1" si="49"/>
        <v>#VALUE!</v>
      </c>
      <c r="BX19" s="1" t="e">
        <f t="shared" ca="1" si="50"/>
        <v>#VALUE!</v>
      </c>
      <c r="BY19" s="1" t="e">
        <f t="shared" ca="1" si="51"/>
        <v>#VALUE!</v>
      </c>
      <c r="BZ19" s="1" t="e">
        <f t="shared" ca="1" si="52"/>
        <v>#VALUE!</v>
      </c>
      <c r="CB19" s="1" t="str">
        <f>IF(ISBLANK('Exception Stores'!$A$6),"",WEEKDAY($BF$2))</f>
        <v/>
      </c>
      <c r="CC19" s="1" t="str">
        <f>IF(ISBLANK('Exception Stores'!$A$6),"NO",IF('Exception Stores'!$A$6&lt;$AU$2,"YES","NO"))</f>
        <v>NO</v>
      </c>
      <c r="CD19" s="1" t="str">
        <f>IF(ISBLANK('Exception Stores'!$A$6),"NO",IF('Exception Stores'!$A$6&lt;$AV$2,"YES","NO"))</f>
        <v>NO</v>
      </c>
      <c r="CE19" s="1" t="str">
        <f>IF(ISBLANK('Exception Stores'!$A$6),"NO",IF('Exception Stores'!$A$6&lt;$AW$2,"YES","NO"))</f>
        <v>NO</v>
      </c>
      <c r="CF19" s="1" t="str">
        <f>IF(ISBLANK('Exception Stores'!$A$6),"NO",IF('Exception Stores'!$A$6&lt;$AX$2,"YES","NO"))</f>
        <v>NO</v>
      </c>
      <c r="CG19" s="1" t="str">
        <f>IF(ISBLANK('Exception Stores'!$A$6),"NO",IF('Exception Stores'!$A$6&lt;$AY$2,"YES","NO"))</f>
        <v>NO</v>
      </c>
      <c r="CI19" s="42" t="str">
        <f>IF(ISBLANK('Exception Stores'!$B$6),"NO",IF('Exception Stores'!$B$6&lt;=$AU$2,"YES","NO"))</f>
        <v>NO</v>
      </c>
      <c r="CJ19" s="42" t="str">
        <f>IF(ISBLANK('Exception Stores'!$B$6),"NO",IF('Exception Stores'!$B$6&lt;=$AV$2,"YES","NO"))</f>
        <v>NO</v>
      </c>
      <c r="CK19" s="1" t="str">
        <f>IF(ISBLANK('Exception Stores'!$B$6),"NO",IF('Exception Stores'!$B$6&lt;=$AW$2,"YES","NO"))</f>
        <v>NO</v>
      </c>
      <c r="CL19" s="1" t="str">
        <f>IF(ISBLANK('Exception Stores'!$B$6),"NO",IF('Exception Stores'!$B$6&lt;=$AX$2,"YES","NO"))</f>
        <v>NO</v>
      </c>
      <c r="CM19" s="1" t="str">
        <f>IF(ISBLANK('Exception Stores'!$B$6),"NO",IF('Exception Stores'!$B$6&lt;=$AY$2,"YES","NO"))</f>
        <v>NO</v>
      </c>
      <c r="CO19" s="1" t="e">
        <f ca="1">IF(AM19&lt;'Exception Stores'!$A$6,"YES","NO")</f>
        <v>#VALUE!</v>
      </c>
      <c r="CP19" s="1">
        <f t="shared" si="53"/>
        <v>0</v>
      </c>
      <c r="CQ19" s="1">
        <f t="shared" si="54"/>
        <v>0</v>
      </c>
      <c r="CR19" s="1">
        <f t="shared" si="55"/>
        <v>0</v>
      </c>
      <c r="CS19" s="1">
        <f t="shared" si="56"/>
        <v>0</v>
      </c>
      <c r="CT19" s="1">
        <f t="shared" si="57"/>
        <v>0</v>
      </c>
      <c r="CU19" s="1">
        <f t="shared" si="58"/>
        <v>0</v>
      </c>
      <c r="CW19" s="1" t="e">
        <f t="shared" ca="1" si="59"/>
        <v>#VALUE!</v>
      </c>
      <c r="CX19" s="1" t="e">
        <f t="shared" ca="1" si="0"/>
        <v>#VALUE!</v>
      </c>
      <c r="CY19" s="1" t="e">
        <f t="shared" ca="1" si="1"/>
        <v>#VALUE!</v>
      </c>
      <c r="CZ19" s="1" t="e">
        <f t="shared" ca="1" si="2"/>
        <v>#VALUE!</v>
      </c>
      <c r="DA19" s="1" t="e">
        <f t="shared" ca="1" si="3"/>
        <v>#VALUE!</v>
      </c>
      <c r="DB19" s="26" t="e">
        <f t="shared" ca="1" si="60"/>
        <v>#VALUE!</v>
      </c>
      <c r="DC19" s="1">
        <f t="shared" si="4"/>
        <v>0</v>
      </c>
      <c r="DD19" s="1">
        <f t="shared" si="5"/>
        <v>0</v>
      </c>
      <c r="DE19" s="1">
        <f t="shared" si="6"/>
        <v>0</v>
      </c>
      <c r="DF19" s="1">
        <f t="shared" si="7"/>
        <v>0</v>
      </c>
      <c r="DG19" s="1">
        <f t="shared" si="8"/>
        <v>0</v>
      </c>
      <c r="DH19" s="26">
        <f t="shared" si="61"/>
        <v>0</v>
      </c>
      <c r="DI19" s="1" t="e">
        <f t="shared" ca="1" si="62"/>
        <v>#VALUE!</v>
      </c>
      <c r="DK19" s="11" t="str">
        <f t="shared" si="9"/>
        <v/>
      </c>
      <c r="DL19" s="11" t="e">
        <f ca="1">IF(AND(NOT(ISBLANK('Exception Stores'!$A$6)),CO19="YES"),S19-$BH$2-(DI19*$BS$2)-(CU19*$BS$2),S19-(DB19*$BS$2))</f>
        <v>#VALUE!</v>
      </c>
      <c r="DM19" s="11" t="str">
        <f>IF(ISBLANK(A19),"",IF(COUNTIF(Remaps!$A$2:$A$200,B19)&gt;0,"YES",""))</f>
        <v>YES</v>
      </c>
      <c r="DN19" s="29">
        <f>IFERROR(INDEX(Remaps!$B$2:$B$200,MATCH(B19,Remaps!$A$2:$A$200,0),1),0)</f>
        <v>0</v>
      </c>
      <c r="DO19" s="11" t="e">
        <f t="shared" ca="1" si="10"/>
        <v>#VALUE!</v>
      </c>
      <c r="DP19" s="29" t="e">
        <f t="shared" si="11"/>
        <v>#VALUE!</v>
      </c>
      <c r="DQ19" s="11" t="e">
        <f ca="1">('Apollo Dock Status'!$Z$1-DP19)/DO19</f>
        <v>#VALUE!</v>
      </c>
      <c r="DR19" s="15" t="e">
        <f t="shared" ca="1" si="63"/>
        <v>#VALUE!</v>
      </c>
    </row>
    <row r="20" spans="1:122">
      <c r="A20" s="1" t="str">
        <f>IF(ISBLANK('Apollo Dock Status'!A20),"",'Apollo Dock Status'!A20)</f>
        <v/>
      </c>
      <c r="B20" s="1" t="str">
        <f>IF(ISBLANK('Apollo Dock Status'!B20),"",'Apollo Dock Status'!B20)</f>
        <v/>
      </c>
      <c r="C20" s="1" t="str">
        <f>IF(ISBLANK('Apollo Dock Status'!C20),"",'Apollo Dock Status'!C20)</f>
        <v/>
      </c>
      <c r="D20" s="1" t="str">
        <f>IF(ISBLANK('Apollo Dock Status'!D20),"",'Apollo Dock Status'!D20)</f>
        <v/>
      </c>
      <c r="E20" s="1" t="str">
        <f>IF(ISBLANK('Apollo Dock Status'!E20),"",'Apollo Dock Status'!E20)</f>
        <v/>
      </c>
      <c r="F20" s="1" t="str">
        <f>IF(ISBLANK('Apollo Dock Status'!F20),"",'Apollo Dock Status'!F20)</f>
        <v/>
      </c>
      <c r="G20" s="1" t="str">
        <f>IF(ISBLANK('Apollo Dock Status'!G20),"",'Apollo Dock Status'!G20)</f>
        <v/>
      </c>
      <c r="H20" s="1" t="str">
        <f>IF(ISBLANK('Apollo Dock Status'!H20),"",'Apollo Dock Status'!H20)</f>
        <v/>
      </c>
      <c r="I20" s="1" t="str">
        <f>IF(ISBLANK('Apollo Dock Status'!I20),"",'Apollo Dock Status'!I20)</f>
        <v/>
      </c>
      <c r="J20" s="1" t="str">
        <f>IF(ISBLANK('Apollo Dock Status'!J20),"",'Apollo Dock Status'!J20)</f>
        <v/>
      </c>
      <c r="K20" s="1" t="str">
        <f>IF(ISBLANK('Apollo Dock Status'!K20),"",'Apollo Dock Status'!K20)</f>
        <v/>
      </c>
      <c r="L20" s="1" t="str">
        <f>IF(ISBLANK('Apollo Dock Status'!L20),"",'Apollo Dock Status'!L20)</f>
        <v/>
      </c>
      <c r="M20" s="1" t="str">
        <f>IF(ISBLANK('Apollo Dock Status'!M20),"",'Apollo Dock Status'!M20)</f>
        <v/>
      </c>
      <c r="N20" s="1" t="str">
        <f>IF(ISBLANK('Apollo Dock Status'!N20),"",'Apollo Dock Status'!N20)</f>
        <v/>
      </c>
      <c r="O20" s="1" t="str">
        <f t="shared" si="12"/>
        <v/>
      </c>
      <c r="P20" s="1" t="str">
        <f t="shared" si="13"/>
        <v/>
      </c>
      <c r="Q20" s="1" t="str">
        <f t="shared" si="14"/>
        <v/>
      </c>
      <c r="R20" s="1" t="str">
        <f t="shared" si="15"/>
        <v/>
      </c>
      <c r="S20" s="11" t="str">
        <f t="shared" si="16"/>
        <v/>
      </c>
      <c r="T20" s="1" t="str">
        <f t="shared" si="17"/>
        <v/>
      </c>
      <c r="U20" s="11" t="str">
        <f t="shared" si="18"/>
        <v/>
      </c>
      <c r="V20" s="11" t="str">
        <f t="shared" si="19"/>
        <v/>
      </c>
      <c r="X20" s="1" t="str">
        <f t="shared" si="20"/>
        <v/>
      </c>
      <c r="Y20" s="1" t="str">
        <f t="shared" si="21"/>
        <v/>
      </c>
      <c r="Z20" s="1" t="str">
        <f t="shared" si="22"/>
        <v/>
      </c>
      <c r="AB20" s="13">
        <f t="shared" ca="1" si="23"/>
        <v>46176</v>
      </c>
      <c r="AC20" s="1">
        <f t="shared" ca="1" si="24"/>
        <v>2026</v>
      </c>
      <c r="AD20" s="1" t="str">
        <f t="shared" ca="1" si="25"/>
        <v>6</v>
      </c>
      <c r="AE20" s="1">
        <f t="shared" si="26"/>
        <v>1</v>
      </c>
      <c r="AF20" s="1" t="str">
        <f t="shared" si="27"/>
        <v/>
      </c>
      <c r="AG20" s="1">
        <f t="shared" ca="1" si="28"/>
        <v>2026</v>
      </c>
      <c r="AH20" s="1">
        <f t="shared" si="29"/>
        <v>1</v>
      </c>
      <c r="AI20" s="1" t="str">
        <f t="shared" ca="1" si="30"/>
        <v>6</v>
      </c>
      <c r="AJ20" s="13" t="e">
        <f t="shared" ca="1" si="31"/>
        <v>#VALUE!</v>
      </c>
      <c r="AK20" s="1" t="e">
        <f>IF(ISBLANK(A20),"",IFERROR(MID(F20,SEARCH(", ",F20)+LEN(", "),SEARCH(" "&amp;'Exception Stores'!$A$2,F20)-SEARCH(", ",F20)-LEN(", ")),MID(F20,SEARCH(", ",F20)+LEN(", "),SEARCH(" "&amp;'Exception Stores'!$B$2,F20)-SEARCH(", ",F20)-LEN(", "))))</f>
        <v>#VALUE!</v>
      </c>
      <c r="AL20" s="1" t="e">
        <f t="shared" si="32"/>
        <v>#VALUE!</v>
      </c>
      <c r="AM20" s="15" t="e">
        <f t="shared" ca="1" si="33"/>
        <v>#VALUE!</v>
      </c>
      <c r="AN20" s="24" t="e">
        <f t="shared" ca="1" si="34"/>
        <v>#VALUE!</v>
      </c>
      <c r="AO20" s="1" t="e">
        <f t="shared" ca="1" si="35"/>
        <v>#VALUE!</v>
      </c>
      <c r="AP20" s="13" t="e">
        <f t="shared" ca="1" si="36"/>
        <v>#VALUE!</v>
      </c>
      <c r="AQ20" s="17" t="e">
        <f t="shared" ca="1" si="37"/>
        <v>#VALUE!</v>
      </c>
      <c r="AS20" s="15" t="e">
        <f t="shared" ca="1" si="38"/>
        <v>#VALUE!</v>
      </c>
      <c r="AT20" s="5">
        <f>'Exception Stores'!$D$2</f>
        <v>0.125</v>
      </c>
      <c r="AU20" s="15" t="e">
        <f t="shared" ca="1" si="39"/>
        <v>#VALUE!</v>
      </c>
      <c r="AV20" s="15" t="e">
        <f t="shared" ca="1" si="40"/>
        <v>#VALUE!</v>
      </c>
      <c r="AW20" s="15" t="e">
        <f t="shared" ca="1" si="41"/>
        <v>#VALUE!</v>
      </c>
      <c r="AX20" s="15" t="e">
        <f t="shared" ca="1" si="42"/>
        <v>#VALUE!</v>
      </c>
      <c r="AY20" s="15" t="e">
        <f t="shared" ca="1" si="43"/>
        <v>#VALUE!</v>
      </c>
      <c r="AZ20" s="1" t="e">
        <f t="shared" ca="1" si="44"/>
        <v>#VALUE!</v>
      </c>
      <c r="BA20" s="15" t="e">
        <f t="shared" ca="1" si="45"/>
        <v>#VALUE!</v>
      </c>
      <c r="BB20" s="15" t="e">
        <f t="shared" ca="1" si="46"/>
        <v>#VALUE!</v>
      </c>
      <c r="BC20" s="1" t="e">
        <f t="shared" ca="1" si="47"/>
        <v>#VALUE!</v>
      </c>
      <c r="BE20" s="15" t="str">
        <f>IF(ISBLANK('Exception Stores'!$A$6),"",'Exception Stores'!$A$6)</f>
        <v/>
      </c>
      <c r="BF20" s="15" t="str">
        <f>IF(ISBLANK('Exception Stores'!$B$6),"",'Exception Stores'!$B$6)</f>
        <v/>
      </c>
      <c r="BG20" s="1">
        <f>IF(ISBLANK('Exception Stores'!$A$6),0,IF($AN$2&gt;$BF$2,($AN$2-$BF$2)*24,0))</f>
        <v>0</v>
      </c>
      <c r="BH20" s="11">
        <f>IF(ISBLANK('Exception Stores'!$A$6),0,($BF$2-$BE$2)*24)</f>
        <v>0</v>
      </c>
      <c r="BI2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20" s="1">
        <f>IF(ISBLANK('Exception Stores'!$A$6),0,IF($AN$2&gt;$BF$2,0,IF(AND($AN$2&lt;$BF$2,$BT$2="B"),(($BF$2-$AN$2)*24)-$BS$2,($BF$2-$AN$2)*24)))</f>
        <v>0</v>
      </c>
      <c r="BL20" s="5"/>
      <c r="BM20" s="5"/>
      <c r="BN20" s="5"/>
      <c r="BO20" s="5"/>
      <c r="BP20" s="5"/>
      <c r="BV20" s="1" t="e">
        <f t="shared" ca="1" si="48"/>
        <v>#VALUE!</v>
      </c>
      <c r="BW20" s="1" t="e">
        <f t="shared" ca="1" si="49"/>
        <v>#VALUE!</v>
      </c>
      <c r="BX20" s="1" t="e">
        <f t="shared" ca="1" si="50"/>
        <v>#VALUE!</v>
      </c>
      <c r="BY20" s="1" t="e">
        <f t="shared" ca="1" si="51"/>
        <v>#VALUE!</v>
      </c>
      <c r="BZ20" s="1" t="e">
        <f t="shared" ca="1" si="52"/>
        <v>#VALUE!</v>
      </c>
      <c r="CB20" s="1" t="str">
        <f>IF(ISBLANK('Exception Stores'!$A$6),"",WEEKDAY($BF$2))</f>
        <v/>
      </c>
      <c r="CC20" s="1" t="str">
        <f>IF(ISBLANK('Exception Stores'!$A$6),"NO",IF('Exception Stores'!$A$6&lt;$AU$2,"YES","NO"))</f>
        <v>NO</v>
      </c>
      <c r="CD20" s="1" t="str">
        <f>IF(ISBLANK('Exception Stores'!$A$6),"NO",IF('Exception Stores'!$A$6&lt;$AV$2,"YES","NO"))</f>
        <v>NO</v>
      </c>
      <c r="CE20" s="1" t="str">
        <f>IF(ISBLANK('Exception Stores'!$A$6),"NO",IF('Exception Stores'!$A$6&lt;$AW$2,"YES","NO"))</f>
        <v>NO</v>
      </c>
      <c r="CF20" s="1" t="str">
        <f>IF(ISBLANK('Exception Stores'!$A$6),"NO",IF('Exception Stores'!$A$6&lt;$AX$2,"YES","NO"))</f>
        <v>NO</v>
      </c>
      <c r="CG20" s="1" t="str">
        <f>IF(ISBLANK('Exception Stores'!$A$6),"NO",IF('Exception Stores'!$A$6&lt;$AY$2,"YES","NO"))</f>
        <v>NO</v>
      </c>
      <c r="CI20" s="42" t="str">
        <f>IF(ISBLANK('Exception Stores'!$B$6),"NO",IF('Exception Stores'!$B$6&lt;=$AU$2,"YES","NO"))</f>
        <v>NO</v>
      </c>
      <c r="CJ20" s="42" t="str">
        <f>IF(ISBLANK('Exception Stores'!$B$6),"NO",IF('Exception Stores'!$B$6&lt;=$AV$2,"YES","NO"))</f>
        <v>NO</v>
      </c>
      <c r="CK20" s="1" t="str">
        <f>IF(ISBLANK('Exception Stores'!$B$6),"NO",IF('Exception Stores'!$B$6&lt;=$AW$2,"YES","NO"))</f>
        <v>NO</v>
      </c>
      <c r="CL20" s="1" t="str">
        <f>IF(ISBLANK('Exception Stores'!$B$6),"NO",IF('Exception Stores'!$B$6&lt;=$AX$2,"YES","NO"))</f>
        <v>NO</v>
      </c>
      <c r="CM20" s="1" t="str">
        <f>IF(ISBLANK('Exception Stores'!$B$6),"NO",IF('Exception Stores'!$B$6&lt;=$AY$2,"YES","NO"))</f>
        <v>NO</v>
      </c>
      <c r="CO20" s="1" t="e">
        <f ca="1">IF(AM20&lt;'Exception Stores'!$A$6,"YES","NO")</f>
        <v>#VALUE!</v>
      </c>
      <c r="CP20" s="1">
        <f t="shared" si="53"/>
        <v>0</v>
      </c>
      <c r="CQ20" s="1">
        <f t="shared" si="54"/>
        <v>0</v>
      </c>
      <c r="CR20" s="1">
        <f t="shared" si="55"/>
        <v>0</v>
      </c>
      <c r="CS20" s="1">
        <f t="shared" si="56"/>
        <v>0</v>
      </c>
      <c r="CT20" s="1">
        <f t="shared" si="57"/>
        <v>0</v>
      </c>
      <c r="CU20" s="1">
        <f t="shared" si="58"/>
        <v>0</v>
      </c>
      <c r="CW20" s="1" t="e">
        <f t="shared" ca="1" si="59"/>
        <v>#VALUE!</v>
      </c>
      <c r="CX20" s="1" t="e">
        <f t="shared" ca="1" si="0"/>
        <v>#VALUE!</v>
      </c>
      <c r="CY20" s="1" t="e">
        <f t="shared" ca="1" si="1"/>
        <v>#VALUE!</v>
      </c>
      <c r="CZ20" s="1" t="e">
        <f t="shared" ca="1" si="2"/>
        <v>#VALUE!</v>
      </c>
      <c r="DA20" s="1" t="e">
        <f t="shared" ca="1" si="3"/>
        <v>#VALUE!</v>
      </c>
      <c r="DB20" s="26" t="e">
        <f t="shared" ca="1" si="60"/>
        <v>#VALUE!</v>
      </c>
      <c r="DC20" s="1">
        <f t="shared" si="4"/>
        <v>0</v>
      </c>
      <c r="DD20" s="1">
        <f t="shared" si="5"/>
        <v>0</v>
      </c>
      <c r="DE20" s="1">
        <f t="shared" si="6"/>
        <v>0</v>
      </c>
      <c r="DF20" s="1">
        <f t="shared" si="7"/>
        <v>0</v>
      </c>
      <c r="DG20" s="1">
        <f t="shared" si="8"/>
        <v>0</v>
      </c>
      <c r="DH20" s="26">
        <f t="shared" si="61"/>
        <v>0</v>
      </c>
      <c r="DI20" s="1" t="e">
        <f t="shared" ca="1" si="62"/>
        <v>#VALUE!</v>
      </c>
      <c r="DK20" s="11" t="str">
        <f t="shared" si="9"/>
        <v/>
      </c>
      <c r="DL20" s="11" t="e">
        <f ca="1">IF(AND(NOT(ISBLANK('Exception Stores'!$A$6)),CO20="YES"),S20-$BH$2-(DI20*$BS$2)-(CU20*$BS$2),S20-(DB20*$BS$2))</f>
        <v>#VALUE!</v>
      </c>
      <c r="DM20" s="11" t="str">
        <f>IF(ISBLANK(A20),"",IF(COUNTIF(Remaps!$A$2:$A$200,B20)&gt;0,"YES",""))</f>
        <v>YES</v>
      </c>
      <c r="DN20" s="29">
        <f>IFERROR(INDEX(Remaps!$B$2:$B$200,MATCH(B20,Remaps!$A$2:$A$200,0),1),0)</f>
        <v>0</v>
      </c>
      <c r="DO20" s="11" t="e">
        <f t="shared" ca="1" si="10"/>
        <v>#VALUE!</v>
      </c>
      <c r="DP20" s="29" t="e">
        <f t="shared" si="11"/>
        <v>#VALUE!</v>
      </c>
      <c r="DQ20" s="11" t="e">
        <f ca="1">('Apollo Dock Status'!$Z$1-DP20)/DO20</f>
        <v>#VALUE!</v>
      </c>
      <c r="DR20" s="15" t="e">
        <f t="shared" ca="1" si="63"/>
        <v>#VALUE!</v>
      </c>
    </row>
    <row r="21" spans="1:122">
      <c r="A21" s="1" t="str">
        <f>IF(ISBLANK('Apollo Dock Status'!A21),"",'Apollo Dock Status'!A21)</f>
        <v/>
      </c>
      <c r="B21" s="1" t="str">
        <f>IF(ISBLANK('Apollo Dock Status'!B21),"",'Apollo Dock Status'!B21)</f>
        <v/>
      </c>
      <c r="C21" s="1" t="str">
        <f>IF(ISBLANK('Apollo Dock Status'!C21),"",'Apollo Dock Status'!C21)</f>
        <v/>
      </c>
      <c r="D21" s="1" t="str">
        <f>IF(ISBLANK('Apollo Dock Status'!D21),"",'Apollo Dock Status'!D21)</f>
        <v/>
      </c>
      <c r="E21" s="1" t="str">
        <f>IF(ISBLANK('Apollo Dock Status'!E21),"",'Apollo Dock Status'!E21)</f>
        <v/>
      </c>
      <c r="F21" s="1" t="str">
        <f>IF(ISBLANK('Apollo Dock Status'!F21),"",'Apollo Dock Status'!F21)</f>
        <v/>
      </c>
      <c r="G21" s="1" t="str">
        <f>IF(ISBLANK('Apollo Dock Status'!G21),"",'Apollo Dock Status'!G21)</f>
        <v/>
      </c>
      <c r="H21" s="1" t="str">
        <f>IF(ISBLANK('Apollo Dock Status'!H21),"",'Apollo Dock Status'!H21)</f>
        <v/>
      </c>
      <c r="I21" s="1" t="str">
        <f>IF(ISBLANK('Apollo Dock Status'!I21),"",'Apollo Dock Status'!I21)</f>
        <v/>
      </c>
      <c r="J21" s="1" t="str">
        <f>IF(ISBLANK('Apollo Dock Status'!J21),"",'Apollo Dock Status'!J21)</f>
        <v/>
      </c>
      <c r="K21" s="1" t="str">
        <f>IF(ISBLANK('Apollo Dock Status'!K21),"",'Apollo Dock Status'!K21)</f>
        <v/>
      </c>
      <c r="L21" s="1" t="str">
        <f>IF(ISBLANK('Apollo Dock Status'!L21),"",'Apollo Dock Status'!L21)</f>
        <v/>
      </c>
      <c r="M21" s="1" t="str">
        <f>IF(ISBLANK('Apollo Dock Status'!M21),"",'Apollo Dock Status'!M21)</f>
        <v/>
      </c>
      <c r="N21" s="1" t="str">
        <f>IF(ISBLANK('Apollo Dock Status'!N21),"",'Apollo Dock Status'!N21)</f>
        <v/>
      </c>
      <c r="O21" s="1" t="str">
        <f t="shared" si="12"/>
        <v/>
      </c>
      <c r="P21" s="1" t="str">
        <f t="shared" si="13"/>
        <v/>
      </c>
      <c r="Q21" s="1" t="str">
        <f t="shared" si="14"/>
        <v/>
      </c>
      <c r="R21" s="1" t="str">
        <f t="shared" si="15"/>
        <v/>
      </c>
      <c r="S21" s="11" t="str">
        <f t="shared" si="16"/>
        <v/>
      </c>
      <c r="T21" s="1" t="str">
        <f t="shared" si="17"/>
        <v/>
      </c>
      <c r="U21" s="11" t="str">
        <f t="shared" si="18"/>
        <v/>
      </c>
      <c r="V21" s="11" t="str">
        <f t="shared" si="19"/>
        <v/>
      </c>
      <c r="X21" s="1" t="str">
        <f t="shared" si="20"/>
        <v/>
      </c>
      <c r="Y21" s="1" t="str">
        <f t="shared" si="21"/>
        <v/>
      </c>
      <c r="Z21" s="1" t="str">
        <f t="shared" si="22"/>
        <v/>
      </c>
      <c r="AB21" s="13">
        <f t="shared" ca="1" si="23"/>
        <v>46176</v>
      </c>
      <c r="AC21" s="1">
        <f t="shared" ca="1" si="24"/>
        <v>2026</v>
      </c>
      <c r="AD21" s="1" t="str">
        <f t="shared" ca="1" si="25"/>
        <v>6</v>
      </c>
      <c r="AE21" s="1">
        <f t="shared" si="26"/>
        <v>1</v>
      </c>
      <c r="AF21" s="1" t="str">
        <f t="shared" si="27"/>
        <v/>
      </c>
      <c r="AG21" s="1">
        <f t="shared" ca="1" si="28"/>
        <v>2026</v>
      </c>
      <c r="AH21" s="1">
        <f t="shared" si="29"/>
        <v>1</v>
      </c>
      <c r="AI21" s="1" t="str">
        <f t="shared" ca="1" si="30"/>
        <v>6</v>
      </c>
      <c r="AJ21" s="13" t="e">
        <f t="shared" ca="1" si="31"/>
        <v>#VALUE!</v>
      </c>
      <c r="AK21" s="1" t="e">
        <f>IF(ISBLANK(A21),"",IFERROR(MID(F21,SEARCH(", ",F21)+LEN(", "),SEARCH(" "&amp;'Exception Stores'!$A$2,F21)-SEARCH(", ",F21)-LEN(", ")),MID(F21,SEARCH(", ",F21)+LEN(", "),SEARCH(" "&amp;'Exception Stores'!$B$2,F21)-SEARCH(", ",F21)-LEN(", "))))</f>
        <v>#VALUE!</v>
      </c>
      <c r="AL21" s="1" t="e">
        <f t="shared" si="32"/>
        <v>#VALUE!</v>
      </c>
      <c r="AM21" s="15" t="e">
        <f t="shared" ca="1" si="33"/>
        <v>#VALUE!</v>
      </c>
      <c r="AN21" s="24" t="e">
        <f t="shared" ca="1" si="34"/>
        <v>#VALUE!</v>
      </c>
      <c r="AO21" s="1" t="e">
        <f t="shared" ca="1" si="35"/>
        <v>#VALUE!</v>
      </c>
      <c r="AP21" s="13" t="e">
        <f t="shared" ca="1" si="36"/>
        <v>#VALUE!</v>
      </c>
      <c r="AQ21" s="17" t="e">
        <f t="shared" ca="1" si="37"/>
        <v>#VALUE!</v>
      </c>
      <c r="AS21" s="15" t="e">
        <f t="shared" ca="1" si="38"/>
        <v>#VALUE!</v>
      </c>
      <c r="AT21" s="5">
        <f>'Exception Stores'!$D$2</f>
        <v>0.125</v>
      </c>
      <c r="AU21" s="15" t="e">
        <f t="shared" ca="1" si="39"/>
        <v>#VALUE!</v>
      </c>
      <c r="AV21" s="15" t="e">
        <f t="shared" ca="1" si="40"/>
        <v>#VALUE!</v>
      </c>
      <c r="AW21" s="15" t="e">
        <f t="shared" ca="1" si="41"/>
        <v>#VALUE!</v>
      </c>
      <c r="AX21" s="15" t="e">
        <f t="shared" ca="1" si="42"/>
        <v>#VALUE!</v>
      </c>
      <c r="AY21" s="15" t="e">
        <f t="shared" ca="1" si="43"/>
        <v>#VALUE!</v>
      </c>
      <c r="AZ21" s="1" t="e">
        <f t="shared" ca="1" si="44"/>
        <v>#VALUE!</v>
      </c>
      <c r="BA21" s="15" t="e">
        <f t="shared" ca="1" si="45"/>
        <v>#VALUE!</v>
      </c>
      <c r="BB21" s="15" t="e">
        <f t="shared" ca="1" si="46"/>
        <v>#VALUE!</v>
      </c>
      <c r="BC21" s="1" t="e">
        <f t="shared" ca="1" si="47"/>
        <v>#VALUE!</v>
      </c>
      <c r="BE21" s="15" t="str">
        <f>IF(ISBLANK('Exception Stores'!$A$6),"",'Exception Stores'!$A$6)</f>
        <v/>
      </c>
      <c r="BF21" s="15" t="str">
        <f>IF(ISBLANK('Exception Stores'!$B$6),"",'Exception Stores'!$B$6)</f>
        <v/>
      </c>
      <c r="BG21" s="1">
        <f>IF(ISBLANK('Exception Stores'!$A$6),0,IF($AN$2&gt;$BF$2,($AN$2-$BF$2)*24,0))</f>
        <v>0</v>
      </c>
      <c r="BH21" s="11">
        <f>IF(ISBLANK('Exception Stores'!$A$6),0,($BF$2-$BE$2)*24)</f>
        <v>0</v>
      </c>
      <c r="BI2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21" s="1">
        <f>IF(ISBLANK('Exception Stores'!$A$6),0,IF($AN$2&gt;$BF$2,0,IF(AND($AN$2&lt;$BF$2,$BT$2="B"),(($BF$2-$AN$2)*24)-$BS$2,($BF$2-$AN$2)*24)))</f>
        <v>0</v>
      </c>
      <c r="BL21" s="5"/>
      <c r="BM21" s="5"/>
      <c r="BN21" s="5"/>
      <c r="BO21" s="5"/>
      <c r="BP21" s="5"/>
      <c r="BV21" s="1" t="e">
        <f t="shared" ca="1" si="48"/>
        <v>#VALUE!</v>
      </c>
      <c r="BW21" s="1" t="e">
        <f t="shared" ca="1" si="49"/>
        <v>#VALUE!</v>
      </c>
      <c r="BX21" s="1" t="e">
        <f t="shared" ca="1" si="50"/>
        <v>#VALUE!</v>
      </c>
      <c r="BY21" s="1" t="e">
        <f t="shared" ca="1" si="51"/>
        <v>#VALUE!</v>
      </c>
      <c r="BZ21" s="1" t="e">
        <f t="shared" ca="1" si="52"/>
        <v>#VALUE!</v>
      </c>
      <c r="CB21" s="1" t="str">
        <f>IF(ISBLANK('Exception Stores'!$A$6),"",WEEKDAY($BF$2))</f>
        <v/>
      </c>
      <c r="CC21" s="1" t="str">
        <f>IF(ISBLANK('Exception Stores'!$A$6),"NO",IF('Exception Stores'!$A$6&lt;$AU$2,"YES","NO"))</f>
        <v>NO</v>
      </c>
      <c r="CD21" s="1" t="str">
        <f>IF(ISBLANK('Exception Stores'!$A$6),"NO",IF('Exception Stores'!$A$6&lt;$AV$2,"YES","NO"))</f>
        <v>NO</v>
      </c>
      <c r="CE21" s="1" t="str">
        <f>IF(ISBLANK('Exception Stores'!$A$6),"NO",IF('Exception Stores'!$A$6&lt;$AW$2,"YES","NO"))</f>
        <v>NO</v>
      </c>
      <c r="CF21" s="1" t="str">
        <f>IF(ISBLANK('Exception Stores'!$A$6),"NO",IF('Exception Stores'!$A$6&lt;$AX$2,"YES","NO"))</f>
        <v>NO</v>
      </c>
      <c r="CG21" s="1" t="str">
        <f>IF(ISBLANK('Exception Stores'!$A$6),"NO",IF('Exception Stores'!$A$6&lt;$AY$2,"YES","NO"))</f>
        <v>NO</v>
      </c>
      <c r="CI21" s="42" t="str">
        <f>IF(ISBLANK('Exception Stores'!$B$6),"NO",IF('Exception Stores'!$B$6&lt;=$AU$2,"YES","NO"))</f>
        <v>NO</v>
      </c>
      <c r="CJ21" s="42" t="str">
        <f>IF(ISBLANK('Exception Stores'!$B$6),"NO",IF('Exception Stores'!$B$6&lt;=$AV$2,"YES","NO"))</f>
        <v>NO</v>
      </c>
      <c r="CK21" s="1" t="str">
        <f>IF(ISBLANK('Exception Stores'!$B$6),"NO",IF('Exception Stores'!$B$6&lt;=$AW$2,"YES","NO"))</f>
        <v>NO</v>
      </c>
      <c r="CL21" s="1" t="str">
        <f>IF(ISBLANK('Exception Stores'!$B$6),"NO",IF('Exception Stores'!$B$6&lt;=$AX$2,"YES","NO"))</f>
        <v>NO</v>
      </c>
      <c r="CM21" s="1" t="str">
        <f>IF(ISBLANK('Exception Stores'!$B$6),"NO",IF('Exception Stores'!$B$6&lt;=$AY$2,"YES","NO"))</f>
        <v>NO</v>
      </c>
      <c r="CO21" s="1" t="e">
        <f ca="1">IF(AM21&lt;'Exception Stores'!$A$6,"YES","NO")</f>
        <v>#VALUE!</v>
      </c>
      <c r="CP21" s="1">
        <f t="shared" si="53"/>
        <v>0</v>
      </c>
      <c r="CQ21" s="1">
        <f t="shared" si="54"/>
        <v>0</v>
      </c>
      <c r="CR21" s="1">
        <f t="shared" si="55"/>
        <v>0</v>
      </c>
      <c r="CS21" s="1">
        <f t="shared" si="56"/>
        <v>0</v>
      </c>
      <c r="CT21" s="1">
        <f t="shared" si="57"/>
        <v>0</v>
      </c>
      <c r="CU21" s="1">
        <f t="shared" si="58"/>
        <v>0</v>
      </c>
      <c r="CW21" s="1" t="e">
        <f t="shared" ca="1" si="59"/>
        <v>#VALUE!</v>
      </c>
      <c r="CX21" s="1" t="e">
        <f t="shared" ca="1" si="0"/>
        <v>#VALUE!</v>
      </c>
      <c r="CY21" s="1" t="e">
        <f t="shared" ca="1" si="1"/>
        <v>#VALUE!</v>
      </c>
      <c r="CZ21" s="1" t="e">
        <f t="shared" ca="1" si="2"/>
        <v>#VALUE!</v>
      </c>
      <c r="DA21" s="1" t="e">
        <f t="shared" ca="1" si="3"/>
        <v>#VALUE!</v>
      </c>
      <c r="DB21" s="26" t="e">
        <f t="shared" ca="1" si="60"/>
        <v>#VALUE!</v>
      </c>
      <c r="DC21" s="1">
        <f t="shared" si="4"/>
        <v>0</v>
      </c>
      <c r="DD21" s="1">
        <f t="shared" si="5"/>
        <v>0</v>
      </c>
      <c r="DE21" s="1">
        <f t="shared" si="6"/>
        <v>0</v>
      </c>
      <c r="DF21" s="1">
        <f t="shared" si="7"/>
        <v>0</v>
      </c>
      <c r="DG21" s="1">
        <f t="shared" si="8"/>
        <v>0</v>
      </c>
      <c r="DH21" s="26">
        <f t="shared" si="61"/>
        <v>0</v>
      </c>
      <c r="DI21" s="1" t="e">
        <f t="shared" ca="1" si="62"/>
        <v>#VALUE!</v>
      </c>
      <c r="DK21" s="11" t="str">
        <f t="shared" si="9"/>
        <v/>
      </c>
      <c r="DL21" s="11" t="e">
        <f ca="1">IF(AND(NOT(ISBLANK('Exception Stores'!$A$6)),CO21="YES"),S21-$BH$2-(DI21*$BS$2)-(CU21*$BS$2),S21-(DB21*$BS$2))</f>
        <v>#VALUE!</v>
      </c>
      <c r="DM21" s="11" t="str">
        <f>IF(ISBLANK(A21),"",IF(COUNTIF(Remaps!$A$2:$A$200,B21)&gt;0,"YES",""))</f>
        <v>YES</v>
      </c>
      <c r="DN21" s="29">
        <f>IFERROR(INDEX(Remaps!$B$2:$B$200,MATCH(B21,Remaps!$A$2:$A$200,0),1),0)</f>
        <v>0</v>
      </c>
      <c r="DO21" s="11" t="e">
        <f t="shared" ca="1" si="10"/>
        <v>#VALUE!</v>
      </c>
      <c r="DP21" s="29" t="e">
        <f t="shared" si="11"/>
        <v>#VALUE!</v>
      </c>
      <c r="DQ21" s="11" t="e">
        <f ca="1">('Apollo Dock Status'!$Z$1-DP21)/DO21</f>
        <v>#VALUE!</v>
      </c>
      <c r="DR21" s="15" t="e">
        <f t="shared" ca="1" si="63"/>
        <v>#VALUE!</v>
      </c>
    </row>
    <row r="22" spans="1:122">
      <c r="A22" s="1" t="str">
        <f>IF(ISBLANK('Apollo Dock Status'!A22),"",'Apollo Dock Status'!A22)</f>
        <v/>
      </c>
      <c r="B22" s="1" t="str">
        <f>IF(ISBLANK('Apollo Dock Status'!B22),"",'Apollo Dock Status'!B22)</f>
        <v/>
      </c>
      <c r="C22" s="1" t="str">
        <f>IF(ISBLANK('Apollo Dock Status'!C22),"",'Apollo Dock Status'!C22)</f>
        <v/>
      </c>
      <c r="D22" s="1" t="str">
        <f>IF(ISBLANK('Apollo Dock Status'!D22),"",'Apollo Dock Status'!D22)</f>
        <v/>
      </c>
      <c r="E22" s="1" t="str">
        <f>IF(ISBLANK('Apollo Dock Status'!E22),"",'Apollo Dock Status'!E22)</f>
        <v/>
      </c>
      <c r="F22" s="1" t="str">
        <f>IF(ISBLANK('Apollo Dock Status'!F22),"",'Apollo Dock Status'!F22)</f>
        <v/>
      </c>
      <c r="G22" s="1" t="str">
        <f>IF(ISBLANK('Apollo Dock Status'!G22),"",'Apollo Dock Status'!G22)</f>
        <v/>
      </c>
      <c r="H22" s="1" t="str">
        <f>IF(ISBLANK('Apollo Dock Status'!H22),"",'Apollo Dock Status'!H22)</f>
        <v/>
      </c>
      <c r="I22" s="1" t="str">
        <f>IF(ISBLANK('Apollo Dock Status'!I22),"",'Apollo Dock Status'!I22)</f>
        <v/>
      </c>
      <c r="J22" s="1" t="str">
        <f>IF(ISBLANK('Apollo Dock Status'!J22),"",'Apollo Dock Status'!J22)</f>
        <v/>
      </c>
      <c r="K22" s="1" t="str">
        <f>IF(ISBLANK('Apollo Dock Status'!K22),"",'Apollo Dock Status'!K22)</f>
        <v/>
      </c>
      <c r="L22" s="1" t="str">
        <f>IF(ISBLANK('Apollo Dock Status'!L22),"",'Apollo Dock Status'!L22)</f>
        <v/>
      </c>
      <c r="M22" s="1" t="str">
        <f>IF(ISBLANK('Apollo Dock Status'!M22),"",'Apollo Dock Status'!M22)</f>
        <v/>
      </c>
      <c r="N22" s="1" t="str">
        <f>IF(ISBLANK('Apollo Dock Status'!N22),"",'Apollo Dock Status'!N22)</f>
        <v/>
      </c>
      <c r="O22" s="1" t="str">
        <f t="shared" si="12"/>
        <v/>
      </c>
      <c r="P22" s="1" t="str">
        <f t="shared" si="13"/>
        <v/>
      </c>
      <c r="Q22" s="1" t="str">
        <f t="shared" si="14"/>
        <v/>
      </c>
      <c r="R22" s="1" t="str">
        <f t="shared" si="15"/>
        <v/>
      </c>
      <c r="S22" s="11" t="str">
        <f t="shared" si="16"/>
        <v/>
      </c>
      <c r="T22" s="1" t="str">
        <f t="shared" si="17"/>
        <v/>
      </c>
      <c r="U22" s="11" t="str">
        <f t="shared" si="18"/>
        <v/>
      </c>
      <c r="V22" s="11" t="str">
        <f t="shared" si="19"/>
        <v/>
      </c>
      <c r="X22" s="1" t="str">
        <f t="shared" si="20"/>
        <v/>
      </c>
      <c r="Y22" s="1" t="str">
        <f t="shared" si="21"/>
        <v/>
      </c>
      <c r="Z22" s="1" t="str">
        <f t="shared" si="22"/>
        <v/>
      </c>
      <c r="AB22" s="13">
        <f t="shared" ca="1" si="23"/>
        <v>46176</v>
      </c>
      <c r="AC22" s="1">
        <f t="shared" ca="1" si="24"/>
        <v>2026</v>
      </c>
      <c r="AD22" s="1" t="str">
        <f t="shared" ca="1" si="25"/>
        <v>6</v>
      </c>
      <c r="AE22" s="1">
        <f t="shared" si="26"/>
        <v>1</v>
      </c>
      <c r="AF22" s="1" t="str">
        <f t="shared" si="27"/>
        <v/>
      </c>
      <c r="AG22" s="1">
        <f t="shared" ca="1" si="28"/>
        <v>2026</v>
      </c>
      <c r="AH22" s="1">
        <f t="shared" si="29"/>
        <v>1</v>
      </c>
      <c r="AI22" s="1" t="str">
        <f t="shared" ca="1" si="30"/>
        <v>6</v>
      </c>
      <c r="AJ22" s="13" t="e">
        <f t="shared" ca="1" si="31"/>
        <v>#VALUE!</v>
      </c>
      <c r="AK22" s="1" t="e">
        <f>IF(ISBLANK(A22),"",IFERROR(MID(F22,SEARCH(", ",F22)+LEN(", "),SEARCH(" "&amp;'Exception Stores'!$A$2,F22)-SEARCH(", ",F22)-LEN(", ")),MID(F22,SEARCH(", ",F22)+LEN(", "),SEARCH(" "&amp;'Exception Stores'!$B$2,F22)-SEARCH(", ",F22)-LEN(", "))))</f>
        <v>#VALUE!</v>
      </c>
      <c r="AL22" s="1" t="e">
        <f t="shared" si="32"/>
        <v>#VALUE!</v>
      </c>
      <c r="AM22" s="15" t="e">
        <f t="shared" ca="1" si="33"/>
        <v>#VALUE!</v>
      </c>
      <c r="AN22" s="24" t="e">
        <f t="shared" ca="1" si="34"/>
        <v>#VALUE!</v>
      </c>
      <c r="AO22" s="1" t="e">
        <f t="shared" ca="1" si="35"/>
        <v>#VALUE!</v>
      </c>
      <c r="AP22" s="13" t="e">
        <f t="shared" ca="1" si="36"/>
        <v>#VALUE!</v>
      </c>
      <c r="AQ22" s="17" t="e">
        <f t="shared" ca="1" si="37"/>
        <v>#VALUE!</v>
      </c>
      <c r="AS22" s="15" t="e">
        <f t="shared" ca="1" si="38"/>
        <v>#VALUE!</v>
      </c>
      <c r="AT22" s="5">
        <f>'Exception Stores'!$D$2</f>
        <v>0.125</v>
      </c>
      <c r="AU22" s="15" t="e">
        <f t="shared" ca="1" si="39"/>
        <v>#VALUE!</v>
      </c>
      <c r="AV22" s="15" t="e">
        <f t="shared" ca="1" si="40"/>
        <v>#VALUE!</v>
      </c>
      <c r="AW22" s="15" t="e">
        <f t="shared" ca="1" si="41"/>
        <v>#VALUE!</v>
      </c>
      <c r="AX22" s="15" t="e">
        <f t="shared" ca="1" si="42"/>
        <v>#VALUE!</v>
      </c>
      <c r="AY22" s="15" t="e">
        <f t="shared" ca="1" si="43"/>
        <v>#VALUE!</v>
      </c>
      <c r="AZ22" s="1" t="e">
        <f t="shared" ca="1" si="44"/>
        <v>#VALUE!</v>
      </c>
      <c r="BA22" s="15" t="e">
        <f t="shared" ca="1" si="45"/>
        <v>#VALUE!</v>
      </c>
      <c r="BB22" s="15" t="e">
        <f t="shared" ca="1" si="46"/>
        <v>#VALUE!</v>
      </c>
      <c r="BC22" s="1" t="e">
        <f t="shared" ca="1" si="47"/>
        <v>#VALUE!</v>
      </c>
      <c r="BE22" s="15" t="str">
        <f>IF(ISBLANK('Exception Stores'!$A$6),"",'Exception Stores'!$A$6)</f>
        <v/>
      </c>
      <c r="BF22" s="15" t="str">
        <f>IF(ISBLANK('Exception Stores'!$B$6),"",'Exception Stores'!$B$6)</f>
        <v/>
      </c>
      <c r="BG22" s="1">
        <f>IF(ISBLANK('Exception Stores'!$A$6),0,IF($AN$2&gt;$BF$2,($AN$2-$BF$2)*24,0))</f>
        <v>0</v>
      </c>
      <c r="BH22" s="11">
        <f>IF(ISBLANK('Exception Stores'!$A$6),0,($BF$2-$BE$2)*24)</f>
        <v>0</v>
      </c>
      <c r="BI2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22" s="1">
        <f>IF(ISBLANK('Exception Stores'!$A$6),0,IF($AN$2&gt;$BF$2,0,IF(AND($AN$2&lt;$BF$2,$BT$2="B"),(($BF$2-$AN$2)*24)-$BS$2,($BF$2-$AN$2)*24)))</f>
        <v>0</v>
      </c>
      <c r="BL22" s="5"/>
      <c r="BM22" s="5"/>
      <c r="BN22" s="5"/>
      <c r="BO22" s="5"/>
      <c r="BP22" s="5"/>
      <c r="BV22" s="1" t="e">
        <f t="shared" ca="1" si="48"/>
        <v>#VALUE!</v>
      </c>
      <c r="BW22" s="1" t="e">
        <f t="shared" ca="1" si="49"/>
        <v>#VALUE!</v>
      </c>
      <c r="BX22" s="1" t="e">
        <f t="shared" ca="1" si="50"/>
        <v>#VALUE!</v>
      </c>
      <c r="BY22" s="1" t="e">
        <f t="shared" ca="1" si="51"/>
        <v>#VALUE!</v>
      </c>
      <c r="BZ22" s="1" t="e">
        <f t="shared" ca="1" si="52"/>
        <v>#VALUE!</v>
      </c>
      <c r="CB22" s="1" t="str">
        <f>IF(ISBLANK('Exception Stores'!$A$6),"",WEEKDAY($BF$2))</f>
        <v/>
      </c>
      <c r="CC22" s="1" t="str">
        <f>IF(ISBLANK('Exception Stores'!$A$6),"NO",IF('Exception Stores'!$A$6&lt;$AU$2,"YES","NO"))</f>
        <v>NO</v>
      </c>
      <c r="CD22" s="1" t="str">
        <f>IF(ISBLANK('Exception Stores'!$A$6),"NO",IF('Exception Stores'!$A$6&lt;$AV$2,"YES","NO"))</f>
        <v>NO</v>
      </c>
      <c r="CE22" s="1" t="str">
        <f>IF(ISBLANK('Exception Stores'!$A$6),"NO",IF('Exception Stores'!$A$6&lt;$AW$2,"YES","NO"))</f>
        <v>NO</v>
      </c>
      <c r="CF22" s="1" t="str">
        <f>IF(ISBLANK('Exception Stores'!$A$6),"NO",IF('Exception Stores'!$A$6&lt;$AX$2,"YES","NO"))</f>
        <v>NO</v>
      </c>
      <c r="CG22" s="1" t="str">
        <f>IF(ISBLANK('Exception Stores'!$A$6),"NO",IF('Exception Stores'!$A$6&lt;$AY$2,"YES","NO"))</f>
        <v>NO</v>
      </c>
      <c r="CI22" s="42" t="str">
        <f>IF(ISBLANK('Exception Stores'!$B$6),"NO",IF('Exception Stores'!$B$6&lt;=$AU$2,"YES","NO"))</f>
        <v>NO</v>
      </c>
      <c r="CJ22" s="42" t="str">
        <f>IF(ISBLANK('Exception Stores'!$B$6),"NO",IF('Exception Stores'!$B$6&lt;=$AV$2,"YES","NO"))</f>
        <v>NO</v>
      </c>
      <c r="CK22" s="1" t="str">
        <f>IF(ISBLANK('Exception Stores'!$B$6),"NO",IF('Exception Stores'!$B$6&lt;=$AW$2,"YES","NO"))</f>
        <v>NO</v>
      </c>
      <c r="CL22" s="1" t="str">
        <f>IF(ISBLANK('Exception Stores'!$B$6),"NO",IF('Exception Stores'!$B$6&lt;=$AX$2,"YES","NO"))</f>
        <v>NO</v>
      </c>
      <c r="CM22" s="1" t="str">
        <f>IF(ISBLANK('Exception Stores'!$B$6),"NO",IF('Exception Stores'!$B$6&lt;=$AY$2,"YES","NO"))</f>
        <v>NO</v>
      </c>
      <c r="CO22" s="1" t="e">
        <f ca="1">IF(AM22&lt;'Exception Stores'!$A$6,"YES","NO")</f>
        <v>#VALUE!</v>
      </c>
      <c r="CP22" s="1">
        <f t="shared" si="53"/>
        <v>0</v>
      </c>
      <c r="CQ22" s="1">
        <f t="shared" si="54"/>
        <v>0</v>
      </c>
      <c r="CR22" s="1">
        <f t="shared" si="55"/>
        <v>0</v>
      </c>
      <c r="CS22" s="1">
        <f t="shared" si="56"/>
        <v>0</v>
      </c>
      <c r="CT22" s="1">
        <f t="shared" si="57"/>
        <v>0</v>
      </c>
      <c r="CU22" s="1">
        <f t="shared" si="58"/>
        <v>0</v>
      </c>
      <c r="CW22" s="1" t="e">
        <f t="shared" ca="1" si="59"/>
        <v>#VALUE!</v>
      </c>
      <c r="CX22" s="1" t="e">
        <f t="shared" ca="1" si="0"/>
        <v>#VALUE!</v>
      </c>
      <c r="CY22" s="1" t="e">
        <f t="shared" ca="1" si="1"/>
        <v>#VALUE!</v>
      </c>
      <c r="CZ22" s="1" t="e">
        <f t="shared" ca="1" si="2"/>
        <v>#VALUE!</v>
      </c>
      <c r="DA22" s="1" t="e">
        <f t="shared" ca="1" si="3"/>
        <v>#VALUE!</v>
      </c>
      <c r="DB22" s="26" t="e">
        <f t="shared" ca="1" si="60"/>
        <v>#VALUE!</v>
      </c>
      <c r="DC22" s="1">
        <f t="shared" si="4"/>
        <v>0</v>
      </c>
      <c r="DD22" s="1">
        <f t="shared" si="5"/>
        <v>0</v>
      </c>
      <c r="DE22" s="1">
        <f t="shared" si="6"/>
        <v>0</v>
      </c>
      <c r="DF22" s="1">
        <f t="shared" si="7"/>
        <v>0</v>
      </c>
      <c r="DG22" s="1">
        <f t="shared" si="8"/>
        <v>0</v>
      </c>
      <c r="DH22" s="26">
        <f t="shared" si="61"/>
        <v>0</v>
      </c>
      <c r="DI22" s="1" t="e">
        <f t="shared" ca="1" si="62"/>
        <v>#VALUE!</v>
      </c>
      <c r="DK22" s="11" t="str">
        <f t="shared" si="9"/>
        <v/>
      </c>
      <c r="DL22" s="11" t="e">
        <f ca="1">IF(AND(NOT(ISBLANK('Exception Stores'!$A$6)),CO22="YES"),S22-$BH$2-(DI22*$BS$2)-(CU22*$BS$2),S22-(DB22*$BS$2))</f>
        <v>#VALUE!</v>
      </c>
      <c r="DM22" s="11" t="str">
        <f>IF(ISBLANK(A22),"",IF(COUNTIF(Remaps!$A$2:$A$200,B22)&gt;0,"YES",""))</f>
        <v>YES</v>
      </c>
      <c r="DN22" s="29">
        <f>IFERROR(INDEX(Remaps!$B$2:$B$200,MATCH(B22,Remaps!$A$2:$A$200,0),1),0)</f>
        <v>0</v>
      </c>
      <c r="DO22" s="11" t="e">
        <f t="shared" ca="1" si="10"/>
        <v>#VALUE!</v>
      </c>
      <c r="DP22" s="29" t="e">
        <f t="shared" si="11"/>
        <v>#VALUE!</v>
      </c>
      <c r="DQ22" s="11" t="e">
        <f ca="1">('Apollo Dock Status'!$Z$1-DP22)/DO22</f>
        <v>#VALUE!</v>
      </c>
      <c r="DR22" s="15" t="e">
        <f t="shared" ca="1" si="63"/>
        <v>#VALUE!</v>
      </c>
    </row>
    <row r="23" spans="1:122">
      <c r="A23" s="1" t="str">
        <f>IF(ISBLANK('Apollo Dock Status'!A23),"",'Apollo Dock Status'!A23)</f>
        <v/>
      </c>
      <c r="B23" s="1" t="str">
        <f>IF(ISBLANK('Apollo Dock Status'!B23),"",'Apollo Dock Status'!B23)</f>
        <v/>
      </c>
      <c r="C23" s="1" t="str">
        <f>IF(ISBLANK('Apollo Dock Status'!C23),"",'Apollo Dock Status'!C23)</f>
        <v/>
      </c>
      <c r="D23" s="1" t="str">
        <f>IF(ISBLANK('Apollo Dock Status'!D23),"",'Apollo Dock Status'!D23)</f>
        <v/>
      </c>
      <c r="E23" s="1" t="str">
        <f>IF(ISBLANK('Apollo Dock Status'!E23),"",'Apollo Dock Status'!E23)</f>
        <v/>
      </c>
      <c r="F23" s="1" t="str">
        <f>IF(ISBLANK('Apollo Dock Status'!F23),"",'Apollo Dock Status'!F23)</f>
        <v/>
      </c>
      <c r="G23" s="1" t="str">
        <f>IF(ISBLANK('Apollo Dock Status'!G23),"",'Apollo Dock Status'!G23)</f>
        <v/>
      </c>
      <c r="H23" s="1" t="str">
        <f>IF(ISBLANK('Apollo Dock Status'!H23),"",'Apollo Dock Status'!H23)</f>
        <v/>
      </c>
      <c r="I23" s="1" t="str">
        <f>IF(ISBLANK('Apollo Dock Status'!I23),"",'Apollo Dock Status'!I23)</f>
        <v/>
      </c>
      <c r="J23" s="1" t="str">
        <f>IF(ISBLANK('Apollo Dock Status'!J23),"",'Apollo Dock Status'!J23)</f>
        <v/>
      </c>
      <c r="K23" s="1" t="str">
        <f>IF(ISBLANK('Apollo Dock Status'!K23),"",'Apollo Dock Status'!K23)</f>
        <v/>
      </c>
      <c r="L23" s="1" t="str">
        <f>IF(ISBLANK('Apollo Dock Status'!L23),"",'Apollo Dock Status'!L23)</f>
        <v/>
      </c>
      <c r="M23" s="1" t="str">
        <f>IF(ISBLANK('Apollo Dock Status'!M23),"",'Apollo Dock Status'!M23)</f>
        <v/>
      </c>
      <c r="N23" s="1" t="str">
        <f>IF(ISBLANK('Apollo Dock Status'!N23),"",'Apollo Dock Status'!N23)</f>
        <v/>
      </c>
      <c r="O23" s="1" t="str">
        <f t="shared" si="12"/>
        <v/>
      </c>
      <c r="P23" s="1" t="str">
        <f t="shared" si="13"/>
        <v/>
      </c>
      <c r="Q23" s="1" t="str">
        <f t="shared" si="14"/>
        <v/>
      </c>
      <c r="R23" s="1" t="str">
        <f t="shared" si="15"/>
        <v/>
      </c>
      <c r="S23" s="11" t="str">
        <f t="shared" si="16"/>
        <v/>
      </c>
      <c r="T23" s="1" t="str">
        <f t="shared" si="17"/>
        <v/>
      </c>
      <c r="U23" s="11" t="str">
        <f t="shared" si="18"/>
        <v/>
      </c>
      <c r="V23" s="11" t="str">
        <f t="shared" si="19"/>
        <v/>
      </c>
      <c r="X23" s="1" t="str">
        <f t="shared" si="20"/>
        <v/>
      </c>
      <c r="Y23" s="1" t="str">
        <f t="shared" si="21"/>
        <v/>
      </c>
      <c r="Z23" s="1" t="str">
        <f t="shared" si="22"/>
        <v/>
      </c>
      <c r="AB23" s="13">
        <f t="shared" ca="1" si="23"/>
        <v>46176</v>
      </c>
      <c r="AC23" s="1">
        <f t="shared" ca="1" si="24"/>
        <v>2026</v>
      </c>
      <c r="AD23" s="1" t="str">
        <f t="shared" ca="1" si="25"/>
        <v>6</v>
      </c>
      <c r="AE23" s="1">
        <f t="shared" si="26"/>
        <v>1</v>
      </c>
      <c r="AF23" s="1" t="str">
        <f t="shared" si="27"/>
        <v/>
      </c>
      <c r="AG23" s="1">
        <f t="shared" ca="1" si="28"/>
        <v>2026</v>
      </c>
      <c r="AH23" s="1">
        <f t="shared" si="29"/>
        <v>1</v>
      </c>
      <c r="AI23" s="1" t="str">
        <f t="shared" ca="1" si="30"/>
        <v>6</v>
      </c>
      <c r="AJ23" s="13" t="e">
        <f t="shared" ca="1" si="31"/>
        <v>#VALUE!</v>
      </c>
      <c r="AK23" s="1" t="e">
        <f>IF(ISBLANK(A23),"",IFERROR(MID(F23,SEARCH(", ",F23)+LEN(", "),SEARCH(" "&amp;'Exception Stores'!$A$2,F23)-SEARCH(", ",F23)-LEN(", ")),MID(F23,SEARCH(", ",F23)+LEN(", "),SEARCH(" "&amp;'Exception Stores'!$B$2,F23)-SEARCH(", ",F23)-LEN(", "))))</f>
        <v>#VALUE!</v>
      </c>
      <c r="AL23" s="1" t="e">
        <f t="shared" si="32"/>
        <v>#VALUE!</v>
      </c>
      <c r="AM23" s="15" t="e">
        <f t="shared" ca="1" si="33"/>
        <v>#VALUE!</v>
      </c>
      <c r="AN23" s="24" t="e">
        <f t="shared" ca="1" si="34"/>
        <v>#VALUE!</v>
      </c>
      <c r="AO23" s="1" t="e">
        <f t="shared" ca="1" si="35"/>
        <v>#VALUE!</v>
      </c>
      <c r="AP23" s="13" t="e">
        <f t="shared" ca="1" si="36"/>
        <v>#VALUE!</v>
      </c>
      <c r="AQ23" s="17" t="e">
        <f t="shared" ca="1" si="37"/>
        <v>#VALUE!</v>
      </c>
      <c r="AS23" s="15" t="e">
        <f t="shared" ca="1" si="38"/>
        <v>#VALUE!</v>
      </c>
      <c r="AT23" s="5">
        <f>'Exception Stores'!$D$2</f>
        <v>0.125</v>
      </c>
      <c r="AU23" s="15" t="e">
        <f t="shared" ca="1" si="39"/>
        <v>#VALUE!</v>
      </c>
      <c r="AV23" s="15" t="e">
        <f t="shared" ca="1" si="40"/>
        <v>#VALUE!</v>
      </c>
      <c r="AW23" s="15" t="e">
        <f t="shared" ca="1" si="41"/>
        <v>#VALUE!</v>
      </c>
      <c r="AX23" s="15" t="e">
        <f t="shared" ca="1" si="42"/>
        <v>#VALUE!</v>
      </c>
      <c r="AY23" s="15" t="e">
        <f t="shared" ca="1" si="43"/>
        <v>#VALUE!</v>
      </c>
      <c r="AZ23" s="1" t="e">
        <f t="shared" ca="1" si="44"/>
        <v>#VALUE!</v>
      </c>
      <c r="BA23" s="15" t="e">
        <f t="shared" ca="1" si="45"/>
        <v>#VALUE!</v>
      </c>
      <c r="BB23" s="15" t="e">
        <f t="shared" ca="1" si="46"/>
        <v>#VALUE!</v>
      </c>
      <c r="BC23" s="1" t="e">
        <f t="shared" ca="1" si="47"/>
        <v>#VALUE!</v>
      </c>
      <c r="BE23" s="15" t="str">
        <f>IF(ISBLANK('Exception Stores'!$A$6),"",'Exception Stores'!$A$6)</f>
        <v/>
      </c>
      <c r="BF23" s="15" t="str">
        <f>IF(ISBLANK('Exception Stores'!$B$6),"",'Exception Stores'!$B$6)</f>
        <v/>
      </c>
      <c r="BG23" s="1">
        <f>IF(ISBLANK('Exception Stores'!$A$6),0,IF($AN$2&gt;$BF$2,($AN$2-$BF$2)*24,0))</f>
        <v>0</v>
      </c>
      <c r="BH23" s="11">
        <f>IF(ISBLANK('Exception Stores'!$A$6),0,($BF$2-$BE$2)*24)</f>
        <v>0</v>
      </c>
      <c r="BI2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23" s="1">
        <f>IF(ISBLANK('Exception Stores'!$A$6),0,IF($AN$2&gt;$BF$2,0,IF(AND($AN$2&lt;$BF$2,$BT$2="B"),(($BF$2-$AN$2)*24)-$BS$2,($BF$2-$AN$2)*24)))</f>
        <v>0</v>
      </c>
      <c r="BL23" s="5"/>
      <c r="BM23" s="5"/>
      <c r="BN23" s="5"/>
      <c r="BO23" s="5"/>
      <c r="BP23" s="5"/>
      <c r="BV23" s="1" t="e">
        <f t="shared" ca="1" si="48"/>
        <v>#VALUE!</v>
      </c>
      <c r="BW23" s="1" t="e">
        <f t="shared" ca="1" si="49"/>
        <v>#VALUE!</v>
      </c>
      <c r="BX23" s="1" t="e">
        <f t="shared" ca="1" si="50"/>
        <v>#VALUE!</v>
      </c>
      <c r="BY23" s="1" t="e">
        <f t="shared" ca="1" si="51"/>
        <v>#VALUE!</v>
      </c>
      <c r="BZ23" s="1" t="e">
        <f t="shared" ca="1" si="52"/>
        <v>#VALUE!</v>
      </c>
      <c r="CB23" s="1" t="str">
        <f>IF(ISBLANK('Exception Stores'!$A$6),"",WEEKDAY($BF$2))</f>
        <v/>
      </c>
      <c r="CC23" s="1" t="str">
        <f>IF(ISBLANK('Exception Stores'!$A$6),"NO",IF('Exception Stores'!$A$6&lt;$AU$2,"YES","NO"))</f>
        <v>NO</v>
      </c>
      <c r="CD23" s="1" t="str">
        <f>IF(ISBLANK('Exception Stores'!$A$6),"NO",IF('Exception Stores'!$A$6&lt;$AV$2,"YES","NO"))</f>
        <v>NO</v>
      </c>
      <c r="CE23" s="1" t="str">
        <f>IF(ISBLANK('Exception Stores'!$A$6),"NO",IF('Exception Stores'!$A$6&lt;$AW$2,"YES","NO"))</f>
        <v>NO</v>
      </c>
      <c r="CF23" s="1" t="str">
        <f>IF(ISBLANK('Exception Stores'!$A$6),"NO",IF('Exception Stores'!$A$6&lt;$AX$2,"YES","NO"))</f>
        <v>NO</v>
      </c>
      <c r="CG23" s="1" t="str">
        <f>IF(ISBLANK('Exception Stores'!$A$6),"NO",IF('Exception Stores'!$A$6&lt;$AY$2,"YES","NO"))</f>
        <v>NO</v>
      </c>
      <c r="CI23" s="42" t="str">
        <f>IF(ISBLANK('Exception Stores'!$B$6),"NO",IF('Exception Stores'!$B$6&lt;=$AU$2,"YES","NO"))</f>
        <v>NO</v>
      </c>
      <c r="CJ23" s="42" t="str">
        <f>IF(ISBLANK('Exception Stores'!$B$6),"NO",IF('Exception Stores'!$B$6&lt;=$AV$2,"YES","NO"))</f>
        <v>NO</v>
      </c>
      <c r="CK23" s="1" t="str">
        <f>IF(ISBLANK('Exception Stores'!$B$6),"NO",IF('Exception Stores'!$B$6&lt;=$AW$2,"YES","NO"))</f>
        <v>NO</v>
      </c>
      <c r="CL23" s="1" t="str">
        <f>IF(ISBLANK('Exception Stores'!$B$6),"NO",IF('Exception Stores'!$B$6&lt;=$AX$2,"YES","NO"))</f>
        <v>NO</v>
      </c>
      <c r="CM23" s="1" t="str">
        <f>IF(ISBLANK('Exception Stores'!$B$6),"NO",IF('Exception Stores'!$B$6&lt;=$AY$2,"YES","NO"))</f>
        <v>NO</v>
      </c>
      <c r="CO23" s="1" t="e">
        <f ca="1">IF(AM23&lt;'Exception Stores'!$A$6,"YES","NO")</f>
        <v>#VALUE!</v>
      </c>
      <c r="CP23" s="1">
        <f t="shared" si="53"/>
        <v>0</v>
      </c>
      <c r="CQ23" s="1">
        <f t="shared" si="54"/>
        <v>0</v>
      </c>
      <c r="CR23" s="1">
        <f t="shared" si="55"/>
        <v>0</v>
      </c>
      <c r="CS23" s="1">
        <f t="shared" si="56"/>
        <v>0</v>
      </c>
      <c r="CT23" s="1">
        <f t="shared" si="57"/>
        <v>0</v>
      </c>
      <c r="CU23" s="1">
        <f t="shared" si="58"/>
        <v>0</v>
      </c>
      <c r="CW23" s="1" t="e">
        <f t="shared" ca="1" si="59"/>
        <v>#VALUE!</v>
      </c>
      <c r="CX23" s="1" t="e">
        <f t="shared" ca="1" si="0"/>
        <v>#VALUE!</v>
      </c>
      <c r="CY23" s="1" t="e">
        <f t="shared" ca="1" si="1"/>
        <v>#VALUE!</v>
      </c>
      <c r="CZ23" s="1" t="e">
        <f t="shared" ca="1" si="2"/>
        <v>#VALUE!</v>
      </c>
      <c r="DA23" s="1" t="e">
        <f t="shared" ca="1" si="3"/>
        <v>#VALUE!</v>
      </c>
      <c r="DB23" s="26" t="e">
        <f t="shared" ca="1" si="60"/>
        <v>#VALUE!</v>
      </c>
      <c r="DC23" s="1">
        <f t="shared" si="4"/>
        <v>0</v>
      </c>
      <c r="DD23" s="1">
        <f t="shared" si="5"/>
        <v>0</v>
      </c>
      <c r="DE23" s="1">
        <f t="shared" si="6"/>
        <v>0</v>
      </c>
      <c r="DF23" s="1">
        <f t="shared" si="7"/>
        <v>0</v>
      </c>
      <c r="DG23" s="1">
        <f t="shared" si="8"/>
        <v>0</v>
      </c>
      <c r="DH23" s="26">
        <f t="shared" si="61"/>
        <v>0</v>
      </c>
      <c r="DI23" s="1" t="e">
        <f t="shared" ca="1" si="62"/>
        <v>#VALUE!</v>
      </c>
      <c r="DK23" s="11" t="str">
        <f t="shared" si="9"/>
        <v/>
      </c>
      <c r="DL23" s="11" t="e">
        <f ca="1">IF(AND(NOT(ISBLANK('Exception Stores'!$A$6)),CO23="YES"),S23-$BH$2-(DI23*$BS$2)-(CU23*$BS$2),S23-(DB23*$BS$2))</f>
        <v>#VALUE!</v>
      </c>
      <c r="DM23" s="11" t="str">
        <f>IF(ISBLANK(A23),"",IF(COUNTIF(Remaps!$A$2:$A$200,B23)&gt;0,"YES",""))</f>
        <v>YES</v>
      </c>
      <c r="DN23" s="29">
        <f>IFERROR(INDEX(Remaps!$B$2:$B$200,MATCH(B23,Remaps!$A$2:$A$200,0),1),0)</f>
        <v>0</v>
      </c>
      <c r="DO23" s="11" t="e">
        <f t="shared" ca="1" si="10"/>
        <v>#VALUE!</v>
      </c>
      <c r="DP23" s="29" t="e">
        <f t="shared" si="11"/>
        <v>#VALUE!</v>
      </c>
      <c r="DQ23" s="11" t="e">
        <f ca="1">('Apollo Dock Status'!$Z$1-DP23)/DO23</f>
        <v>#VALUE!</v>
      </c>
      <c r="DR23" s="15" t="e">
        <f t="shared" ca="1" si="63"/>
        <v>#VALUE!</v>
      </c>
    </row>
    <row r="24" spans="1:122">
      <c r="A24" s="1" t="str">
        <f>IF(ISBLANK('Apollo Dock Status'!A24),"",'Apollo Dock Status'!A24)</f>
        <v/>
      </c>
      <c r="B24" s="1" t="str">
        <f>IF(ISBLANK('Apollo Dock Status'!B24),"",'Apollo Dock Status'!B24)</f>
        <v/>
      </c>
      <c r="C24" s="1" t="str">
        <f>IF(ISBLANK('Apollo Dock Status'!C24),"",'Apollo Dock Status'!C24)</f>
        <v/>
      </c>
      <c r="D24" s="1" t="str">
        <f>IF(ISBLANK('Apollo Dock Status'!D24),"",'Apollo Dock Status'!D24)</f>
        <v/>
      </c>
      <c r="E24" s="1" t="str">
        <f>IF(ISBLANK('Apollo Dock Status'!E24),"",'Apollo Dock Status'!E24)</f>
        <v/>
      </c>
      <c r="F24" s="1" t="str">
        <f>IF(ISBLANK('Apollo Dock Status'!F24),"",'Apollo Dock Status'!F24)</f>
        <v/>
      </c>
      <c r="G24" s="1" t="str">
        <f>IF(ISBLANK('Apollo Dock Status'!G24),"",'Apollo Dock Status'!G24)</f>
        <v/>
      </c>
      <c r="H24" s="1" t="str">
        <f>IF(ISBLANK('Apollo Dock Status'!H24),"",'Apollo Dock Status'!H24)</f>
        <v/>
      </c>
      <c r="I24" s="1" t="str">
        <f>IF(ISBLANK('Apollo Dock Status'!I24),"",'Apollo Dock Status'!I24)</f>
        <v/>
      </c>
      <c r="J24" s="1" t="str">
        <f>IF(ISBLANK('Apollo Dock Status'!J24),"",'Apollo Dock Status'!J24)</f>
        <v/>
      </c>
      <c r="K24" s="1" t="str">
        <f>IF(ISBLANK('Apollo Dock Status'!K24),"",'Apollo Dock Status'!K24)</f>
        <v/>
      </c>
      <c r="L24" s="1" t="str">
        <f>IF(ISBLANK('Apollo Dock Status'!L24),"",'Apollo Dock Status'!L24)</f>
        <v/>
      </c>
      <c r="M24" s="1" t="str">
        <f>IF(ISBLANK('Apollo Dock Status'!M24),"",'Apollo Dock Status'!M24)</f>
        <v/>
      </c>
      <c r="N24" s="1" t="str">
        <f>IF(ISBLANK('Apollo Dock Status'!N24),"",'Apollo Dock Status'!N24)</f>
        <v/>
      </c>
      <c r="O24" s="1" t="str">
        <f t="shared" si="12"/>
        <v/>
      </c>
      <c r="P24" s="1" t="str">
        <f t="shared" si="13"/>
        <v/>
      </c>
      <c r="Q24" s="1" t="str">
        <f t="shared" si="14"/>
        <v/>
      </c>
      <c r="R24" s="1" t="str">
        <f t="shared" si="15"/>
        <v/>
      </c>
      <c r="S24" s="11" t="str">
        <f t="shared" si="16"/>
        <v/>
      </c>
      <c r="T24" s="1" t="str">
        <f t="shared" si="17"/>
        <v/>
      </c>
      <c r="U24" s="11" t="str">
        <f t="shared" si="18"/>
        <v/>
      </c>
      <c r="V24" s="11" t="str">
        <f t="shared" si="19"/>
        <v/>
      </c>
      <c r="X24" s="1" t="str">
        <f t="shared" si="20"/>
        <v/>
      </c>
      <c r="Y24" s="1" t="str">
        <f t="shared" si="21"/>
        <v/>
      </c>
      <c r="Z24" s="1" t="str">
        <f t="shared" si="22"/>
        <v/>
      </c>
      <c r="AB24" s="13">
        <f t="shared" ca="1" si="23"/>
        <v>46176</v>
      </c>
      <c r="AC24" s="1">
        <f t="shared" ca="1" si="24"/>
        <v>2026</v>
      </c>
      <c r="AD24" s="1" t="str">
        <f t="shared" ca="1" si="25"/>
        <v>6</v>
      </c>
      <c r="AE24" s="1">
        <f t="shared" si="26"/>
        <v>1</v>
      </c>
      <c r="AF24" s="1" t="str">
        <f t="shared" si="27"/>
        <v/>
      </c>
      <c r="AG24" s="1">
        <f t="shared" ca="1" si="28"/>
        <v>2026</v>
      </c>
      <c r="AH24" s="1">
        <f t="shared" si="29"/>
        <v>1</v>
      </c>
      <c r="AI24" s="1" t="str">
        <f t="shared" ca="1" si="30"/>
        <v>6</v>
      </c>
      <c r="AJ24" s="13" t="e">
        <f t="shared" ca="1" si="31"/>
        <v>#VALUE!</v>
      </c>
      <c r="AK24" s="1" t="e">
        <f>IF(ISBLANK(A24),"",IFERROR(MID(F24,SEARCH(", ",F24)+LEN(", "),SEARCH(" "&amp;'Exception Stores'!$A$2,F24)-SEARCH(", ",F24)-LEN(", ")),MID(F24,SEARCH(", ",F24)+LEN(", "),SEARCH(" "&amp;'Exception Stores'!$B$2,F24)-SEARCH(", ",F24)-LEN(", "))))</f>
        <v>#VALUE!</v>
      </c>
      <c r="AL24" s="1" t="e">
        <f t="shared" si="32"/>
        <v>#VALUE!</v>
      </c>
      <c r="AM24" s="15" t="e">
        <f t="shared" ca="1" si="33"/>
        <v>#VALUE!</v>
      </c>
      <c r="AN24" s="24" t="e">
        <f t="shared" ca="1" si="34"/>
        <v>#VALUE!</v>
      </c>
      <c r="AO24" s="1" t="e">
        <f t="shared" ca="1" si="35"/>
        <v>#VALUE!</v>
      </c>
      <c r="AP24" s="13" t="e">
        <f t="shared" ca="1" si="36"/>
        <v>#VALUE!</v>
      </c>
      <c r="AQ24" s="17" t="e">
        <f t="shared" ca="1" si="37"/>
        <v>#VALUE!</v>
      </c>
      <c r="AS24" s="15" t="e">
        <f t="shared" ca="1" si="38"/>
        <v>#VALUE!</v>
      </c>
      <c r="AT24" s="5">
        <f>'Exception Stores'!$D$2</f>
        <v>0.125</v>
      </c>
      <c r="AU24" s="15" t="e">
        <f t="shared" ca="1" si="39"/>
        <v>#VALUE!</v>
      </c>
      <c r="AV24" s="15" t="e">
        <f t="shared" ca="1" si="40"/>
        <v>#VALUE!</v>
      </c>
      <c r="AW24" s="15" t="e">
        <f t="shared" ca="1" si="41"/>
        <v>#VALUE!</v>
      </c>
      <c r="AX24" s="15" t="e">
        <f t="shared" ca="1" si="42"/>
        <v>#VALUE!</v>
      </c>
      <c r="AY24" s="15" t="e">
        <f t="shared" ca="1" si="43"/>
        <v>#VALUE!</v>
      </c>
      <c r="AZ24" s="1" t="e">
        <f t="shared" ca="1" si="44"/>
        <v>#VALUE!</v>
      </c>
      <c r="BA24" s="15" t="e">
        <f t="shared" ca="1" si="45"/>
        <v>#VALUE!</v>
      </c>
      <c r="BB24" s="15" t="e">
        <f t="shared" ca="1" si="46"/>
        <v>#VALUE!</v>
      </c>
      <c r="BC24" s="1" t="e">
        <f t="shared" ca="1" si="47"/>
        <v>#VALUE!</v>
      </c>
      <c r="BE24" s="15" t="str">
        <f>IF(ISBLANK('Exception Stores'!$A$6),"",'Exception Stores'!$A$6)</f>
        <v/>
      </c>
      <c r="BF24" s="15" t="str">
        <f>IF(ISBLANK('Exception Stores'!$B$6),"",'Exception Stores'!$B$6)</f>
        <v/>
      </c>
      <c r="BG24" s="1">
        <f>IF(ISBLANK('Exception Stores'!$A$6),0,IF($AN$2&gt;$BF$2,($AN$2-$BF$2)*24,0))</f>
        <v>0</v>
      </c>
      <c r="BH24" s="11">
        <f>IF(ISBLANK('Exception Stores'!$A$6),0,($BF$2-$BE$2)*24)</f>
        <v>0</v>
      </c>
      <c r="BI2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24" s="1">
        <f>IF(ISBLANK('Exception Stores'!$A$6),0,IF($AN$2&gt;$BF$2,0,IF(AND($AN$2&lt;$BF$2,$BT$2="B"),(($BF$2-$AN$2)*24)-$BS$2,($BF$2-$AN$2)*24)))</f>
        <v>0</v>
      </c>
      <c r="BL24" s="5"/>
      <c r="BM24" s="5"/>
      <c r="BN24" s="5"/>
      <c r="BO24" s="5"/>
      <c r="BP24" s="5"/>
      <c r="BV24" s="1" t="e">
        <f t="shared" ca="1" si="48"/>
        <v>#VALUE!</v>
      </c>
      <c r="BW24" s="1" t="e">
        <f t="shared" ca="1" si="49"/>
        <v>#VALUE!</v>
      </c>
      <c r="BX24" s="1" t="e">
        <f t="shared" ca="1" si="50"/>
        <v>#VALUE!</v>
      </c>
      <c r="BY24" s="1" t="e">
        <f t="shared" ca="1" si="51"/>
        <v>#VALUE!</v>
      </c>
      <c r="BZ24" s="1" t="e">
        <f t="shared" ca="1" si="52"/>
        <v>#VALUE!</v>
      </c>
      <c r="CB24" s="1" t="str">
        <f>IF(ISBLANK('Exception Stores'!$A$6),"",WEEKDAY($BF$2))</f>
        <v/>
      </c>
      <c r="CC24" s="1" t="str">
        <f>IF(ISBLANK('Exception Stores'!$A$6),"NO",IF('Exception Stores'!$A$6&lt;$AU$2,"YES","NO"))</f>
        <v>NO</v>
      </c>
      <c r="CD24" s="1" t="str">
        <f>IF(ISBLANK('Exception Stores'!$A$6),"NO",IF('Exception Stores'!$A$6&lt;$AV$2,"YES","NO"))</f>
        <v>NO</v>
      </c>
      <c r="CE24" s="1" t="str">
        <f>IF(ISBLANK('Exception Stores'!$A$6),"NO",IF('Exception Stores'!$A$6&lt;$AW$2,"YES","NO"))</f>
        <v>NO</v>
      </c>
      <c r="CF24" s="1" t="str">
        <f>IF(ISBLANK('Exception Stores'!$A$6),"NO",IF('Exception Stores'!$A$6&lt;$AX$2,"YES","NO"))</f>
        <v>NO</v>
      </c>
      <c r="CG24" s="1" t="str">
        <f>IF(ISBLANK('Exception Stores'!$A$6),"NO",IF('Exception Stores'!$A$6&lt;$AY$2,"YES","NO"))</f>
        <v>NO</v>
      </c>
      <c r="CI24" s="42" t="str">
        <f>IF(ISBLANK('Exception Stores'!$B$6),"NO",IF('Exception Stores'!$B$6&lt;=$AU$2,"YES","NO"))</f>
        <v>NO</v>
      </c>
      <c r="CJ24" s="42" t="str">
        <f>IF(ISBLANK('Exception Stores'!$B$6),"NO",IF('Exception Stores'!$B$6&lt;=$AV$2,"YES","NO"))</f>
        <v>NO</v>
      </c>
      <c r="CK24" s="1" t="str">
        <f>IF(ISBLANK('Exception Stores'!$B$6),"NO",IF('Exception Stores'!$B$6&lt;=$AW$2,"YES","NO"))</f>
        <v>NO</v>
      </c>
      <c r="CL24" s="1" t="str">
        <f>IF(ISBLANK('Exception Stores'!$B$6),"NO",IF('Exception Stores'!$B$6&lt;=$AX$2,"YES","NO"))</f>
        <v>NO</v>
      </c>
      <c r="CM24" s="1" t="str">
        <f>IF(ISBLANK('Exception Stores'!$B$6),"NO",IF('Exception Stores'!$B$6&lt;=$AY$2,"YES","NO"))</f>
        <v>NO</v>
      </c>
      <c r="CO24" s="1" t="e">
        <f ca="1">IF(AM24&lt;'Exception Stores'!$A$6,"YES","NO")</f>
        <v>#VALUE!</v>
      </c>
      <c r="CP24" s="1">
        <f t="shared" si="53"/>
        <v>0</v>
      </c>
      <c r="CQ24" s="1">
        <f t="shared" si="54"/>
        <v>0</v>
      </c>
      <c r="CR24" s="1">
        <f t="shared" si="55"/>
        <v>0</v>
      </c>
      <c r="CS24" s="1">
        <f t="shared" si="56"/>
        <v>0</v>
      </c>
      <c r="CT24" s="1">
        <f t="shared" si="57"/>
        <v>0</v>
      </c>
      <c r="CU24" s="1">
        <f t="shared" si="58"/>
        <v>0</v>
      </c>
      <c r="CW24" s="1" t="e">
        <f t="shared" ca="1" si="59"/>
        <v>#VALUE!</v>
      </c>
      <c r="CX24" s="1" t="e">
        <f t="shared" ca="1" si="0"/>
        <v>#VALUE!</v>
      </c>
      <c r="CY24" s="1" t="e">
        <f t="shared" ca="1" si="1"/>
        <v>#VALUE!</v>
      </c>
      <c r="CZ24" s="1" t="e">
        <f t="shared" ca="1" si="2"/>
        <v>#VALUE!</v>
      </c>
      <c r="DA24" s="1" t="e">
        <f t="shared" ca="1" si="3"/>
        <v>#VALUE!</v>
      </c>
      <c r="DB24" s="26" t="e">
        <f t="shared" ca="1" si="60"/>
        <v>#VALUE!</v>
      </c>
      <c r="DC24" s="1">
        <f t="shared" si="4"/>
        <v>0</v>
      </c>
      <c r="DD24" s="1">
        <f t="shared" si="5"/>
        <v>0</v>
      </c>
      <c r="DE24" s="1">
        <f t="shared" si="6"/>
        <v>0</v>
      </c>
      <c r="DF24" s="1">
        <f t="shared" si="7"/>
        <v>0</v>
      </c>
      <c r="DG24" s="1">
        <f t="shared" si="8"/>
        <v>0</v>
      </c>
      <c r="DH24" s="26">
        <f t="shared" si="61"/>
        <v>0</v>
      </c>
      <c r="DI24" s="1" t="e">
        <f t="shared" ca="1" si="62"/>
        <v>#VALUE!</v>
      </c>
      <c r="DK24" s="11" t="str">
        <f t="shared" si="9"/>
        <v/>
      </c>
      <c r="DL24" s="11" t="e">
        <f ca="1">IF(AND(NOT(ISBLANK('Exception Stores'!$A$6)),CO24="YES"),S24-$BH$2-(DI24*$BS$2)-(CU24*$BS$2),S24-(DB24*$BS$2))</f>
        <v>#VALUE!</v>
      </c>
      <c r="DM24" s="11" t="str">
        <f>IF(ISBLANK(A24),"",IF(COUNTIF(Remaps!$A$2:$A$200,B24)&gt;0,"YES",""))</f>
        <v>YES</v>
      </c>
      <c r="DN24" s="29">
        <f>IFERROR(INDEX(Remaps!$B$2:$B$200,MATCH(B24,Remaps!$A$2:$A$200,0),1),0)</f>
        <v>0</v>
      </c>
      <c r="DO24" s="11" t="e">
        <f t="shared" ca="1" si="10"/>
        <v>#VALUE!</v>
      </c>
      <c r="DP24" s="29" t="e">
        <f t="shared" si="11"/>
        <v>#VALUE!</v>
      </c>
      <c r="DQ24" s="11" t="e">
        <f ca="1">('Apollo Dock Status'!$Z$1-DP24)/DO24</f>
        <v>#VALUE!</v>
      </c>
      <c r="DR24" s="15" t="e">
        <f t="shared" ca="1" si="63"/>
        <v>#VALUE!</v>
      </c>
    </row>
    <row r="25" spans="1:122">
      <c r="A25" s="1" t="str">
        <f>IF(ISBLANK('Apollo Dock Status'!A25),"",'Apollo Dock Status'!A25)</f>
        <v/>
      </c>
      <c r="B25" s="1" t="str">
        <f>IF(ISBLANK('Apollo Dock Status'!B25),"",'Apollo Dock Status'!B25)</f>
        <v/>
      </c>
      <c r="C25" s="1" t="str">
        <f>IF(ISBLANK('Apollo Dock Status'!C25),"",'Apollo Dock Status'!C25)</f>
        <v/>
      </c>
      <c r="D25" s="1" t="str">
        <f>IF(ISBLANK('Apollo Dock Status'!D25),"",'Apollo Dock Status'!D25)</f>
        <v/>
      </c>
      <c r="E25" s="1" t="str">
        <f>IF(ISBLANK('Apollo Dock Status'!E25),"",'Apollo Dock Status'!E25)</f>
        <v/>
      </c>
      <c r="F25" s="1" t="str">
        <f>IF(ISBLANK('Apollo Dock Status'!F25),"",'Apollo Dock Status'!F25)</f>
        <v/>
      </c>
      <c r="G25" s="1" t="str">
        <f>IF(ISBLANK('Apollo Dock Status'!G25),"",'Apollo Dock Status'!G25)</f>
        <v/>
      </c>
      <c r="H25" s="1" t="str">
        <f>IF(ISBLANK('Apollo Dock Status'!H25),"",'Apollo Dock Status'!H25)</f>
        <v/>
      </c>
      <c r="I25" s="1" t="str">
        <f>IF(ISBLANK('Apollo Dock Status'!I25),"",'Apollo Dock Status'!I25)</f>
        <v/>
      </c>
      <c r="J25" s="1" t="str">
        <f>IF(ISBLANK('Apollo Dock Status'!J25),"",'Apollo Dock Status'!J25)</f>
        <v/>
      </c>
      <c r="K25" s="1" t="str">
        <f>IF(ISBLANK('Apollo Dock Status'!K25),"",'Apollo Dock Status'!K25)</f>
        <v/>
      </c>
      <c r="L25" s="1" t="str">
        <f>IF(ISBLANK('Apollo Dock Status'!L25),"",'Apollo Dock Status'!L25)</f>
        <v/>
      </c>
      <c r="M25" s="1" t="str">
        <f>IF(ISBLANK('Apollo Dock Status'!M25),"",'Apollo Dock Status'!M25)</f>
        <v/>
      </c>
      <c r="N25" s="1" t="str">
        <f>IF(ISBLANK('Apollo Dock Status'!N25),"",'Apollo Dock Status'!N25)</f>
        <v/>
      </c>
      <c r="O25" s="1" t="str">
        <f t="shared" si="12"/>
        <v/>
      </c>
      <c r="P25" s="1" t="str">
        <f t="shared" si="13"/>
        <v/>
      </c>
      <c r="Q25" s="1" t="str">
        <f t="shared" si="14"/>
        <v/>
      </c>
      <c r="R25" s="1" t="str">
        <f t="shared" si="15"/>
        <v/>
      </c>
      <c r="S25" s="11" t="str">
        <f t="shared" si="16"/>
        <v/>
      </c>
      <c r="T25" s="1" t="str">
        <f t="shared" si="17"/>
        <v/>
      </c>
      <c r="U25" s="11" t="str">
        <f t="shared" si="18"/>
        <v/>
      </c>
      <c r="V25" s="11" t="str">
        <f t="shared" si="19"/>
        <v/>
      </c>
      <c r="X25" s="1" t="str">
        <f t="shared" si="20"/>
        <v/>
      </c>
      <c r="Y25" s="1" t="str">
        <f t="shared" si="21"/>
        <v/>
      </c>
      <c r="Z25" s="1" t="str">
        <f t="shared" si="22"/>
        <v/>
      </c>
      <c r="AB25" s="13">
        <f t="shared" ca="1" si="23"/>
        <v>46176</v>
      </c>
      <c r="AC25" s="1">
        <f t="shared" ca="1" si="24"/>
        <v>2026</v>
      </c>
      <c r="AD25" s="1" t="str">
        <f t="shared" ca="1" si="25"/>
        <v>6</v>
      </c>
      <c r="AE25" s="1">
        <f t="shared" si="26"/>
        <v>1</v>
      </c>
      <c r="AF25" s="1" t="str">
        <f t="shared" si="27"/>
        <v/>
      </c>
      <c r="AG25" s="1">
        <f t="shared" ca="1" si="28"/>
        <v>2026</v>
      </c>
      <c r="AH25" s="1">
        <f t="shared" si="29"/>
        <v>1</v>
      </c>
      <c r="AI25" s="1" t="str">
        <f t="shared" ca="1" si="30"/>
        <v>6</v>
      </c>
      <c r="AJ25" s="13" t="e">
        <f t="shared" ca="1" si="31"/>
        <v>#VALUE!</v>
      </c>
      <c r="AK25" s="1" t="e">
        <f>IF(ISBLANK(A25),"",IFERROR(MID(F25,SEARCH(", ",F25)+LEN(", "),SEARCH(" "&amp;'Exception Stores'!$A$2,F25)-SEARCH(", ",F25)-LEN(", ")),MID(F25,SEARCH(", ",F25)+LEN(", "),SEARCH(" "&amp;'Exception Stores'!$B$2,F25)-SEARCH(", ",F25)-LEN(", "))))</f>
        <v>#VALUE!</v>
      </c>
      <c r="AL25" s="1" t="e">
        <f t="shared" si="32"/>
        <v>#VALUE!</v>
      </c>
      <c r="AM25" s="15" t="e">
        <f t="shared" ca="1" si="33"/>
        <v>#VALUE!</v>
      </c>
      <c r="AN25" s="24" t="e">
        <f t="shared" ca="1" si="34"/>
        <v>#VALUE!</v>
      </c>
      <c r="AO25" s="1" t="e">
        <f t="shared" ca="1" si="35"/>
        <v>#VALUE!</v>
      </c>
      <c r="AP25" s="13" t="e">
        <f t="shared" ca="1" si="36"/>
        <v>#VALUE!</v>
      </c>
      <c r="AQ25" s="17" t="e">
        <f t="shared" ca="1" si="37"/>
        <v>#VALUE!</v>
      </c>
      <c r="AS25" s="15" t="e">
        <f t="shared" ca="1" si="38"/>
        <v>#VALUE!</v>
      </c>
      <c r="AT25" s="5">
        <f>'Exception Stores'!$D$2</f>
        <v>0.125</v>
      </c>
      <c r="AU25" s="15" t="e">
        <f t="shared" ca="1" si="39"/>
        <v>#VALUE!</v>
      </c>
      <c r="AV25" s="15" t="e">
        <f t="shared" ca="1" si="40"/>
        <v>#VALUE!</v>
      </c>
      <c r="AW25" s="15" t="e">
        <f t="shared" ca="1" si="41"/>
        <v>#VALUE!</v>
      </c>
      <c r="AX25" s="15" t="e">
        <f t="shared" ca="1" si="42"/>
        <v>#VALUE!</v>
      </c>
      <c r="AY25" s="15" t="e">
        <f t="shared" ca="1" si="43"/>
        <v>#VALUE!</v>
      </c>
      <c r="AZ25" s="1" t="e">
        <f t="shared" ca="1" si="44"/>
        <v>#VALUE!</v>
      </c>
      <c r="BA25" s="15" t="e">
        <f t="shared" ca="1" si="45"/>
        <v>#VALUE!</v>
      </c>
      <c r="BB25" s="15" t="e">
        <f t="shared" ca="1" si="46"/>
        <v>#VALUE!</v>
      </c>
      <c r="BC25" s="1" t="e">
        <f t="shared" ca="1" si="47"/>
        <v>#VALUE!</v>
      </c>
      <c r="BE25" s="15" t="str">
        <f>IF(ISBLANK('Exception Stores'!$A$6),"",'Exception Stores'!$A$6)</f>
        <v/>
      </c>
      <c r="BF25" s="15" t="str">
        <f>IF(ISBLANK('Exception Stores'!$B$6),"",'Exception Stores'!$B$6)</f>
        <v/>
      </c>
      <c r="BG25" s="1">
        <f>IF(ISBLANK('Exception Stores'!$A$6),0,IF($AN$2&gt;$BF$2,($AN$2-$BF$2)*24,0))</f>
        <v>0</v>
      </c>
      <c r="BH25" s="11">
        <f>IF(ISBLANK('Exception Stores'!$A$6),0,($BF$2-$BE$2)*24)</f>
        <v>0</v>
      </c>
      <c r="BI2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25" s="1">
        <f>IF(ISBLANK('Exception Stores'!$A$6),0,IF($AN$2&gt;$BF$2,0,IF(AND($AN$2&lt;$BF$2,$BT$2="B"),(($BF$2-$AN$2)*24)-$BS$2,($BF$2-$AN$2)*24)))</f>
        <v>0</v>
      </c>
      <c r="BL25" s="5"/>
      <c r="BM25" s="5"/>
      <c r="BN25" s="5"/>
      <c r="BO25" s="5"/>
      <c r="BP25" s="5"/>
      <c r="BV25" s="1" t="e">
        <f t="shared" ca="1" si="48"/>
        <v>#VALUE!</v>
      </c>
      <c r="BW25" s="1" t="e">
        <f t="shared" ca="1" si="49"/>
        <v>#VALUE!</v>
      </c>
      <c r="BX25" s="1" t="e">
        <f t="shared" ca="1" si="50"/>
        <v>#VALUE!</v>
      </c>
      <c r="BY25" s="1" t="e">
        <f t="shared" ca="1" si="51"/>
        <v>#VALUE!</v>
      </c>
      <c r="BZ25" s="1" t="e">
        <f t="shared" ca="1" si="52"/>
        <v>#VALUE!</v>
      </c>
      <c r="CB25" s="1" t="str">
        <f>IF(ISBLANK('Exception Stores'!$A$6),"",WEEKDAY($BF$2))</f>
        <v/>
      </c>
      <c r="CC25" s="1" t="str">
        <f>IF(ISBLANK('Exception Stores'!$A$6),"NO",IF('Exception Stores'!$A$6&lt;$AU$2,"YES","NO"))</f>
        <v>NO</v>
      </c>
      <c r="CD25" s="1" t="str">
        <f>IF(ISBLANK('Exception Stores'!$A$6),"NO",IF('Exception Stores'!$A$6&lt;$AV$2,"YES","NO"))</f>
        <v>NO</v>
      </c>
      <c r="CE25" s="1" t="str">
        <f>IF(ISBLANK('Exception Stores'!$A$6),"NO",IF('Exception Stores'!$A$6&lt;$AW$2,"YES","NO"))</f>
        <v>NO</v>
      </c>
      <c r="CF25" s="1" t="str">
        <f>IF(ISBLANK('Exception Stores'!$A$6),"NO",IF('Exception Stores'!$A$6&lt;$AX$2,"YES","NO"))</f>
        <v>NO</v>
      </c>
      <c r="CG25" s="1" t="str">
        <f>IF(ISBLANK('Exception Stores'!$A$6),"NO",IF('Exception Stores'!$A$6&lt;$AY$2,"YES","NO"))</f>
        <v>NO</v>
      </c>
      <c r="CI25" s="42" t="str">
        <f>IF(ISBLANK('Exception Stores'!$B$6),"NO",IF('Exception Stores'!$B$6&lt;=$AU$2,"YES","NO"))</f>
        <v>NO</v>
      </c>
      <c r="CJ25" s="42" t="str">
        <f>IF(ISBLANK('Exception Stores'!$B$6),"NO",IF('Exception Stores'!$B$6&lt;=$AV$2,"YES","NO"))</f>
        <v>NO</v>
      </c>
      <c r="CK25" s="1" t="str">
        <f>IF(ISBLANK('Exception Stores'!$B$6),"NO",IF('Exception Stores'!$B$6&lt;=$AW$2,"YES","NO"))</f>
        <v>NO</v>
      </c>
      <c r="CL25" s="1" t="str">
        <f>IF(ISBLANK('Exception Stores'!$B$6),"NO",IF('Exception Stores'!$B$6&lt;=$AX$2,"YES","NO"))</f>
        <v>NO</v>
      </c>
      <c r="CM25" s="1" t="str">
        <f>IF(ISBLANK('Exception Stores'!$B$6),"NO",IF('Exception Stores'!$B$6&lt;=$AY$2,"YES","NO"))</f>
        <v>NO</v>
      </c>
      <c r="CO25" s="1" t="e">
        <f ca="1">IF(AM25&lt;'Exception Stores'!$A$6,"YES","NO")</f>
        <v>#VALUE!</v>
      </c>
      <c r="CP25" s="1">
        <f t="shared" si="53"/>
        <v>0</v>
      </c>
      <c r="CQ25" s="1">
        <f t="shared" si="54"/>
        <v>0</v>
      </c>
      <c r="CR25" s="1">
        <f t="shared" si="55"/>
        <v>0</v>
      </c>
      <c r="CS25" s="1">
        <f t="shared" si="56"/>
        <v>0</v>
      </c>
      <c r="CT25" s="1">
        <f t="shared" si="57"/>
        <v>0</v>
      </c>
      <c r="CU25" s="1">
        <f t="shared" si="58"/>
        <v>0</v>
      </c>
      <c r="CW25" s="1" t="e">
        <f t="shared" ca="1" si="59"/>
        <v>#VALUE!</v>
      </c>
      <c r="CX25" s="1" t="e">
        <f t="shared" ca="1" si="0"/>
        <v>#VALUE!</v>
      </c>
      <c r="CY25" s="1" t="e">
        <f t="shared" ca="1" si="1"/>
        <v>#VALUE!</v>
      </c>
      <c r="CZ25" s="1" t="e">
        <f t="shared" ca="1" si="2"/>
        <v>#VALUE!</v>
      </c>
      <c r="DA25" s="1" t="e">
        <f t="shared" ca="1" si="3"/>
        <v>#VALUE!</v>
      </c>
      <c r="DB25" s="26" t="e">
        <f t="shared" ca="1" si="60"/>
        <v>#VALUE!</v>
      </c>
      <c r="DC25" s="1">
        <f t="shared" si="4"/>
        <v>0</v>
      </c>
      <c r="DD25" s="1">
        <f t="shared" si="5"/>
        <v>0</v>
      </c>
      <c r="DE25" s="1">
        <f t="shared" si="6"/>
        <v>0</v>
      </c>
      <c r="DF25" s="1">
        <f t="shared" si="7"/>
        <v>0</v>
      </c>
      <c r="DG25" s="1">
        <f t="shared" si="8"/>
        <v>0</v>
      </c>
      <c r="DH25" s="26">
        <f t="shared" si="61"/>
        <v>0</v>
      </c>
      <c r="DI25" s="1" t="e">
        <f t="shared" ca="1" si="62"/>
        <v>#VALUE!</v>
      </c>
      <c r="DK25" s="11" t="str">
        <f t="shared" si="9"/>
        <v/>
      </c>
      <c r="DL25" s="11" t="e">
        <f ca="1">IF(AND(NOT(ISBLANK('Exception Stores'!$A$6)),CO25="YES"),S25-$BH$2-(DI25*$BS$2)-(CU25*$BS$2),S25-(DB25*$BS$2))</f>
        <v>#VALUE!</v>
      </c>
      <c r="DM25" s="11" t="str">
        <f>IF(ISBLANK(A25),"",IF(COUNTIF(Remaps!$A$2:$A$200,B25)&gt;0,"YES",""))</f>
        <v>YES</v>
      </c>
      <c r="DN25" s="29">
        <f>IFERROR(INDEX(Remaps!$B$2:$B$200,MATCH(B25,Remaps!$A$2:$A$200,0),1),0)</f>
        <v>0</v>
      </c>
      <c r="DO25" s="11" t="e">
        <f t="shared" ca="1" si="10"/>
        <v>#VALUE!</v>
      </c>
      <c r="DP25" s="29" t="e">
        <f t="shared" si="11"/>
        <v>#VALUE!</v>
      </c>
      <c r="DQ25" s="11" t="e">
        <f ca="1">('Apollo Dock Status'!$Z$1-DP25)/DO25</f>
        <v>#VALUE!</v>
      </c>
      <c r="DR25" s="15" t="e">
        <f t="shared" ca="1" si="63"/>
        <v>#VALUE!</v>
      </c>
    </row>
    <row r="26" spans="1:122">
      <c r="A26" s="1" t="str">
        <f>IF(ISBLANK('Apollo Dock Status'!A26),"",'Apollo Dock Status'!A26)</f>
        <v/>
      </c>
      <c r="B26" s="1" t="str">
        <f>IF(ISBLANK('Apollo Dock Status'!B26),"",'Apollo Dock Status'!B26)</f>
        <v/>
      </c>
      <c r="C26" s="1" t="str">
        <f>IF(ISBLANK('Apollo Dock Status'!C26),"",'Apollo Dock Status'!C26)</f>
        <v/>
      </c>
      <c r="D26" s="1" t="str">
        <f>IF(ISBLANK('Apollo Dock Status'!D26),"",'Apollo Dock Status'!D26)</f>
        <v/>
      </c>
      <c r="E26" s="1" t="str">
        <f>IF(ISBLANK('Apollo Dock Status'!E26),"",'Apollo Dock Status'!E26)</f>
        <v/>
      </c>
      <c r="F26" s="1" t="str">
        <f>IF(ISBLANK('Apollo Dock Status'!F26),"",'Apollo Dock Status'!F26)</f>
        <v/>
      </c>
      <c r="G26" s="1" t="str">
        <f>IF(ISBLANK('Apollo Dock Status'!G26),"",'Apollo Dock Status'!G26)</f>
        <v/>
      </c>
      <c r="H26" s="1" t="str">
        <f>IF(ISBLANK('Apollo Dock Status'!H26),"",'Apollo Dock Status'!H26)</f>
        <v/>
      </c>
      <c r="I26" s="1" t="str">
        <f>IF(ISBLANK('Apollo Dock Status'!I26),"",'Apollo Dock Status'!I26)</f>
        <v/>
      </c>
      <c r="J26" s="1" t="str">
        <f>IF(ISBLANK('Apollo Dock Status'!J26),"",'Apollo Dock Status'!J26)</f>
        <v/>
      </c>
      <c r="K26" s="1" t="str">
        <f>IF(ISBLANK('Apollo Dock Status'!K26),"",'Apollo Dock Status'!K26)</f>
        <v/>
      </c>
      <c r="L26" s="1" t="str">
        <f>IF(ISBLANK('Apollo Dock Status'!L26),"",'Apollo Dock Status'!L26)</f>
        <v/>
      </c>
      <c r="M26" s="1" t="str">
        <f>IF(ISBLANK('Apollo Dock Status'!M26),"",'Apollo Dock Status'!M26)</f>
        <v/>
      </c>
      <c r="N26" s="1" t="str">
        <f>IF(ISBLANK('Apollo Dock Status'!N26),"",'Apollo Dock Status'!N26)</f>
        <v/>
      </c>
      <c r="O26" s="1" t="str">
        <f t="shared" si="12"/>
        <v/>
      </c>
      <c r="P26" s="1" t="str">
        <f t="shared" si="13"/>
        <v/>
      </c>
      <c r="Q26" s="1" t="str">
        <f t="shared" si="14"/>
        <v/>
      </c>
      <c r="R26" s="1" t="str">
        <f t="shared" si="15"/>
        <v/>
      </c>
      <c r="S26" s="11" t="str">
        <f t="shared" si="16"/>
        <v/>
      </c>
      <c r="T26" s="1" t="str">
        <f t="shared" si="17"/>
        <v/>
      </c>
      <c r="U26" s="11" t="str">
        <f t="shared" si="18"/>
        <v/>
      </c>
      <c r="V26" s="11" t="str">
        <f t="shared" si="19"/>
        <v/>
      </c>
      <c r="X26" s="1" t="str">
        <f t="shared" si="20"/>
        <v/>
      </c>
      <c r="Y26" s="1" t="str">
        <f t="shared" si="21"/>
        <v/>
      </c>
      <c r="Z26" s="1" t="str">
        <f t="shared" si="22"/>
        <v/>
      </c>
      <c r="AB26" s="13">
        <f t="shared" ca="1" si="23"/>
        <v>46176</v>
      </c>
      <c r="AC26" s="1">
        <f t="shared" ca="1" si="24"/>
        <v>2026</v>
      </c>
      <c r="AD26" s="1" t="str">
        <f t="shared" ca="1" si="25"/>
        <v>6</v>
      </c>
      <c r="AE26" s="1">
        <f t="shared" si="26"/>
        <v>1</v>
      </c>
      <c r="AF26" s="1" t="str">
        <f t="shared" si="27"/>
        <v/>
      </c>
      <c r="AG26" s="1">
        <f t="shared" ca="1" si="28"/>
        <v>2026</v>
      </c>
      <c r="AH26" s="1">
        <f t="shared" si="29"/>
        <v>1</v>
      </c>
      <c r="AI26" s="1" t="str">
        <f t="shared" ca="1" si="30"/>
        <v>6</v>
      </c>
      <c r="AJ26" s="13" t="e">
        <f t="shared" ca="1" si="31"/>
        <v>#VALUE!</v>
      </c>
      <c r="AK26" s="1" t="e">
        <f>IF(ISBLANK(A26),"",IFERROR(MID(F26,SEARCH(", ",F26)+LEN(", "),SEARCH(" "&amp;'Exception Stores'!$A$2,F26)-SEARCH(", ",F26)-LEN(", ")),MID(F26,SEARCH(", ",F26)+LEN(", "),SEARCH(" "&amp;'Exception Stores'!$B$2,F26)-SEARCH(", ",F26)-LEN(", "))))</f>
        <v>#VALUE!</v>
      </c>
      <c r="AL26" s="1" t="e">
        <f t="shared" si="32"/>
        <v>#VALUE!</v>
      </c>
      <c r="AM26" s="15" t="e">
        <f t="shared" ca="1" si="33"/>
        <v>#VALUE!</v>
      </c>
      <c r="AN26" s="24" t="e">
        <f t="shared" ca="1" si="34"/>
        <v>#VALUE!</v>
      </c>
      <c r="AO26" s="1" t="e">
        <f t="shared" ca="1" si="35"/>
        <v>#VALUE!</v>
      </c>
      <c r="AP26" s="13" t="e">
        <f t="shared" ca="1" si="36"/>
        <v>#VALUE!</v>
      </c>
      <c r="AQ26" s="17" t="e">
        <f t="shared" ca="1" si="37"/>
        <v>#VALUE!</v>
      </c>
      <c r="AS26" s="15" t="e">
        <f t="shared" ca="1" si="38"/>
        <v>#VALUE!</v>
      </c>
      <c r="AT26" s="5">
        <f>'Exception Stores'!$D$2</f>
        <v>0.125</v>
      </c>
      <c r="AU26" s="15" t="e">
        <f t="shared" ca="1" si="39"/>
        <v>#VALUE!</v>
      </c>
      <c r="AV26" s="15" t="e">
        <f t="shared" ca="1" si="40"/>
        <v>#VALUE!</v>
      </c>
      <c r="AW26" s="15" t="e">
        <f t="shared" ca="1" si="41"/>
        <v>#VALUE!</v>
      </c>
      <c r="AX26" s="15" t="e">
        <f t="shared" ca="1" si="42"/>
        <v>#VALUE!</v>
      </c>
      <c r="AY26" s="15" t="e">
        <f t="shared" ca="1" si="43"/>
        <v>#VALUE!</v>
      </c>
      <c r="AZ26" s="1" t="e">
        <f t="shared" ca="1" si="44"/>
        <v>#VALUE!</v>
      </c>
      <c r="BA26" s="15" t="e">
        <f t="shared" ca="1" si="45"/>
        <v>#VALUE!</v>
      </c>
      <c r="BB26" s="15" t="e">
        <f t="shared" ca="1" si="46"/>
        <v>#VALUE!</v>
      </c>
      <c r="BC26" s="1" t="e">
        <f t="shared" ca="1" si="47"/>
        <v>#VALUE!</v>
      </c>
      <c r="BE26" s="15" t="str">
        <f>IF(ISBLANK('Exception Stores'!$A$6),"",'Exception Stores'!$A$6)</f>
        <v/>
      </c>
      <c r="BF26" s="15" t="str">
        <f>IF(ISBLANK('Exception Stores'!$B$6),"",'Exception Stores'!$B$6)</f>
        <v/>
      </c>
      <c r="BG26" s="1">
        <f>IF(ISBLANK('Exception Stores'!$A$6),0,IF($AN$2&gt;$BF$2,($AN$2-$BF$2)*24,0))</f>
        <v>0</v>
      </c>
      <c r="BH26" s="11">
        <f>IF(ISBLANK('Exception Stores'!$A$6),0,($BF$2-$BE$2)*24)</f>
        <v>0</v>
      </c>
      <c r="BI2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26" s="1">
        <f>IF(ISBLANK('Exception Stores'!$A$6),0,IF($AN$2&gt;$BF$2,0,IF(AND($AN$2&lt;$BF$2,$BT$2="B"),(($BF$2-$AN$2)*24)-$BS$2,($BF$2-$AN$2)*24)))</f>
        <v>0</v>
      </c>
      <c r="BL26" s="5"/>
      <c r="BM26" s="5"/>
      <c r="BN26" s="5"/>
      <c r="BO26" s="5"/>
      <c r="BP26" s="5"/>
      <c r="BV26" s="1" t="e">
        <f t="shared" ca="1" si="48"/>
        <v>#VALUE!</v>
      </c>
      <c r="BW26" s="1" t="e">
        <f t="shared" ca="1" si="49"/>
        <v>#VALUE!</v>
      </c>
      <c r="BX26" s="1" t="e">
        <f t="shared" ca="1" si="50"/>
        <v>#VALUE!</v>
      </c>
      <c r="BY26" s="1" t="e">
        <f t="shared" ca="1" si="51"/>
        <v>#VALUE!</v>
      </c>
      <c r="BZ26" s="1" t="e">
        <f t="shared" ca="1" si="52"/>
        <v>#VALUE!</v>
      </c>
      <c r="CB26" s="1" t="str">
        <f>IF(ISBLANK('Exception Stores'!$A$6),"",WEEKDAY($BF$2))</f>
        <v/>
      </c>
      <c r="CC26" s="1" t="str">
        <f>IF(ISBLANK('Exception Stores'!$A$6),"NO",IF('Exception Stores'!$A$6&lt;$AU$2,"YES","NO"))</f>
        <v>NO</v>
      </c>
      <c r="CD26" s="1" t="str">
        <f>IF(ISBLANK('Exception Stores'!$A$6),"NO",IF('Exception Stores'!$A$6&lt;$AV$2,"YES","NO"))</f>
        <v>NO</v>
      </c>
      <c r="CE26" s="1" t="str">
        <f>IF(ISBLANK('Exception Stores'!$A$6),"NO",IF('Exception Stores'!$A$6&lt;$AW$2,"YES","NO"))</f>
        <v>NO</v>
      </c>
      <c r="CF26" s="1" t="str">
        <f>IF(ISBLANK('Exception Stores'!$A$6),"NO",IF('Exception Stores'!$A$6&lt;$AX$2,"YES","NO"))</f>
        <v>NO</v>
      </c>
      <c r="CG26" s="1" t="str">
        <f>IF(ISBLANK('Exception Stores'!$A$6),"NO",IF('Exception Stores'!$A$6&lt;$AY$2,"YES","NO"))</f>
        <v>NO</v>
      </c>
      <c r="CI26" s="42" t="str">
        <f>IF(ISBLANK('Exception Stores'!$B$6),"NO",IF('Exception Stores'!$B$6&lt;=$AU$2,"YES","NO"))</f>
        <v>NO</v>
      </c>
      <c r="CJ26" s="42" t="str">
        <f>IF(ISBLANK('Exception Stores'!$B$6),"NO",IF('Exception Stores'!$B$6&lt;=$AV$2,"YES","NO"))</f>
        <v>NO</v>
      </c>
      <c r="CK26" s="1" t="str">
        <f>IF(ISBLANK('Exception Stores'!$B$6),"NO",IF('Exception Stores'!$B$6&lt;=$AW$2,"YES","NO"))</f>
        <v>NO</v>
      </c>
      <c r="CL26" s="1" t="str">
        <f>IF(ISBLANK('Exception Stores'!$B$6),"NO",IF('Exception Stores'!$B$6&lt;=$AX$2,"YES","NO"))</f>
        <v>NO</v>
      </c>
      <c r="CM26" s="1" t="str">
        <f>IF(ISBLANK('Exception Stores'!$B$6),"NO",IF('Exception Stores'!$B$6&lt;=$AY$2,"YES","NO"))</f>
        <v>NO</v>
      </c>
      <c r="CO26" s="1" t="e">
        <f ca="1">IF(AM26&lt;'Exception Stores'!$A$6,"YES","NO")</f>
        <v>#VALUE!</v>
      </c>
      <c r="CP26" s="1">
        <f t="shared" si="53"/>
        <v>0</v>
      </c>
      <c r="CQ26" s="1">
        <f t="shared" si="54"/>
        <v>0</v>
      </c>
      <c r="CR26" s="1">
        <f t="shared" si="55"/>
        <v>0</v>
      </c>
      <c r="CS26" s="1">
        <f t="shared" si="56"/>
        <v>0</v>
      </c>
      <c r="CT26" s="1">
        <f t="shared" si="57"/>
        <v>0</v>
      </c>
      <c r="CU26" s="1">
        <f t="shared" si="58"/>
        <v>0</v>
      </c>
      <c r="CW26" s="1" t="e">
        <f t="shared" ca="1" si="59"/>
        <v>#VALUE!</v>
      </c>
      <c r="CX26" s="1" t="e">
        <f t="shared" ca="1" si="0"/>
        <v>#VALUE!</v>
      </c>
      <c r="CY26" s="1" t="e">
        <f t="shared" ca="1" si="1"/>
        <v>#VALUE!</v>
      </c>
      <c r="CZ26" s="1" t="e">
        <f t="shared" ca="1" si="2"/>
        <v>#VALUE!</v>
      </c>
      <c r="DA26" s="1" t="e">
        <f t="shared" ca="1" si="3"/>
        <v>#VALUE!</v>
      </c>
      <c r="DB26" s="26" t="e">
        <f t="shared" ca="1" si="60"/>
        <v>#VALUE!</v>
      </c>
      <c r="DC26" s="1">
        <f t="shared" si="4"/>
        <v>0</v>
      </c>
      <c r="DD26" s="1">
        <f t="shared" si="5"/>
        <v>0</v>
      </c>
      <c r="DE26" s="1">
        <f t="shared" si="6"/>
        <v>0</v>
      </c>
      <c r="DF26" s="1">
        <f t="shared" si="7"/>
        <v>0</v>
      </c>
      <c r="DG26" s="1">
        <f t="shared" si="8"/>
        <v>0</v>
      </c>
      <c r="DH26" s="26">
        <f t="shared" si="61"/>
        <v>0</v>
      </c>
      <c r="DI26" s="1" t="e">
        <f t="shared" ca="1" si="62"/>
        <v>#VALUE!</v>
      </c>
      <c r="DK26" s="11" t="str">
        <f t="shared" si="9"/>
        <v/>
      </c>
      <c r="DL26" s="11" t="e">
        <f ca="1">IF(AND(NOT(ISBLANK('Exception Stores'!$A$6)),CO26="YES"),S26-$BH$2-(DI26*$BS$2)-(CU26*$BS$2),S26-(DB26*$BS$2))</f>
        <v>#VALUE!</v>
      </c>
      <c r="DM26" s="11" t="str">
        <f>IF(ISBLANK(A26),"",IF(COUNTIF(Remaps!$A$2:$A$200,B26)&gt;0,"YES",""))</f>
        <v>YES</v>
      </c>
      <c r="DN26" s="29">
        <f>IFERROR(INDEX(Remaps!$B$2:$B$200,MATCH(B26,Remaps!$A$2:$A$200,0),1),0)</f>
        <v>0</v>
      </c>
      <c r="DO26" s="11" t="e">
        <f t="shared" ca="1" si="10"/>
        <v>#VALUE!</v>
      </c>
      <c r="DP26" s="29" t="e">
        <f t="shared" si="11"/>
        <v>#VALUE!</v>
      </c>
      <c r="DQ26" s="11" t="e">
        <f ca="1">('Apollo Dock Status'!$Z$1-DP26)/DO26</f>
        <v>#VALUE!</v>
      </c>
      <c r="DR26" s="15" t="e">
        <f t="shared" ca="1" si="63"/>
        <v>#VALUE!</v>
      </c>
    </row>
    <row r="27" spans="1:122">
      <c r="A27" s="1" t="str">
        <f>IF(ISBLANK('Apollo Dock Status'!A27),"",'Apollo Dock Status'!A27)</f>
        <v/>
      </c>
      <c r="B27" s="1" t="str">
        <f>IF(ISBLANK('Apollo Dock Status'!B27),"",'Apollo Dock Status'!B27)</f>
        <v/>
      </c>
      <c r="C27" s="1" t="str">
        <f>IF(ISBLANK('Apollo Dock Status'!C27),"",'Apollo Dock Status'!C27)</f>
        <v/>
      </c>
      <c r="D27" s="1" t="str">
        <f>IF(ISBLANK('Apollo Dock Status'!D27),"",'Apollo Dock Status'!D27)</f>
        <v/>
      </c>
      <c r="E27" s="1" t="str">
        <f>IF(ISBLANK('Apollo Dock Status'!E27),"",'Apollo Dock Status'!E27)</f>
        <v/>
      </c>
      <c r="F27" s="1" t="str">
        <f>IF(ISBLANK('Apollo Dock Status'!F27),"",'Apollo Dock Status'!F27)</f>
        <v/>
      </c>
      <c r="G27" s="1" t="str">
        <f>IF(ISBLANK('Apollo Dock Status'!G27),"",'Apollo Dock Status'!G27)</f>
        <v/>
      </c>
      <c r="H27" s="1" t="str">
        <f>IF(ISBLANK('Apollo Dock Status'!H27),"",'Apollo Dock Status'!H27)</f>
        <v/>
      </c>
      <c r="I27" s="1" t="str">
        <f>IF(ISBLANK('Apollo Dock Status'!I27),"",'Apollo Dock Status'!I27)</f>
        <v/>
      </c>
      <c r="J27" s="1" t="str">
        <f>IF(ISBLANK('Apollo Dock Status'!J27),"",'Apollo Dock Status'!J27)</f>
        <v/>
      </c>
      <c r="K27" s="1" t="str">
        <f>IF(ISBLANK('Apollo Dock Status'!K27),"",'Apollo Dock Status'!K27)</f>
        <v/>
      </c>
      <c r="L27" s="1" t="str">
        <f>IF(ISBLANK('Apollo Dock Status'!L27),"",'Apollo Dock Status'!L27)</f>
        <v/>
      </c>
      <c r="M27" s="1" t="str">
        <f>IF(ISBLANK('Apollo Dock Status'!M27),"",'Apollo Dock Status'!M27)</f>
        <v/>
      </c>
      <c r="N27" s="1" t="str">
        <f>IF(ISBLANK('Apollo Dock Status'!N27),"",'Apollo Dock Status'!N27)</f>
        <v/>
      </c>
      <c r="O27" s="1" t="str">
        <f t="shared" si="12"/>
        <v/>
      </c>
      <c r="P27" s="1" t="str">
        <f t="shared" si="13"/>
        <v/>
      </c>
      <c r="Q27" s="1" t="str">
        <f t="shared" si="14"/>
        <v/>
      </c>
      <c r="R27" s="1" t="str">
        <f t="shared" si="15"/>
        <v/>
      </c>
      <c r="S27" s="11" t="str">
        <f t="shared" si="16"/>
        <v/>
      </c>
      <c r="T27" s="1" t="str">
        <f t="shared" si="17"/>
        <v/>
      </c>
      <c r="U27" s="11" t="str">
        <f t="shared" si="18"/>
        <v/>
      </c>
      <c r="V27" s="11" t="str">
        <f t="shared" si="19"/>
        <v/>
      </c>
      <c r="X27" s="1" t="str">
        <f t="shared" si="20"/>
        <v/>
      </c>
      <c r="Y27" s="1" t="str">
        <f t="shared" si="21"/>
        <v/>
      </c>
      <c r="Z27" s="1" t="str">
        <f t="shared" si="22"/>
        <v/>
      </c>
      <c r="AB27" s="13">
        <f t="shared" ca="1" si="23"/>
        <v>46176</v>
      </c>
      <c r="AC27" s="1">
        <f t="shared" ca="1" si="24"/>
        <v>2026</v>
      </c>
      <c r="AD27" s="1" t="str">
        <f t="shared" ca="1" si="25"/>
        <v>6</v>
      </c>
      <c r="AE27" s="1">
        <f t="shared" si="26"/>
        <v>1</v>
      </c>
      <c r="AF27" s="1" t="str">
        <f t="shared" si="27"/>
        <v/>
      </c>
      <c r="AG27" s="1">
        <f t="shared" ca="1" si="28"/>
        <v>2026</v>
      </c>
      <c r="AH27" s="1">
        <f t="shared" si="29"/>
        <v>1</v>
      </c>
      <c r="AI27" s="1" t="str">
        <f t="shared" ca="1" si="30"/>
        <v>6</v>
      </c>
      <c r="AJ27" s="13" t="e">
        <f t="shared" ca="1" si="31"/>
        <v>#VALUE!</v>
      </c>
      <c r="AK27" s="1" t="e">
        <f>IF(ISBLANK(A27),"",IFERROR(MID(F27,SEARCH(", ",F27)+LEN(", "),SEARCH(" "&amp;'Exception Stores'!$A$2,F27)-SEARCH(", ",F27)-LEN(", ")),MID(F27,SEARCH(", ",F27)+LEN(", "),SEARCH(" "&amp;'Exception Stores'!$B$2,F27)-SEARCH(", ",F27)-LEN(", "))))</f>
        <v>#VALUE!</v>
      </c>
      <c r="AL27" s="1" t="e">
        <f t="shared" si="32"/>
        <v>#VALUE!</v>
      </c>
      <c r="AM27" s="15" t="e">
        <f t="shared" ca="1" si="33"/>
        <v>#VALUE!</v>
      </c>
      <c r="AN27" s="24" t="e">
        <f t="shared" ca="1" si="34"/>
        <v>#VALUE!</v>
      </c>
      <c r="AO27" s="1" t="e">
        <f t="shared" ca="1" si="35"/>
        <v>#VALUE!</v>
      </c>
      <c r="AP27" s="13" t="e">
        <f t="shared" ca="1" si="36"/>
        <v>#VALUE!</v>
      </c>
      <c r="AQ27" s="17" t="e">
        <f t="shared" ca="1" si="37"/>
        <v>#VALUE!</v>
      </c>
      <c r="AS27" s="15" t="e">
        <f t="shared" ca="1" si="38"/>
        <v>#VALUE!</v>
      </c>
      <c r="AT27" s="5">
        <f>'Exception Stores'!$D$2</f>
        <v>0.125</v>
      </c>
      <c r="AU27" s="15" t="e">
        <f t="shared" ca="1" si="39"/>
        <v>#VALUE!</v>
      </c>
      <c r="AV27" s="15" t="e">
        <f t="shared" ca="1" si="40"/>
        <v>#VALUE!</v>
      </c>
      <c r="AW27" s="15" t="e">
        <f t="shared" ca="1" si="41"/>
        <v>#VALUE!</v>
      </c>
      <c r="AX27" s="15" t="e">
        <f t="shared" ca="1" si="42"/>
        <v>#VALUE!</v>
      </c>
      <c r="AY27" s="15" t="e">
        <f t="shared" ca="1" si="43"/>
        <v>#VALUE!</v>
      </c>
      <c r="AZ27" s="1" t="e">
        <f t="shared" ca="1" si="44"/>
        <v>#VALUE!</v>
      </c>
      <c r="BA27" s="15" t="e">
        <f t="shared" ca="1" si="45"/>
        <v>#VALUE!</v>
      </c>
      <c r="BB27" s="15" t="e">
        <f t="shared" ca="1" si="46"/>
        <v>#VALUE!</v>
      </c>
      <c r="BC27" s="1" t="e">
        <f t="shared" ca="1" si="47"/>
        <v>#VALUE!</v>
      </c>
      <c r="BE27" s="15" t="str">
        <f>IF(ISBLANK('Exception Stores'!$A$6),"",'Exception Stores'!$A$6)</f>
        <v/>
      </c>
      <c r="BF27" s="15" t="str">
        <f>IF(ISBLANK('Exception Stores'!$B$6),"",'Exception Stores'!$B$6)</f>
        <v/>
      </c>
      <c r="BG27" s="1">
        <f>IF(ISBLANK('Exception Stores'!$A$6),0,IF($AN$2&gt;$BF$2,($AN$2-$BF$2)*24,0))</f>
        <v>0</v>
      </c>
      <c r="BH27" s="11">
        <f>IF(ISBLANK('Exception Stores'!$A$6),0,($BF$2-$BE$2)*24)</f>
        <v>0</v>
      </c>
      <c r="BI2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27" s="1">
        <f>IF(ISBLANK('Exception Stores'!$A$6),0,IF($AN$2&gt;$BF$2,0,IF(AND($AN$2&lt;$BF$2,$BT$2="B"),(($BF$2-$AN$2)*24)-$BS$2,($BF$2-$AN$2)*24)))</f>
        <v>0</v>
      </c>
      <c r="BL27" s="5"/>
      <c r="BM27" s="5"/>
      <c r="BN27" s="5"/>
      <c r="BO27" s="5"/>
      <c r="BP27" s="5"/>
      <c r="BV27" s="1" t="e">
        <f t="shared" ca="1" si="48"/>
        <v>#VALUE!</v>
      </c>
      <c r="BW27" s="1" t="e">
        <f t="shared" ca="1" si="49"/>
        <v>#VALUE!</v>
      </c>
      <c r="BX27" s="1" t="e">
        <f t="shared" ca="1" si="50"/>
        <v>#VALUE!</v>
      </c>
      <c r="BY27" s="1" t="e">
        <f t="shared" ca="1" si="51"/>
        <v>#VALUE!</v>
      </c>
      <c r="BZ27" s="1" t="e">
        <f t="shared" ca="1" si="52"/>
        <v>#VALUE!</v>
      </c>
      <c r="CB27" s="1" t="str">
        <f>IF(ISBLANK('Exception Stores'!$A$6),"",WEEKDAY($BF$2))</f>
        <v/>
      </c>
      <c r="CC27" s="1" t="str">
        <f>IF(ISBLANK('Exception Stores'!$A$6),"NO",IF('Exception Stores'!$A$6&lt;$AU$2,"YES","NO"))</f>
        <v>NO</v>
      </c>
      <c r="CD27" s="1" t="str">
        <f>IF(ISBLANK('Exception Stores'!$A$6),"NO",IF('Exception Stores'!$A$6&lt;$AV$2,"YES","NO"))</f>
        <v>NO</v>
      </c>
      <c r="CE27" s="1" t="str">
        <f>IF(ISBLANK('Exception Stores'!$A$6),"NO",IF('Exception Stores'!$A$6&lt;$AW$2,"YES","NO"))</f>
        <v>NO</v>
      </c>
      <c r="CF27" s="1" t="str">
        <f>IF(ISBLANK('Exception Stores'!$A$6),"NO",IF('Exception Stores'!$A$6&lt;$AX$2,"YES","NO"))</f>
        <v>NO</v>
      </c>
      <c r="CG27" s="1" t="str">
        <f>IF(ISBLANK('Exception Stores'!$A$6),"NO",IF('Exception Stores'!$A$6&lt;$AY$2,"YES","NO"))</f>
        <v>NO</v>
      </c>
      <c r="CI27" s="42" t="str">
        <f>IF(ISBLANK('Exception Stores'!$B$6),"NO",IF('Exception Stores'!$B$6&lt;=$AU$2,"YES","NO"))</f>
        <v>NO</v>
      </c>
      <c r="CJ27" s="42" t="str">
        <f>IF(ISBLANK('Exception Stores'!$B$6),"NO",IF('Exception Stores'!$B$6&lt;=$AV$2,"YES","NO"))</f>
        <v>NO</v>
      </c>
      <c r="CK27" s="1" t="str">
        <f>IF(ISBLANK('Exception Stores'!$B$6),"NO",IF('Exception Stores'!$B$6&lt;=$AW$2,"YES","NO"))</f>
        <v>NO</v>
      </c>
      <c r="CL27" s="1" t="str">
        <f>IF(ISBLANK('Exception Stores'!$B$6),"NO",IF('Exception Stores'!$B$6&lt;=$AX$2,"YES","NO"))</f>
        <v>NO</v>
      </c>
      <c r="CM27" s="1" t="str">
        <f>IF(ISBLANK('Exception Stores'!$B$6),"NO",IF('Exception Stores'!$B$6&lt;=$AY$2,"YES","NO"))</f>
        <v>NO</v>
      </c>
      <c r="CO27" s="1" t="e">
        <f ca="1">IF(AM27&lt;'Exception Stores'!$A$6,"YES","NO")</f>
        <v>#VALUE!</v>
      </c>
      <c r="CP27" s="1">
        <f t="shared" si="53"/>
        <v>0</v>
      </c>
      <c r="CQ27" s="1">
        <f t="shared" si="54"/>
        <v>0</v>
      </c>
      <c r="CR27" s="1">
        <f t="shared" si="55"/>
        <v>0</v>
      </c>
      <c r="CS27" s="1">
        <f t="shared" si="56"/>
        <v>0</v>
      </c>
      <c r="CT27" s="1">
        <f t="shared" si="57"/>
        <v>0</v>
      </c>
      <c r="CU27" s="1">
        <f t="shared" si="58"/>
        <v>0</v>
      </c>
      <c r="CW27" s="1" t="e">
        <f t="shared" ca="1" si="59"/>
        <v>#VALUE!</v>
      </c>
      <c r="CX27" s="1" t="e">
        <f t="shared" ca="1" si="0"/>
        <v>#VALUE!</v>
      </c>
      <c r="CY27" s="1" t="e">
        <f t="shared" ca="1" si="1"/>
        <v>#VALUE!</v>
      </c>
      <c r="CZ27" s="1" t="e">
        <f t="shared" ca="1" si="2"/>
        <v>#VALUE!</v>
      </c>
      <c r="DA27" s="1" t="e">
        <f t="shared" ca="1" si="3"/>
        <v>#VALUE!</v>
      </c>
      <c r="DB27" s="26" t="e">
        <f t="shared" ca="1" si="60"/>
        <v>#VALUE!</v>
      </c>
      <c r="DC27" s="1">
        <f t="shared" si="4"/>
        <v>0</v>
      </c>
      <c r="DD27" s="1">
        <f t="shared" si="5"/>
        <v>0</v>
      </c>
      <c r="DE27" s="1">
        <f t="shared" si="6"/>
        <v>0</v>
      </c>
      <c r="DF27" s="1">
        <f t="shared" si="7"/>
        <v>0</v>
      </c>
      <c r="DG27" s="1">
        <f t="shared" si="8"/>
        <v>0</v>
      </c>
      <c r="DH27" s="26">
        <f t="shared" si="61"/>
        <v>0</v>
      </c>
      <c r="DI27" s="1" t="e">
        <f t="shared" ca="1" si="62"/>
        <v>#VALUE!</v>
      </c>
      <c r="DK27" s="11" t="str">
        <f t="shared" si="9"/>
        <v/>
      </c>
      <c r="DL27" s="11" t="e">
        <f ca="1">IF(AND(NOT(ISBLANK('Exception Stores'!$A$6)),CO27="YES"),S27-$BH$2-(DI27*$BS$2)-(CU27*$BS$2),S27-(DB27*$BS$2))</f>
        <v>#VALUE!</v>
      </c>
      <c r="DM27" s="11" t="str">
        <f>IF(ISBLANK(A27),"",IF(COUNTIF(Remaps!$A$2:$A$200,B27)&gt;0,"YES",""))</f>
        <v>YES</v>
      </c>
      <c r="DN27" s="29">
        <f>IFERROR(INDEX(Remaps!$B$2:$B$200,MATCH(B27,Remaps!$A$2:$A$200,0),1),0)</f>
        <v>0</v>
      </c>
      <c r="DO27" s="11" t="e">
        <f t="shared" ca="1" si="10"/>
        <v>#VALUE!</v>
      </c>
      <c r="DP27" s="29" t="e">
        <f t="shared" si="11"/>
        <v>#VALUE!</v>
      </c>
      <c r="DQ27" s="11" t="e">
        <f ca="1">('Apollo Dock Status'!$Z$1-DP27)/DO27</f>
        <v>#VALUE!</v>
      </c>
      <c r="DR27" s="15" t="e">
        <f t="shared" ca="1" si="63"/>
        <v>#VALUE!</v>
      </c>
    </row>
    <row r="28" spans="1:122">
      <c r="A28" s="1" t="str">
        <f>IF(ISBLANK('Apollo Dock Status'!A28),"",'Apollo Dock Status'!A28)</f>
        <v/>
      </c>
      <c r="B28" s="1" t="str">
        <f>IF(ISBLANK('Apollo Dock Status'!B28),"",'Apollo Dock Status'!B28)</f>
        <v/>
      </c>
      <c r="C28" s="1" t="str">
        <f>IF(ISBLANK('Apollo Dock Status'!C28),"",'Apollo Dock Status'!C28)</f>
        <v/>
      </c>
      <c r="D28" s="1" t="str">
        <f>IF(ISBLANK('Apollo Dock Status'!D28),"",'Apollo Dock Status'!D28)</f>
        <v/>
      </c>
      <c r="E28" s="1" t="str">
        <f>IF(ISBLANK('Apollo Dock Status'!E28),"",'Apollo Dock Status'!E28)</f>
        <v/>
      </c>
      <c r="F28" s="1" t="str">
        <f>IF(ISBLANK('Apollo Dock Status'!F28),"",'Apollo Dock Status'!F28)</f>
        <v/>
      </c>
      <c r="G28" s="1" t="str">
        <f>IF(ISBLANK('Apollo Dock Status'!G28),"",'Apollo Dock Status'!G28)</f>
        <v/>
      </c>
      <c r="H28" s="1" t="str">
        <f>IF(ISBLANK('Apollo Dock Status'!H28),"",'Apollo Dock Status'!H28)</f>
        <v/>
      </c>
      <c r="I28" s="1" t="str">
        <f>IF(ISBLANK('Apollo Dock Status'!I28),"",'Apollo Dock Status'!I28)</f>
        <v/>
      </c>
      <c r="J28" s="1" t="str">
        <f>IF(ISBLANK('Apollo Dock Status'!J28),"",'Apollo Dock Status'!J28)</f>
        <v/>
      </c>
      <c r="K28" s="1" t="str">
        <f>IF(ISBLANK('Apollo Dock Status'!K28),"",'Apollo Dock Status'!K28)</f>
        <v/>
      </c>
      <c r="L28" s="1" t="str">
        <f>IF(ISBLANK('Apollo Dock Status'!L28),"",'Apollo Dock Status'!L28)</f>
        <v/>
      </c>
      <c r="M28" s="1" t="str">
        <f>IF(ISBLANK('Apollo Dock Status'!M28),"",'Apollo Dock Status'!M28)</f>
        <v/>
      </c>
      <c r="N28" s="1" t="str">
        <f>IF(ISBLANK('Apollo Dock Status'!N28),"",'Apollo Dock Status'!N28)</f>
        <v/>
      </c>
      <c r="O28" s="1" t="str">
        <f t="shared" si="12"/>
        <v/>
      </c>
      <c r="P28" s="1" t="str">
        <f t="shared" si="13"/>
        <v/>
      </c>
      <c r="Q28" s="1" t="str">
        <f t="shared" si="14"/>
        <v/>
      </c>
      <c r="R28" s="1" t="str">
        <f t="shared" si="15"/>
        <v/>
      </c>
      <c r="S28" s="11" t="str">
        <f t="shared" si="16"/>
        <v/>
      </c>
      <c r="T28" s="1" t="str">
        <f t="shared" si="17"/>
        <v/>
      </c>
      <c r="U28" s="11" t="str">
        <f t="shared" si="18"/>
        <v/>
      </c>
      <c r="V28" s="11" t="str">
        <f t="shared" si="19"/>
        <v/>
      </c>
      <c r="X28" s="1" t="str">
        <f t="shared" si="20"/>
        <v/>
      </c>
      <c r="Y28" s="1" t="str">
        <f t="shared" si="21"/>
        <v/>
      </c>
      <c r="Z28" s="1" t="str">
        <f t="shared" si="22"/>
        <v/>
      </c>
      <c r="AB28" s="13">
        <f t="shared" ca="1" si="23"/>
        <v>46176</v>
      </c>
      <c r="AC28" s="1">
        <f t="shared" ca="1" si="24"/>
        <v>2026</v>
      </c>
      <c r="AD28" s="1" t="str">
        <f t="shared" ca="1" si="25"/>
        <v>6</v>
      </c>
      <c r="AE28" s="1">
        <f t="shared" si="26"/>
        <v>1</v>
      </c>
      <c r="AF28" s="1" t="str">
        <f t="shared" si="27"/>
        <v/>
      </c>
      <c r="AG28" s="1">
        <f t="shared" ca="1" si="28"/>
        <v>2026</v>
      </c>
      <c r="AH28" s="1">
        <f t="shared" si="29"/>
        <v>1</v>
      </c>
      <c r="AI28" s="1" t="str">
        <f t="shared" ca="1" si="30"/>
        <v>6</v>
      </c>
      <c r="AJ28" s="13" t="e">
        <f t="shared" ca="1" si="31"/>
        <v>#VALUE!</v>
      </c>
      <c r="AK28" s="1" t="e">
        <f>IF(ISBLANK(A28),"",IFERROR(MID(F28,SEARCH(", ",F28)+LEN(", "),SEARCH(" "&amp;'Exception Stores'!$A$2,F28)-SEARCH(", ",F28)-LEN(", ")),MID(F28,SEARCH(", ",F28)+LEN(", "),SEARCH(" "&amp;'Exception Stores'!$B$2,F28)-SEARCH(", ",F28)-LEN(", "))))</f>
        <v>#VALUE!</v>
      </c>
      <c r="AL28" s="1" t="e">
        <f t="shared" si="32"/>
        <v>#VALUE!</v>
      </c>
      <c r="AM28" s="15" t="e">
        <f t="shared" ca="1" si="33"/>
        <v>#VALUE!</v>
      </c>
      <c r="AN28" s="24" t="e">
        <f t="shared" ca="1" si="34"/>
        <v>#VALUE!</v>
      </c>
      <c r="AO28" s="1" t="e">
        <f t="shared" ca="1" si="35"/>
        <v>#VALUE!</v>
      </c>
      <c r="AP28" s="13" t="e">
        <f t="shared" ca="1" si="36"/>
        <v>#VALUE!</v>
      </c>
      <c r="AQ28" s="17" t="e">
        <f t="shared" ca="1" si="37"/>
        <v>#VALUE!</v>
      </c>
      <c r="AS28" s="15" t="e">
        <f t="shared" ca="1" si="38"/>
        <v>#VALUE!</v>
      </c>
      <c r="AT28" s="5">
        <f>'Exception Stores'!$D$2</f>
        <v>0.125</v>
      </c>
      <c r="AU28" s="15" t="e">
        <f t="shared" ca="1" si="39"/>
        <v>#VALUE!</v>
      </c>
      <c r="AV28" s="15" t="e">
        <f t="shared" ca="1" si="40"/>
        <v>#VALUE!</v>
      </c>
      <c r="AW28" s="15" t="e">
        <f t="shared" ca="1" si="41"/>
        <v>#VALUE!</v>
      </c>
      <c r="AX28" s="15" t="e">
        <f t="shared" ca="1" si="42"/>
        <v>#VALUE!</v>
      </c>
      <c r="AY28" s="15" t="e">
        <f t="shared" ca="1" si="43"/>
        <v>#VALUE!</v>
      </c>
      <c r="AZ28" s="1" t="e">
        <f t="shared" ca="1" si="44"/>
        <v>#VALUE!</v>
      </c>
      <c r="BA28" s="15" t="e">
        <f t="shared" ca="1" si="45"/>
        <v>#VALUE!</v>
      </c>
      <c r="BB28" s="15" t="e">
        <f t="shared" ca="1" si="46"/>
        <v>#VALUE!</v>
      </c>
      <c r="BC28" s="1" t="e">
        <f t="shared" ca="1" si="47"/>
        <v>#VALUE!</v>
      </c>
      <c r="BE28" s="15" t="str">
        <f>IF(ISBLANK('Exception Stores'!$A$6),"",'Exception Stores'!$A$6)</f>
        <v/>
      </c>
      <c r="BF28" s="15" t="str">
        <f>IF(ISBLANK('Exception Stores'!$B$6),"",'Exception Stores'!$B$6)</f>
        <v/>
      </c>
      <c r="BG28" s="1">
        <f>IF(ISBLANK('Exception Stores'!$A$6),0,IF($AN$2&gt;$BF$2,($AN$2-$BF$2)*24,0))</f>
        <v>0</v>
      </c>
      <c r="BH28" s="11">
        <f>IF(ISBLANK('Exception Stores'!$A$6),0,($BF$2-$BE$2)*24)</f>
        <v>0</v>
      </c>
      <c r="BI2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28" s="1">
        <f>IF(ISBLANK('Exception Stores'!$A$6),0,IF($AN$2&gt;$BF$2,0,IF(AND($AN$2&lt;$BF$2,$BT$2="B"),(($BF$2-$AN$2)*24)-$BS$2,($BF$2-$AN$2)*24)))</f>
        <v>0</v>
      </c>
      <c r="BL28" s="5"/>
      <c r="BM28" s="5"/>
      <c r="BN28" s="5"/>
      <c r="BO28" s="5"/>
      <c r="BP28" s="5"/>
      <c r="BV28" s="1" t="e">
        <f t="shared" ca="1" si="48"/>
        <v>#VALUE!</v>
      </c>
      <c r="BW28" s="1" t="e">
        <f t="shared" ca="1" si="49"/>
        <v>#VALUE!</v>
      </c>
      <c r="BX28" s="1" t="e">
        <f t="shared" ca="1" si="50"/>
        <v>#VALUE!</v>
      </c>
      <c r="BY28" s="1" t="e">
        <f t="shared" ca="1" si="51"/>
        <v>#VALUE!</v>
      </c>
      <c r="BZ28" s="1" t="e">
        <f t="shared" ca="1" si="52"/>
        <v>#VALUE!</v>
      </c>
      <c r="CB28" s="1" t="str">
        <f>IF(ISBLANK('Exception Stores'!$A$6),"",WEEKDAY($BF$2))</f>
        <v/>
      </c>
      <c r="CC28" s="1" t="str">
        <f>IF(ISBLANK('Exception Stores'!$A$6),"NO",IF('Exception Stores'!$A$6&lt;$AU$2,"YES","NO"))</f>
        <v>NO</v>
      </c>
      <c r="CD28" s="1" t="str">
        <f>IF(ISBLANK('Exception Stores'!$A$6),"NO",IF('Exception Stores'!$A$6&lt;$AV$2,"YES","NO"))</f>
        <v>NO</v>
      </c>
      <c r="CE28" s="1" t="str">
        <f>IF(ISBLANK('Exception Stores'!$A$6),"NO",IF('Exception Stores'!$A$6&lt;$AW$2,"YES","NO"))</f>
        <v>NO</v>
      </c>
      <c r="CF28" s="1" t="str">
        <f>IF(ISBLANK('Exception Stores'!$A$6),"NO",IF('Exception Stores'!$A$6&lt;$AX$2,"YES","NO"))</f>
        <v>NO</v>
      </c>
      <c r="CG28" s="1" t="str">
        <f>IF(ISBLANK('Exception Stores'!$A$6),"NO",IF('Exception Stores'!$A$6&lt;$AY$2,"YES","NO"))</f>
        <v>NO</v>
      </c>
      <c r="CI28" s="42" t="str">
        <f>IF(ISBLANK('Exception Stores'!$B$6),"NO",IF('Exception Stores'!$B$6&lt;=$AU$2,"YES","NO"))</f>
        <v>NO</v>
      </c>
      <c r="CJ28" s="42" t="str">
        <f>IF(ISBLANK('Exception Stores'!$B$6),"NO",IF('Exception Stores'!$B$6&lt;=$AV$2,"YES","NO"))</f>
        <v>NO</v>
      </c>
      <c r="CK28" s="1" t="str">
        <f>IF(ISBLANK('Exception Stores'!$B$6),"NO",IF('Exception Stores'!$B$6&lt;=$AW$2,"YES","NO"))</f>
        <v>NO</v>
      </c>
      <c r="CL28" s="1" t="str">
        <f>IF(ISBLANK('Exception Stores'!$B$6),"NO",IF('Exception Stores'!$B$6&lt;=$AX$2,"YES","NO"))</f>
        <v>NO</v>
      </c>
      <c r="CM28" s="1" t="str">
        <f>IF(ISBLANK('Exception Stores'!$B$6),"NO",IF('Exception Stores'!$B$6&lt;=$AY$2,"YES","NO"))</f>
        <v>NO</v>
      </c>
      <c r="CO28" s="1" t="e">
        <f ca="1">IF(AM28&lt;'Exception Stores'!$A$6,"YES","NO")</f>
        <v>#VALUE!</v>
      </c>
      <c r="CP28" s="1">
        <f t="shared" si="53"/>
        <v>0</v>
      </c>
      <c r="CQ28" s="1">
        <f t="shared" si="54"/>
        <v>0</v>
      </c>
      <c r="CR28" s="1">
        <f t="shared" si="55"/>
        <v>0</v>
      </c>
      <c r="CS28" s="1">
        <f t="shared" si="56"/>
        <v>0</v>
      </c>
      <c r="CT28" s="1">
        <f t="shared" si="57"/>
        <v>0</v>
      </c>
      <c r="CU28" s="1">
        <f t="shared" si="58"/>
        <v>0</v>
      </c>
      <c r="CW28" s="1" t="e">
        <f t="shared" ca="1" si="59"/>
        <v>#VALUE!</v>
      </c>
      <c r="CX28" s="1" t="e">
        <f t="shared" ca="1" si="0"/>
        <v>#VALUE!</v>
      </c>
      <c r="CY28" s="1" t="e">
        <f t="shared" ca="1" si="1"/>
        <v>#VALUE!</v>
      </c>
      <c r="CZ28" s="1" t="e">
        <f t="shared" ca="1" si="2"/>
        <v>#VALUE!</v>
      </c>
      <c r="DA28" s="1" t="e">
        <f t="shared" ca="1" si="3"/>
        <v>#VALUE!</v>
      </c>
      <c r="DB28" s="26" t="e">
        <f t="shared" ca="1" si="60"/>
        <v>#VALUE!</v>
      </c>
      <c r="DC28" s="1">
        <f t="shared" si="4"/>
        <v>0</v>
      </c>
      <c r="DD28" s="1">
        <f t="shared" si="5"/>
        <v>0</v>
      </c>
      <c r="DE28" s="1">
        <f t="shared" si="6"/>
        <v>0</v>
      </c>
      <c r="DF28" s="1">
        <f t="shared" si="7"/>
        <v>0</v>
      </c>
      <c r="DG28" s="1">
        <f t="shared" si="8"/>
        <v>0</v>
      </c>
      <c r="DH28" s="26">
        <f t="shared" si="61"/>
        <v>0</v>
      </c>
      <c r="DI28" s="1" t="e">
        <f t="shared" ca="1" si="62"/>
        <v>#VALUE!</v>
      </c>
      <c r="DK28" s="11" t="str">
        <f t="shared" si="9"/>
        <v/>
      </c>
      <c r="DL28" s="11" t="e">
        <f ca="1">IF(AND(NOT(ISBLANK('Exception Stores'!$A$6)),CO28="YES"),S28-$BH$2-(DI28*$BS$2)-(CU28*$BS$2),S28-(DB28*$BS$2))</f>
        <v>#VALUE!</v>
      </c>
      <c r="DM28" s="11" t="str">
        <f>IF(ISBLANK(A28),"",IF(COUNTIF(Remaps!$A$2:$A$200,B28)&gt;0,"YES",""))</f>
        <v>YES</v>
      </c>
      <c r="DN28" s="29">
        <f>IFERROR(INDEX(Remaps!$B$2:$B$200,MATCH(B28,Remaps!$A$2:$A$200,0),1),0)</f>
        <v>0</v>
      </c>
      <c r="DO28" s="11" t="e">
        <f t="shared" ca="1" si="10"/>
        <v>#VALUE!</v>
      </c>
      <c r="DP28" s="29" t="e">
        <f t="shared" si="11"/>
        <v>#VALUE!</v>
      </c>
      <c r="DQ28" s="11" t="e">
        <f ca="1">('Apollo Dock Status'!$Z$1-DP28)/DO28</f>
        <v>#VALUE!</v>
      </c>
      <c r="DR28" s="15" t="e">
        <f t="shared" ca="1" si="63"/>
        <v>#VALUE!</v>
      </c>
    </row>
    <row r="29" spans="1:122">
      <c r="A29" s="1" t="str">
        <f>IF(ISBLANK('Apollo Dock Status'!A29),"",'Apollo Dock Status'!A29)</f>
        <v/>
      </c>
      <c r="B29" s="1" t="str">
        <f>IF(ISBLANK('Apollo Dock Status'!B29),"",'Apollo Dock Status'!B29)</f>
        <v/>
      </c>
      <c r="C29" s="1" t="str">
        <f>IF(ISBLANK('Apollo Dock Status'!C29),"",'Apollo Dock Status'!C29)</f>
        <v/>
      </c>
      <c r="D29" s="1" t="str">
        <f>IF(ISBLANK('Apollo Dock Status'!D29),"",'Apollo Dock Status'!D29)</f>
        <v/>
      </c>
      <c r="E29" s="1" t="str">
        <f>IF(ISBLANK('Apollo Dock Status'!E29),"",'Apollo Dock Status'!E29)</f>
        <v/>
      </c>
      <c r="F29" s="1" t="str">
        <f>IF(ISBLANK('Apollo Dock Status'!F29),"",'Apollo Dock Status'!F29)</f>
        <v/>
      </c>
      <c r="G29" s="1" t="str">
        <f>IF(ISBLANK('Apollo Dock Status'!G29),"",'Apollo Dock Status'!G29)</f>
        <v/>
      </c>
      <c r="H29" s="1" t="str">
        <f>IF(ISBLANK('Apollo Dock Status'!H29),"",'Apollo Dock Status'!H29)</f>
        <v/>
      </c>
      <c r="I29" s="1" t="str">
        <f>IF(ISBLANK('Apollo Dock Status'!I29),"",'Apollo Dock Status'!I29)</f>
        <v/>
      </c>
      <c r="J29" s="1" t="str">
        <f>IF(ISBLANK('Apollo Dock Status'!J29),"",'Apollo Dock Status'!J29)</f>
        <v/>
      </c>
      <c r="K29" s="1" t="str">
        <f>IF(ISBLANK('Apollo Dock Status'!K29),"",'Apollo Dock Status'!K29)</f>
        <v/>
      </c>
      <c r="L29" s="1" t="str">
        <f>IF(ISBLANK('Apollo Dock Status'!L29),"",'Apollo Dock Status'!L29)</f>
        <v/>
      </c>
      <c r="M29" s="1" t="str">
        <f>IF(ISBLANK('Apollo Dock Status'!M29),"",'Apollo Dock Status'!M29)</f>
        <v/>
      </c>
      <c r="N29" s="1" t="str">
        <f>IF(ISBLANK('Apollo Dock Status'!N29),"",'Apollo Dock Status'!N29)</f>
        <v/>
      </c>
      <c r="O29" s="1" t="str">
        <f t="shared" si="12"/>
        <v/>
      </c>
      <c r="P29" s="1" t="str">
        <f t="shared" si="13"/>
        <v/>
      </c>
      <c r="Q29" s="1" t="str">
        <f t="shared" si="14"/>
        <v/>
      </c>
      <c r="R29" s="1" t="str">
        <f t="shared" si="15"/>
        <v/>
      </c>
      <c r="S29" s="11" t="str">
        <f t="shared" si="16"/>
        <v/>
      </c>
      <c r="T29" s="1" t="str">
        <f t="shared" si="17"/>
        <v/>
      </c>
      <c r="U29" s="11" t="str">
        <f t="shared" si="18"/>
        <v/>
      </c>
      <c r="V29" s="11" t="str">
        <f t="shared" si="19"/>
        <v/>
      </c>
      <c r="X29" s="1" t="str">
        <f t="shared" si="20"/>
        <v/>
      </c>
      <c r="Y29" s="1" t="str">
        <f t="shared" si="21"/>
        <v/>
      </c>
      <c r="Z29" s="1" t="str">
        <f t="shared" si="22"/>
        <v/>
      </c>
      <c r="AB29" s="13">
        <f t="shared" ca="1" si="23"/>
        <v>46176</v>
      </c>
      <c r="AC29" s="1">
        <f t="shared" ca="1" si="24"/>
        <v>2026</v>
      </c>
      <c r="AD29" s="1" t="str">
        <f t="shared" ca="1" si="25"/>
        <v>6</v>
      </c>
      <c r="AE29" s="1">
        <f t="shared" si="26"/>
        <v>1</v>
      </c>
      <c r="AF29" s="1" t="str">
        <f t="shared" si="27"/>
        <v/>
      </c>
      <c r="AG29" s="1">
        <f t="shared" ca="1" si="28"/>
        <v>2026</v>
      </c>
      <c r="AH29" s="1">
        <f t="shared" si="29"/>
        <v>1</v>
      </c>
      <c r="AI29" s="1" t="str">
        <f t="shared" ca="1" si="30"/>
        <v>6</v>
      </c>
      <c r="AJ29" s="13" t="e">
        <f t="shared" ca="1" si="31"/>
        <v>#VALUE!</v>
      </c>
      <c r="AK29" s="1" t="e">
        <f>IF(ISBLANK(A29),"",IFERROR(MID(F29,SEARCH(", ",F29)+LEN(", "),SEARCH(" "&amp;'Exception Stores'!$A$2,F29)-SEARCH(", ",F29)-LEN(", ")),MID(F29,SEARCH(", ",F29)+LEN(", "),SEARCH(" "&amp;'Exception Stores'!$B$2,F29)-SEARCH(", ",F29)-LEN(", "))))</f>
        <v>#VALUE!</v>
      </c>
      <c r="AL29" s="1" t="e">
        <f t="shared" si="32"/>
        <v>#VALUE!</v>
      </c>
      <c r="AM29" s="15" t="e">
        <f t="shared" ca="1" si="33"/>
        <v>#VALUE!</v>
      </c>
      <c r="AN29" s="24" t="e">
        <f t="shared" ca="1" si="34"/>
        <v>#VALUE!</v>
      </c>
      <c r="AO29" s="1" t="e">
        <f t="shared" ca="1" si="35"/>
        <v>#VALUE!</v>
      </c>
      <c r="AP29" s="13" t="e">
        <f t="shared" ca="1" si="36"/>
        <v>#VALUE!</v>
      </c>
      <c r="AQ29" s="17" t="e">
        <f t="shared" ca="1" si="37"/>
        <v>#VALUE!</v>
      </c>
      <c r="AS29" s="15" t="e">
        <f t="shared" ca="1" si="38"/>
        <v>#VALUE!</v>
      </c>
      <c r="AT29" s="5">
        <f>'Exception Stores'!$D$2</f>
        <v>0.125</v>
      </c>
      <c r="AU29" s="15" t="e">
        <f t="shared" ca="1" si="39"/>
        <v>#VALUE!</v>
      </c>
      <c r="AV29" s="15" t="e">
        <f t="shared" ca="1" si="40"/>
        <v>#VALUE!</v>
      </c>
      <c r="AW29" s="15" t="e">
        <f t="shared" ca="1" si="41"/>
        <v>#VALUE!</v>
      </c>
      <c r="AX29" s="15" t="e">
        <f t="shared" ca="1" si="42"/>
        <v>#VALUE!</v>
      </c>
      <c r="AY29" s="15" t="e">
        <f t="shared" ca="1" si="43"/>
        <v>#VALUE!</v>
      </c>
      <c r="AZ29" s="1" t="e">
        <f t="shared" ca="1" si="44"/>
        <v>#VALUE!</v>
      </c>
      <c r="BA29" s="15" t="e">
        <f t="shared" ca="1" si="45"/>
        <v>#VALUE!</v>
      </c>
      <c r="BB29" s="15" t="e">
        <f t="shared" ca="1" si="46"/>
        <v>#VALUE!</v>
      </c>
      <c r="BC29" s="1" t="e">
        <f t="shared" ca="1" si="47"/>
        <v>#VALUE!</v>
      </c>
      <c r="BE29" s="15" t="str">
        <f>IF(ISBLANK('Exception Stores'!$A$6),"",'Exception Stores'!$A$6)</f>
        <v/>
      </c>
      <c r="BF29" s="15" t="str">
        <f>IF(ISBLANK('Exception Stores'!$B$6),"",'Exception Stores'!$B$6)</f>
        <v/>
      </c>
      <c r="BG29" s="1">
        <f>IF(ISBLANK('Exception Stores'!$A$6),0,IF($AN$2&gt;$BF$2,($AN$2-$BF$2)*24,0))</f>
        <v>0</v>
      </c>
      <c r="BH29" s="11">
        <f>IF(ISBLANK('Exception Stores'!$A$6),0,($BF$2-$BE$2)*24)</f>
        <v>0</v>
      </c>
      <c r="BI2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29" s="1">
        <f>IF(ISBLANK('Exception Stores'!$A$6),0,IF($AN$2&gt;$BF$2,0,IF(AND($AN$2&lt;$BF$2,$BT$2="B"),(($BF$2-$AN$2)*24)-$BS$2,($BF$2-$AN$2)*24)))</f>
        <v>0</v>
      </c>
      <c r="BL29" s="5"/>
      <c r="BM29" s="5"/>
      <c r="BN29" s="5"/>
      <c r="BO29" s="5"/>
      <c r="BP29" s="5"/>
      <c r="BV29" s="1" t="e">
        <f t="shared" ca="1" si="48"/>
        <v>#VALUE!</v>
      </c>
      <c r="BW29" s="1" t="e">
        <f t="shared" ca="1" si="49"/>
        <v>#VALUE!</v>
      </c>
      <c r="BX29" s="1" t="e">
        <f t="shared" ca="1" si="50"/>
        <v>#VALUE!</v>
      </c>
      <c r="BY29" s="1" t="e">
        <f t="shared" ca="1" si="51"/>
        <v>#VALUE!</v>
      </c>
      <c r="BZ29" s="1" t="e">
        <f t="shared" ca="1" si="52"/>
        <v>#VALUE!</v>
      </c>
      <c r="CB29" s="1" t="str">
        <f>IF(ISBLANK('Exception Stores'!$A$6),"",WEEKDAY($BF$2))</f>
        <v/>
      </c>
      <c r="CC29" s="1" t="str">
        <f>IF(ISBLANK('Exception Stores'!$A$6),"NO",IF('Exception Stores'!$A$6&lt;$AU$2,"YES","NO"))</f>
        <v>NO</v>
      </c>
      <c r="CD29" s="1" t="str">
        <f>IF(ISBLANK('Exception Stores'!$A$6),"NO",IF('Exception Stores'!$A$6&lt;$AV$2,"YES","NO"))</f>
        <v>NO</v>
      </c>
      <c r="CE29" s="1" t="str">
        <f>IF(ISBLANK('Exception Stores'!$A$6),"NO",IF('Exception Stores'!$A$6&lt;$AW$2,"YES","NO"))</f>
        <v>NO</v>
      </c>
      <c r="CF29" s="1" t="str">
        <f>IF(ISBLANK('Exception Stores'!$A$6),"NO",IF('Exception Stores'!$A$6&lt;$AX$2,"YES","NO"))</f>
        <v>NO</v>
      </c>
      <c r="CG29" s="1" t="str">
        <f>IF(ISBLANK('Exception Stores'!$A$6),"NO",IF('Exception Stores'!$A$6&lt;$AY$2,"YES","NO"))</f>
        <v>NO</v>
      </c>
      <c r="CI29" s="42" t="str">
        <f>IF(ISBLANK('Exception Stores'!$B$6),"NO",IF('Exception Stores'!$B$6&lt;=$AU$2,"YES","NO"))</f>
        <v>NO</v>
      </c>
      <c r="CJ29" s="42" t="str">
        <f>IF(ISBLANK('Exception Stores'!$B$6),"NO",IF('Exception Stores'!$B$6&lt;=$AV$2,"YES","NO"))</f>
        <v>NO</v>
      </c>
      <c r="CK29" s="1" t="str">
        <f>IF(ISBLANK('Exception Stores'!$B$6),"NO",IF('Exception Stores'!$B$6&lt;=$AW$2,"YES","NO"))</f>
        <v>NO</v>
      </c>
      <c r="CL29" s="1" t="str">
        <f>IF(ISBLANK('Exception Stores'!$B$6),"NO",IF('Exception Stores'!$B$6&lt;=$AX$2,"YES","NO"))</f>
        <v>NO</v>
      </c>
      <c r="CM29" s="1" t="str">
        <f>IF(ISBLANK('Exception Stores'!$B$6),"NO",IF('Exception Stores'!$B$6&lt;=$AY$2,"YES","NO"))</f>
        <v>NO</v>
      </c>
      <c r="CO29" s="1" t="e">
        <f ca="1">IF(AM29&lt;'Exception Stores'!$A$6,"YES","NO")</f>
        <v>#VALUE!</v>
      </c>
      <c r="CP29" s="1">
        <f t="shared" si="53"/>
        <v>0</v>
      </c>
      <c r="CQ29" s="1">
        <f t="shared" si="54"/>
        <v>0</v>
      </c>
      <c r="CR29" s="1">
        <f t="shared" si="55"/>
        <v>0</v>
      </c>
      <c r="CS29" s="1">
        <f t="shared" si="56"/>
        <v>0</v>
      </c>
      <c r="CT29" s="1">
        <f t="shared" si="57"/>
        <v>0</v>
      </c>
      <c r="CU29" s="1">
        <f t="shared" si="58"/>
        <v>0</v>
      </c>
      <c r="CW29" s="1" t="e">
        <f t="shared" ca="1" si="59"/>
        <v>#VALUE!</v>
      </c>
      <c r="CX29" s="1" t="e">
        <f t="shared" ca="1" si="0"/>
        <v>#VALUE!</v>
      </c>
      <c r="CY29" s="1" t="e">
        <f t="shared" ca="1" si="1"/>
        <v>#VALUE!</v>
      </c>
      <c r="CZ29" s="1" t="e">
        <f t="shared" ca="1" si="2"/>
        <v>#VALUE!</v>
      </c>
      <c r="DA29" s="1" t="e">
        <f t="shared" ca="1" si="3"/>
        <v>#VALUE!</v>
      </c>
      <c r="DB29" s="26" t="e">
        <f t="shared" ca="1" si="60"/>
        <v>#VALUE!</v>
      </c>
      <c r="DC29" s="1">
        <f t="shared" si="4"/>
        <v>0</v>
      </c>
      <c r="DD29" s="1">
        <f t="shared" si="5"/>
        <v>0</v>
      </c>
      <c r="DE29" s="1">
        <f t="shared" si="6"/>
        <v>0</v>
      </c>
      <c r="DF29" s="1">
        <f t="shared" si="7"/>
        <v>0</v>
      </c>
      <c r="DG29" s="1">
        <f t="shared" si="8"/>
        <v>0</v>
      </c>
      <c r="DH29" s="26">
        <f t="shared" si="61"/>
        <v>0</v>
      </c>
      <c r="DI29" s="1" t="e">
        <f t="shared" ca="1" si="62"/>
        <v>#VALUE!</v>
      </c>
      <c r="DK29" s="11" t="str">
        <f t="shared" si="9"/>
        <v/>
      </c>
      <c r="DL29" s="11" t="e">
        <f ca="1">IF(AND(NOT(ISBLANK('Exception Stores'!$A$6)),CO29="YES"),S29-$BH$2-(DI29*$BS$2)-(CU29*$BS$2),S29-(DB29*$BS$2))</f>
        <v>#VALUE!</v>
      </c>
      <c r="DM29" s="11" t="str">
        <f>IF(ISBLANK(A29),"",IF(COUNTIF(Remaps!$A$2:$A$200,B29)&gt;0,"YES",""))</f>
        <v>YES</v>
      </c>
      <c r="DN29" s="29">
        <f>IFERROR(INDEX(Remaps!$B$2:$B$200,MATCH(B29,Remaps!$A$2:$A$200,0),1),0)</f>
        <v>0</v>
      </c>
      <c r="DO29" s="11" t="e">
        <f t="shared" ca="1" si="10"/>
        <v>#VALUE!</v>
      </c>
      <c r="DP29" s="29" t="e">
        <f t="shared" si="11"/>
        <v>#VALUE!</v>
      </c>
      <c r="DQ29" s="11" t="e">
        <f ca="1">('Apollo Dock Status'!$Z$1-DP29)/DO29</f>
        <v>#VALUE!</v>
      </c>
      <c r="DR29" s="15" t="e">
        <f t="shared" ca="1" si="63"/>
        <v>#VALUE!</v>
      </c>
    </row>
    <row r="30" spans="1:122">
      <c r="A30" s="1" t="str">
        <f>IF(ISBLANK('Apollo Dock Status'!A30),"",'Apollo Dock Status'!A30)</f>
        <v/>
      </c>
      <c r="B30" s="1" t="str">
        <f>IF(ISBLANK('Apollo Dock Status'!B30),"",'Apollo Dock Status'!B30)</f>
        <v/>
      </c>
      <c r="C30" s="1" t="str">
        <f>IF(ISBLANK('Apollo Dock Status'!C30),"",'Apollo Dock Status'!C30)</f>
        <v/>
      </c>
      <c r="D30" s="1" t="str">
        <f>IF(ISBLANK('Apollo Dock Status'!D30),"",'Apollo Dock Status'!D30)</f>
        <v/>
      </c>
      <c r="E30" s="1" t="str">
        <f>IF(ISBLANK('Apollo Dock Status'!E30),"",'Apollo Dock Status'!E30)</f>
        <v/>
      </c>
      <c r="F30" s="1" t="str">
        <f>IF(ISBLANK('Apollo Dock Status'!F30),"",'Apollo Dock Status'!F30)</f>
        <v/>
      </c>
      <c r="G30" s="1" t="str">
        <f>IF(ISBLANK('Apollo Dock Status'!G30),"",'Apollo Dock Status'!G30)</f>
        <v/>
      </c>
      <c r="H30" s="1" t="str">
        <f>IF(ISBLANK('Apollo Dock Status'!H30),"",'Apollo Dock Status'!H30)</f>
        <v/>
      </c>
      <c r="I30" s="1" t="str">
        <f>IF(ISBLANK('Apollo Dock Status'!I30),"",'Apollo Dock Status'!I30)</f>
        <v/>
      </c>
      <c r="J30" s="1" t="str">
        <f>IF(ISBLANK('Apollo Dock Status'!J30),"",'Apollo Dock Status'!J30)</f>
        <v/>
      </c>
      <c r="K30" s="1" t="str">
        <f>IF(ISBLANK('Apollo Dock Status'!K30),"",'Apollo Dock Status'!K30)</f>
        <v/>
      </c>
      <c r="L30" s="1" t="str">
        <f>IF(ISBLANK('Apollo Dock Status'!L30),"",'Apollo Dock Status'!L30)</f>
        <v/>
      </c>
      <c r="M30" s="1" t="str">
        <f>IF(ISBLANK('Apollo Dock Status'!M30),"",'Apollo Dock Status'!M30)</f>
        <v/>
      </c>
      <c r="N30" s="1" t="str">
        <f>IF(ISBLANK('Apollo Dock Status'!N30),"",'Apollo Dock Status'!N30)</f>
        <v/>
      </c>
      <c r="O30" s="1" t="str">
        <f t="shared" si="12"/>
        <v/>
      </c>
      <c r="P30" s="1" t="str">
        <f t="shared" si="13"/>
        <v/>
      </c>
      <c r="Q30" s="1" t="str">
        <f t="shared" si="14"/>
        <v/>
      </c>
      <c r="R30" s="1" t="str">
        <f t="shared" si="15"/>
        <v/>
      </c>
      <c r="S30" s="11" t="str">
        <f t="shared" si="16"/>
        <v/>
      </c>
      <c r="T30" s="1" t="str">
        <f t="shared" si="17"/>
        <v/>
      </c>
      <c r="U30" s="11" t="str">
        <f t="shared" si="18"/>
        <v/>
      </c>
      <c r="V30" s="11" t="str">
        <f t="shared" si="19"/>
        <v/>
      </c>
      <c r="X30" s="1" t="str">
        <f t="shared" si="20"/>
        <v/>
      </c>
      <c r="Y30" s="1" t="str">
        <f t="shared" si="21"/>
        <v/>
      </c>
      <c r="Z30" s="1" t="str">
        <f t="shared" si="22"/>
        <v/>
      </c>
      <c r="AB30" s="13">
        <f t="shared" ca="1" si="23"/>
        <v>46176</v>
      </c>
      <c r="AC30" s="1">
        <f t="shared" ca="1" si="24"/>
        <v>2026</v>
      </c>
      <c r="AD30" s="1" t="str">
        <f t="shared" ca="1" si="25"/>
        <v>6</v>
      </c>
      <c r="AE30" s="1">
        <f t="shared" si="26"/>
        <v>1</v>
      </c>
      <c r="AF30" s="1" t="str">
        <f t="shared" si="27"/>
        <v/>
      </c>
      <c r="AG30" s="1">
        <f t="shared" ca="1" si="28"/>
        <v>2026</v>
      </c>
      <c r="AH30" s="1">
        <f t="shared" si="29"/>
        <v>1</v>
      </c>
      <c r="AI30" s="1" t="str">
        <f t="shared" ca="1" si="30"/>
        <v>6</v>
      </c>
      <c r="AJ30" s="13" t="e">
        <f t="shared" ca="1" si="31"/>
        <v>#VALUE!</v>
      </c>
      <c r="AK30" s="1" t="e">
        <f>IF(ISBLANK(A30),"",IFERROR(MID(F30,SEARCH(", ",F30)+LEN(", "),SEARCH(" "&amp;'Exception Stores'!$A$2,F30)-SEARCH(", ",F30)-LEN(", ")),MID(F30,SEARCH(", ",F30)+LEN(", "),SEARCH(" "&amp;'Exception Stores'!$B$2,F30)-SEARCH(", ",F30)-LEN(", "))))</f>
        <v>#VALUE!</v>
      </c>
      <c r="AL30" s="1" t="e">
        <f t="shared" si="32"/>
        <v>#VALUE!</v>
      </c>
      <c r="AM30" s="15" t="e">
        <f t="shared" ca="1" si="33"/>
        <v>#VALUE!</v>
      </c>
      <c r="AN30" s="24" t="e">
        <f t="shared" ca="1" si="34"/>
        <v>#VALUE!</v>
      </c>
      <c r="AO30" s="1" t="e">
        <f t="shared" ca="1" si="35"/>
        <v>#VALUE!</v>
      </c>
      <c r="AP30" s="13" t="e">
        <f t="shared" ca="1" si="36"/>
        <v>#VALUE!</v>
      </c>
      <c r="AQ30" s="17" t="e">
        <f t="shared" ca="1" si="37"/>
        <v>#VALUE!</v>
      </c>
      <c r="AS30" s="15" t="e">
        <f t="shared" ca="1" si="38"/>
        <v>#VALUE!</v>
      </c>
      <c r="AT30" s="5">
        <f>'Exception Stores'!$D$2</f>
        <v>0.125</v>
      </c>
      <c r="AU30" s="15" t="e">
        <f t="shared" ca="1" si="39"/>
        <v>#VALUE!</v>
      </c>
      <c r="AV30" s="15" t="e">
        <f t="shared" ca="1" si="40"/>
        <v>#VALUE!</v>
      </c>
      <c r="AW30" s="15" t="e">
        <f t="shared" ca="1" si="41"/>
        <v>#VALUE!</v>
      </c>
      <c r="AX30" s="15" t="e">
        <f t="shared" ca="1" si="42"/>
        <v>#VALUE!</v>
      </c>
      <c r="AY30" s="15" t="e">
        <f t="shared" ca="1" si="43"/>
        <v>#VALUE!</v>
      </c>
      <c r="AZ30" s="1" t="e">
        <f t="shared" ca="1" si="44"/>
        <v>#VALUE!</v>
      </c>
      <c r="BA30" s="15" t="e">
        <f t="shared" ca="1" si="45"/>
        <v>#VALUE!</v>
      </c>
      <c r="BB30" s="15" t="e">
        <f t="shared" ca="1" si="46"/>
        <v>#VALUE!</v>
      </c>
      <c r="BC30" s="1" t="e">
        <f t="shared" ca="1" si="47"/>
        <v>#VALUE!</v>
      </c>
      <c r="BE30" s="15" t="str">
        <f>IF(ISBLANK('Exception Stores'!$A$6),"",'Exception Stores'!$A$6)</f>
        <v/>
      </c>
      <c r="BF30" s="15" t="str">
        <f>IF(ISBLANK('Exception Stores'!$B$6),"",'Exception Stores'!$B$6)</f>
        <v/>
      </c>
      <c r="BG30" s="1">
        <f>IF(ISBLANK('Exception Stores'!$A$6),0,IF($AN$2&gt;$BF$2,($AN$2-$BF$2)*24,0))</f>
        <v>0</v>
      </c>
      <c r="BH30" s="11">
        <f>IF(ISBLANK('Exception Stores'!$A$6),0,($BF$2-$BE$2)*24)</f>
        <v>0</v>
      </c>
      <c r="BI3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30" s="1">
        <f>IF(ISBLANK('Exception Stores'!$A$6),0,IF($AN$2&gt;$BF$2,0,IF(AND($AN$2&lt;$BF$2,$BT$2="B"),(($BF$2-$AN$2)*24)-$BS$2,($BF$2-$AN$2)*24)))</f>
        <v>0</v>
      </c>
      <c r="BL30" s="5"/>
      <c r="BM30" s="5"/>
      <c r="BN30" s="5"/>
      <c r="BO30" s="5"/>
      <c r="BP30" s="5"/>
      <c r="BV30" s="1" t="e">
        <f t="shared" ca="1" si="48"/>
        <v>#VALUE!</v>
      </c>
      <c r="BW30" s="1" t="e">
        <f t="shared" ca="1" si="49"/>
        <v>#VALUE!</v>
      </c>
      <c r="BX30" s="1" t="e">
        <f t="shared" ca="1" si="50"/>
        <v>#VALUE!</v>
      </c>
      <c r="BY30" s="1" t="e">
        <f t="shared" ca="1" si="51"/>
        <v>#VALUE!</v>
      </c>
      <c r="BZ30" s="1" t="e">
        <f t="shared" ca="1" si="52"/>
        <v>#VALUE!</v>
      </c>
      <c r="CB30" s="1" t="str">
        <f>IF(ISBLANK('Exception Stores'!$A$6),"",WEEKDAY($BF$2))</f>
        <v/>
      </c>
      <c r="CC30" s="1" t="str">
        <f>IF(ISBLANK('Exception Stores'!$A$6),"NO",IF('Exception Stores'!$A$6&lt;$AU$2,"YES","NO"))</f>
        <v>NO</v>
      </c>
      <c r="CD30" s="1" t="str">
        <f>IF(ISBLANK('Exception Stores'!$A$6),"NO",IF('Exception Stores'!$A$6&lt;$AV$2,"YES","NO"))</f>
        <v>NO</v>
      </c>
      <c r="CE30" s="1" t="str">
        <f>IF(ISBLANK('Exception Stores'!$A$6),"NO",IF('Exception Stores'!$A$6&lt;$AW$2,"YES","NO"))</f>
        <v>NO</v>
      </c>
      <c r="CF30" s="1" t="str">
        <f>IF(ISBLANK('Exception Stores'!$A$6),"NO",IF('Exception Stores'!$A$6&lt;$AX$2,"YES","NO"))</f>
        <v>NO</v>
      </c>
      <c r="CG30" s="1" t="str">
        <f>IF(ISBLANK('Exception Stores'!$A$6),"NO",IF('Exception Stores'!$A$6&lt;$AY$2,"YES","NO"))</f>
        <v>NO</v>
      </c>
      <c r="CI30" s="42" t="str">
        <f>IF(ISBLANK('Exception Stores'!$B$6),"NO",IF('Exception Stores'!$B$6&lt;=$AU$2,"YES","NO"))</f>
        <v>NO</v>
      </c>
      <c r="CJ30" s="42" t="str">
        <f>IF(ISBLANK('Exception Stores'!$B$6),"NO",IF('Exception Stores'!$B$6&lt;=$AV$2,"YES","NO"))</f>
        <v>NO</v>
      </c>
      <c r="CK30" s="1" t="str">
        <f>IF(ISBLANK('Exception Stores'!$B$6),"NO",IF('Exception Stores'!$B$6&lt;=$AW$2,"YES","NO"))</f>
        <v>NO</v>
      </c>
      <c r="CL30" s="1" t="str">
        <f>IF(ISBLANK('Exception Stores'!$B$6),"NO",IF('Exception Stores'!$B$6&lt;=$AX$2,"YES","NO"))</f>
        <v>NO</v>
      </c>
      <c r="CM30" s="1" t="str">
        <f>IF(ISBLANK('Exception Stores'!$B$6),"NO",IF('Exception Stores'!$B$6&lt;=$AY$2,"YES","NO"))</f>
        <v>NO</v>
      </c>
      <c r="CO30" s="1" t="e">
        <f ca="1">IF(AM30&lt;'Exception Stores'!$A$6,"YES","NO")</f>
        <v>#VALUE!</v>
      </c>
      <c r="CP30" s="1">
        <f t="shared" si="53"/>
        <v>0</v>
      </c>
      <c r="CQ30" s="1">
        <f t="shared" si="54"/>
        <v>0</v>
      </c>
      <c r="CR30" s="1">
        <f t="shared" si="55"/>
        <v>0</v>
      </c>
      <c r="CS30" s="1">
        <f t="shared" si="56"/>
        <v>0</v>
      </c>
      <c r="CT30" s="1">
        <f t="shared" si="57"/>
        <v>0</v>
      </c>
      <c r="CU30" s="1">
        <f t="shared" si="58"/>
        <v>0</v>
      </c>
      <c r="CW30" s="1" t="e">
        <f t="shared" ca="1" si="59"/>
        <v>#VALUE!</v>
      </c>
      <c r="CX30" s="1" t="e">
        <f t="shared" ca="1" si="0"/>
        <v>#VALUE!</v>
      </c>
      <c r="CY30" s="1" t="e">
        <f t="shared" ca="1" si="1"/>
        <v>#VALUE!</v>
      </c>
      <c r="CZ30" s="1" t="e">
        <f t="shared" ca="1" si="2"/>
        <v>#VALUE!</v>
      </c>
      <c r="DA30" s="1" t="e">
        <f t="shared" ca="1" si="3"/>
        <v>#VALUE!</v>
      </c>
      <c r="DB30" s="26" t="e">
        <f t="shared" ca="1" si="60"/>
        <v>#VALUE!</v>
      </c>
      <c r="DC30" s="1">
        <f t="shared" si="4"/>
        <v>0</v>
      </c>
      <c r="DD30" s="1">
        <f t="shared" si="5"/>
        <v>0</v>
      </c>
      <c r="DE30" s="1">
        <f t="shared" si="6"/>
        <v>0</v>
      </c>
      <c r="DF30" s="1">
        <f t="shared" si="7"/>
        <v>0</v>
      </c>
      <c r="DG30" s="1">
        <f t="shared" si="8"/>
        <v>0</v>
      </c>
      <c r="DH30" s="26">
        <f t="shared" si="61"/>
        <v>0</v>
      </c>
      <c r="DI30" s="1" t="e">
        <f t="shared" ca="1" si="62"/>
        <v>#VALUE!</v>
      </c>
      <c r="DK30" s="11" t="str">
        <f t="shared" si="9"/>
        <v/>
      </c>
      <c r="DL30" s="11" t="e">
        <f ca="1">IF(AND(NOT(ISBLANK('Exception Stores'!$A$6)),CO30="YES"),S30-$BH$2-(DI30*$BS$2)-(CU30*$BS$2),S30-(DB30*$BS$2))</f>
        <v>#VALUE!</v>
      </c>
      <c r="DM30" s="11" t="str">
        <f>IF(ISBLANK(A30),"",IF(COUNTIF(Remaps!$A$2:$A$200,B30)&gt;0,"YES",""))</f>
        <v>YES</v>
      </c>
      <c r="DN30" s="29">
        <f>IFERROR(INDEX(Remaps!$B$2:$B$200,MATCH(B30,Remaps!$A$2:$A$200,0),1),0)</f>
        <v>0</v>
      </c>
      <c r="DO30" s="11" t="e">
        <f t="shared" ca="1" si="10"/>
        <v>#VALUE!</v>
      </c>
      <c r="DP30" s="29" t="e">
        <f t="shared" si="11"/>
        <v>#VALUE!</v>
      </c>
      <c r="DQ30" s="11" t="e">
        <f ca="1">('Apollo Dock Status'!$Z$1-DP30)/DO30</f>
        <v>#VALUE!</v>
      </c>
      <c r="DR30" s="15" t="e">
        <f t="shared" ca="1" si="63"/>
        <v>#VALUE!</v>
      </c>
    </row>
    <row r="31" spans="1:122">
      <c r="A31" s="1" t="str">
        <f>IF(ISBLANK('Apollo Dock Status'!A31),"",'Apollo Dock Status'!A31)</f>
        <v/>
      </c>
      <c r="B31" s="1" t="str">
        <f>IF(ISBLANK('Apollo Dock Status'!B31),"",'Apollo Dock Status'!B31)</f>
        <v/>
      </c>
      <c r="C31" s="1" t="str">
        <f>IF(ISBLANK('Apollo Dock Status'!C31),"",'Apollo Dock Status'!C31)</f>
        <v/>
      </c>
      <c r="D31" s="1" t="str">
        <f>IF(ISBLANK('Apollo Dock Status'!D31),"",'Apollo Dock Status'!D31)</f>
        <v/>
      </c>
      <c r="E31" s="1" t="str">
        <f>IF(ISBLANK('Apollo Dock Status'!E31),"",'Apollo Dock Status'!E31)</f>
        <v/>
      </c>
      <c r="F31" s="1" t="str">
        <f>IF(ISBLANK('Apollo Dock Status'!F31),"",'Apollo Dock Status'!F31)</f>
        <v/>
      </c>
      <c r="G31" s="1" t="str">
        <f>IF(ISBLANK('Apollo Dock Status'!G31),"",'Apollo Dock Status'!G31)</f>
        <v/>
      </c>
      <c r="H31" s="1" t="str">
        <f>IF(ISBLANK('Apollo Dock Status'!H31),"",'Apollo Dock Status'!H31)</f>
        <v/>
      </c>
      <c r="I31" s="1" t="str">
        <f>IF(ISBLANK('Apollo Dock Status'!I31),"",'Apollo Dock Status'!I31)</f>
        <v/>
      </c>
      <c r="J31" s="1" t="str">
        <f>IF(ISBLANK('Apollo Dock Status'!J31),"",'Apollo Dock Status'!J31)</f>
        <v/>
      </c>
      <c r="K31" s="1" t="str">
        <f>IF(ISBLANK('Apollo Dock Status'!K31),"",'Apollo Dock Status'!K31)</f>
        <v/>
      </c>
      <c r="L31" s="1" t="str">
        <f>IF(ISBLANK('Apollo Dock Status'!L31),"",'Apollo Dock Status'!L31)</f>
        <v/>
      </c>
      <c r="M31" s="1" t="str">
        <f>IF(ISBLANK('Apollo Dock Status'!M31),"",'Apollo Dock Status'!M31)</f>
        <v/>
      </c>
      <c r="N31" s="1" t="str">
        <f>IF(ISBLANK('Apollo Dock Status'!N31),"",'Apollo Dock Status'!N31)</f>
        <v/>
      </c>
      <c r="O31" s="1" t="str">
        <f t="shared" si="12"/>
        <v/>
      </c>
      <c r="P31" s="1" t="str">
        <f t="shared" si="13"/>
        <v/>
      </c>
      <c r="Q31" s="1" t="str">
        <f t="shared" si="14"/>
        <v/>
      </c>
      <c r="R31" s="1" t="str">
        <f t="shared" si="15"/>
        <v/>
      </c>
      <c r="S31" s="11" t="str">
        <f t="shared" si="16"/>
        <v/>
      </c>
      <c r="T31" s="1" t="str">
        <f t="shared" si="17"/>
        <v/>
      </c>
      <c r="U31" s="11" t="str">
        <f t="shared" si="18"/>
        <v/>
      </c>
      <c r="V31" s="11" t="str">
        <f t="shared" si="19"/>
        <v/>
      </c>
      <c r="X31" s="1" t="str">
        <f t="shared" si="20"/>
        <v/>
      </c>
      <c r="Y31" s="1" t="str">
        <f t="shared" si="21"/>
        <v/>
      </c>
      <c r="Z31" s="1" t="str">
        <f t="shared" si="22"/>
        <v/>
      </c>
      <c r="AB31" s="13">
        <f t="shared" ca="1" si="23"/>
        <v>46176</v>
      </c>
      <c r="AC31" s="1">
        <f t="shared" ca="1" si="24"/>
        <v>2026</v>
      </c>
      <c r="AD31" s="1" t="str">
        <f t="shared" ca="1" si="25"/>
        <v>6</v>
      </c>
      <c r="AE31" s="1">
        <f t="shared" si="26"/>
        <v>1</v>
      </c>
      <c r="AF31" s="1" t="str">
        <f t="shared" si="27"/>
        <v/>
      </c>
      <c r="AG31" s="1">
        <f t="shared" ca="1" si="28"/>
        <v>2026</v>
      </c>
      <c r="AH31" s="1">
        <f t="shared" si="29"/>
        <v>1</v>
      </c>
      <c r="AI31" s="1" t="str">
        <f t="shared" ca="1" si="30"/>
        <v>6</v>
      </c>
      <c r="AJ31" s="13" t="e">
        <f t="shared" ca="1" si="31"/>
        <v>#VALUE!</v>
      </c>
      <c r="AK31" s="1" t="e">
        <f>IF(ISBLANK(A31),"",IFERROR(MID(F31,SEARCH(", ",F31)+LEN(", "),SEARCH(" "&amp;'Exception Stores'!$A$2,F31)-SEARCH(", ",F31)-LEN(", ")),MID(F31,SEARCH(", ",F31)+LEN(", "),SEARCH(" "&amp;'Exception Stores'!$B$2,F31)-SEARCH(", ",F31)-LEN(", "))))</f>
        <v>#VALUE!</v>
      </c>
      <c r="AL31" s="1" t="e">
        <f t="shared" si="32"/>
        <v>#VALUE!</v>
      </c>
      <c r="AM31" s="15" t="e">
        <f t="shared" ca="1" si="33"/>
        <v>#VALUE!</v>
      </c>
      <c r="AN31" s="24" t="e">
        <f t="shared" ca="1" si="34"/>
        <v>#VALUE!</v>
      </c>
      <c r="AO31" s="1" t="e">
        <f t="shared" ca="1" si="35"/>
        <v>#VALUE!</v>
      </c>
      <c r="AP31" s="13" t="e">
        <f t="shared" ca="1" si="36"/>
        <v>#VALUE!</v>
      </c>
      <c r="AQ31" s="17" t="e">
        <f t="shared" ca="1" si="37"/>
        <v>#VALUE!</v>
      </c>
      <c r="AS31" s="15" t="e">
        <f t="shared" ca="1" si="38"/>
        <v>#VALUE!</v>
      </c>
      <c r="AT31" s="5">
        <f>'Exception Stores'!$D$2</f>
        <v>0.125</v>
      </c>
      <c r="AU31" s="15" t="e">
        <f t="shared" ca="1" si="39"/>
        <v>#VALUE!</v>
      </c>
      <c r="AV31" s="15" t="e">
        <f t="shared" ca="1" si="40"/>
        <v>#VALUE!</v>
      </c>
      <c r="AW31" s="15" t="e">
        <f t="shared" ca="1" si="41"/>
        <v>#VALUE!</v>
      </c>
      <c r="AX31" s="15" t="e">
        <f t="shared" ca="1" si="42"/>
        <v>#VALUE!</v>
      </c>
      <c r="AY31" s="15" t="e">
        <f t="shared" ca="1" si="43"/>
        <v>#VALUE!</v>
      </c>
      <c r="AZ31" s="1" t="e">
        <f t="shared" ca="1" si="44"/>
        <v>#VALUE!</v>
      </c>
      <c r="BA31" s="15" t="e">
        <f t="shared" ca="1" si="45"/>
        <v>#VALUE!</v>
      </c>
      <c r="BB31" s="15" t="e">
        <f t="shared" ca="1" si="46"/>
        <v>#VALUE!</v>
      </c>
      <c r="BC31" s="1" t="e">
        <f t="shared" ca="1" si="47"/>
        <v>#VALUE!</v>
      </c>
      <c r="BE31" s="15" t="str">
        <f>IF(ISBLANK('Exception Stores'!$A$6),"",'Exception Stores'!$A$6)</f>
        <v/>
      </c>
      <c r="BF31" s="15" t="str">
        <f>IF(ISBLANK('Exception Stores'!$B$6),"",'Exception Stores'!$B$6)</f>
        <v/>
      </c>
      <c r="BG31" s="1">
        <f>IF(ISBLANK('Exception Stores'!$A$6),0,IF($AN$2&gt;$BF$2,($AN$2-$BF$2)*24,0))</f>
        <v>0</v>
      </c>
      <c r="BH31" s="11">
        <f>IF(ISBLANK('Exception Stores'!$A$6),0,($BF$2-$BE$2)*24)</f>
        <v>0</v>
      </c>
      <c r="BI3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31" s="1">
        <f>IF(ISBLANK('Exception Stores'!$A$6),0,IF($AN$2&gt;$BF$2,0,IF(AND($AN$2&lt;$BF$2,$BT$2="B"),(($BF$2-$AN$2)*24)-$BS$2,($BF$2-$AN$2)*24)))</f>
        <v>0</v>
      </c>
      <c r="BL31" s="5"/>
      <c r="BM31" s="5"/>
      <c r="BN31" s="5"/>
      <c r="BO31" s="5"/>
      <c r="BP31" s="5"/>
      <c r="BV31" s="1" t="e">
        <f t="shared" ca="1" si="48"/>
        <v>#VALUE!</v>
      </c>
      <c r="BW31" s="1" t="e">
        <f t="shared" ca="1" si="49"/>
        <v>#VALUE!</v>
      </c>
      <c r="BX31" s="1" t="e">
        <f t="shared" ca="1" si="50"/>
        <v>#VALUE!</v>
      </c>
      <c r="BY31" s="1" t="e">
        <f t="shared" ca="1" si="51"/>
        <v>#VALUE!</v>
      </c>
      <c r="BZ31" s="1" t="e">
        <f t="shared" ca="1" si="52"/>
        <v>#VALUE!</v>
      </c>
      <c r="CB31" s="1" t="str">
        <f>IF(ISBLANK('Exception Stores'!$A$6),"",WEEKDAY($BF$2))</f>
        <v/>
      </c>
      <c r="CC31" s="1" t="str">
        <f>IF(ISBLANK('Exception Stores'!$A$6),"NO",IF('Exception Stores'!$A$6&lt;$AU$2,"YES","NO"))</f>
        <v>NO</v>
      </c>
      <c r="CD31" s="1" t="str">
        <f>IF(ISBLANK('Exception Stores'!$A$6),"NO",IF('Exception Stores'!$A$6&lt;$AV$2,"YES","NO"))</f>
        <v>NO</v>
      </c>
      <c r="CE31" s="1" t="str">
        <f>IF(ISBLANK('Exception Stores'!$A$6),"NO",IF('Exception Stores'!$A$6&lt;$AW$2,"YES","NO"))</f>
        <v>NO</v>
      </c>
      <c r="CF31" s="1" t="str">
        <f>IF(ISBLANK('Exception Stores'!$A$6),"NO",IF('Exception Stores'!$A$6&lt;$AX$2,"YES","NO"))</f>
        <v>NO</v>
      </c>
      <c r="CG31" s="1" t="str">
        <f>IF(ISBLANK('Exception Stores'!$A$6),"NO",IF('Exception Stores'!$A$6&lt;$AY$2,"YES","NO"))</f>
        <v>NO</v>
      </c>
      <c r="CI31" s="42" t="str">
        <f>IF(ISBLANK('Exception Stores'!$B$6),"NO",IF('Exception Stores'!$B$6&lt;=$AU$2,"YES","NO"))</f>
        <v>NO</v>
      </c>
      <c r="CJ31" s="42" t="str">
        <f>IF(ISBLANK('Exception Stores'!$B$6),"NO",IF('Exception Stores'!$B$6&lt;=$AV$2,"YES","NO"))</f>
        <v>NO</v>
      </c>
      <c r="CK31" s="1" t="str">
        <f>IF(ISBLANK('Exception Stores'!$B$6),"NO",IF('Exception Stores'!$B$6&lt;=$AW$2,"YES","NO"))</f>
        <v>NO</v>
      </c>
      <c r="CL31" s="1" t="str">
        <f>IF(ISBLANK('Exception Stores'!$B$6),"NO",IF('Exception Stores'!$B$6&lt;=$AX$2,"YES","NO"))</f>
        <v>NO</v>
      </c>
      <c r="CM31" s="1" t="str">
        <f>IF(ISBLANK('Exception Stores'!$B$6),"NO",IF('Exception Stores'!$B$6&lt;=$AY$2,"YES","NO"))</f>
        <v>NO</v>
      </c>
      <c r="CO31" s="1" t="e">
        <f ca="1">IF(AM31&lt;'Exception Stores'!$A$6,"YES","NO")</f>
        <v>#VALUE!</v>
      </c>
      <c r="CP31" s="1">
        <f t="shared" si="53"/>
        <v>0</v>
      </c>
      <c r="CQ31" s="1">
        <f t="shared" si="54"/>
        <v>0</v>
      </c>
      <c r="CR31" s="1">
        <f t="shared" si="55"/>
        <v>0</v>
      </c>
      <c r="CS31" s="1">
        <f t="shared" si="56"/>
        <v>0</v>
      </c>
      <c r="CT31" s="1">
        <f t="shared" si="57"/>
        <v>0</v>
      </c>
      <c r="CU31" s="1">
        <f t="shared" si="58"/>
        <v>0</v>
      </c>
      <c r="CW31" s="1" t="e">
        <f t="shared" ca="1" si="59"/>
        <v>#VALUE!</v>
      </c>
      <c r="CX31" s="1" t="e">
        <f t="shared" ca="1" si="0"/>
        <v>#VALUE!</v>
      </c>
      <c r="CY31" s="1" t="e">
        <f t="shared" ca="1" si="1"/>
        <v>#VALUE!</v>
      </c>
      <c r="CZ31" s="1" t="e">
        <f t="shared" ca="1" si="2"/>
        <v>#VALUE!</v>
      </c>
      <c r="DA31" s="1" t="e">
        <f t="shared" ca="1" si="3"/>
        <v>#VALUE!</v>
      </c>
      <c r="DB31" s="26" t="e">
        <f t="shared" ca="1" si="60"/>
        <v>#VALUE!</v>
      </c>
      <c r="DC31" s="1">
        <f t="shared" si="4"/>
        <v>0</v>
      </c>
      <c r="DD31" s="1">
        <f t="shared" si="5"/>
        <v>0</v>
      </c>
      <c r="DE31" s="1">
        <f t="shared" si="6"/>
        <v>0</v>
      </c>
      <c r="DF31" s="1">
        <f t="shared" si="7"/>
        <v>0</v>
      </c>
      <c r="DG31" s="1">
        <f t="shared" si="8"/>
        <v>0</v>
      </c>
      <c r="DH31" s="26">
        <f t="shared" si="61"/>
        <v>0</v>
      </c>
      <c r="DI31" s="1" t="e">
        <f t="shared" ca="1" si="62"/>
        <v>#VALUE!</v>
      </c>
      <c r="DK31" s="11" t="str">
        <f t="shared" si="9"/>
        <v/>
      </c>
      <c r="DL31" s="11" t="e">
        <f ca="1">IF(AND(NOT(ISBLANK('Exception Stores'!$A$6)),CO31="YES"),S31-$BH$2-(DI31*$BS$2)-(CU31*$BS$2),S31-(DB31*$BS$2))</f>
        <v>#VALUE!</v>
      </c>
      <c r="DM31" s="11" t="str">
        <f>IF(ISBLANK(A31),"",IF(COUNTIF(Remaps!$A$2:$A$200,B31)&gt;0,"YES",""))</f>
        <v>YES</v>
      </c>
      <c r="DN31" s="29">
        <f>IFERROR(INDEX(Remaps!$B$2:$B$200,MATCH(B31,Remaps!$A$2:$A$200,0),1),0)</f>
        <v>0</v>
      </c>
      <c r="DO31" s="11" t="e">
        <f t="shared" ca="1" si="10"/>
        <v>#VALUE!</v>
      </c>
      <c r="DP31" s="29" t="e">
        <f t="shared" si="11"/>
        <v>#VALUE!</v>
      </c>
      <c r="DQ31" s="11" t="e">
        <f ca="1">('Apollo Dock Status'!$Z$1-DP31)/DO31</f>
        <v>#VALUE!</v>
      </c>
      <c r="DR31" s="15" t="e">
        <f t="shared" ca="1" si="63"/>
        <v>#VALUE!</v>
      </c>
    </row>
    <row r="32" spans="1:122">
      <c r="A32" s="1" t="str">
        <f>IF(ISBLANK('Apollo Dock Status'!A32),"",'Apollo Dock Status'!A32)</f>
        <v/>
      </c>
      <c r="B32" s="1" t="str">
        <f>IF(ISBLANK('Apollo Dock Status'!B32),"",'Apollo Dock Status'!B32)</f>
        <v/>
      </c>
      <c r="C32" s="1" t="str">
        <f>IF(ISBLANK('Apollo Dock Status'!C32),"",'Apollo Dock Status'!C32)</f>
        <v/>
      </c>
      <c r="D32" s="1" t="str">
        <f>IF(ISBLANK('Apollo Dock Status'!D32),"",'Apollo Dock Status'!D32)</f>
        <v/>
      </c>
      <c r="E32" s="1" t="str">
        <f>IF(ISBLANK('Apollo Dock Status'!E32),"",'Apollo Dock Status'!E32)</f>
        <v/>
      </c>
      <c r="F32" s="1" t="str">
        <f>IF(ISBLANK('Apollo Dock Status'!F32),"",'Apollo Dock Status'!F32)</f>
        <v/>
      </c>
      <c r="G32" s="1" t="str">
        <f>IF(ISBLANK('Apollo Dock Status'!G32),"",'Apollo Dock Status'!G32)</f>
        <v/>
      </c>
      <c r="H32" s="1" t="str">
        <f>IF(ISBLANK('Apollo Dock Status'!H32),"",'Apollo Dock Status'!H32)</f>
        <v/>
      </c>
      <c r="I32" s="1" t="str">
        <f>IF(ISBLANK('Apollo Dock Status'!I32),"",'Apollo Dock Status'!I32)</f>
        <v/>
      </c>
      <c r="J32" s="1" t="str">
        <f>IF(ISBLANK('Apollo Dock Status'!J32),"",'Apollo Dock Status'!J32)</f>
        <v/>
      </c>
      <c r="K32" s="1" t="str">
        <f>IF(ISBLANK('Apollo Dock Status'!K32),"",'Apollo Dock Status'!K32)</f>
        <v/>
      </c>
      <c r="L32" s="1" t="str">
        <f>IF(ISBLANK('Apollo Dock Status'!L32),"",'Apollo Dock Status'!L32)</f>
        <v/>
      </c>
      <c r="M32" s="1" t="str">
        <f>IF(ISBLANK('Apollo Dock Status'!M32),"",'Apollo Dock Status'!M32)</f>
        <v/>
      </c>
      <c r="N32" s="1" t="str">
        <f>IF(ISBLANK('Apollo Dock Status'!N32),"",'Apollo Dock Status'!N32)</f>
        <v/>
      </c>
      <c r="O32" s="1" t="str">
        <f t="shared" si="12"/>
        <v/>
      </c>
      <c r="P32" s="1" t="str">
        <f t="shared" si="13"/>
        <v/>
      </c>
      <c r="Q32" s="1" t="str">
        <f t="shared" si="14"/>
        <v/>
      </c>
      <c r="R32" s="1" t="str">
        <f t="shared" si="15"/>
        <v/>
      </c>
      <c r="S32" s="11" t="str">
        <f t="shared" si="16"/>
        <v/>
      </c>
      <c r="T32" s="1" t="str">
        <f t="shared" si="17"/>
        <v/>
      </c>
      <c r="U32" s="11" t="str">
        <f t="shared" si="18"/>
        <v/>
      </c>
      <c r="V32" s="11" t="str">
        <f t="shared" si="19"/>
        <v/>
      </c>
      <c r="X32" s="1" t="str">
        <f t="shared" si="20"/>
        <v/>
      </c>
      <c r="Y32" s="1" t="str">
        <f t="shared" si="21"/>
        <v/>
      </c>
      <c r="Z32" s="1" t="str">
        <f t="shared" si="22"/>
        <v/>
      </c>
      <c r="AB32" s="13">
        <f t="shared" ca="1" si="23"/>
        <v>46176</v>
      </c>
      <c r="AC32" s="1">
        <f t="shared" ca="1" si="24"/>
        <v>2026</v>
      </c>
      <c r="AD32" s="1" t="str">
        <f t="shared" ca="1" si="25"/>
        <v>6</v>
      </c>
      <c r="AE32" s="1">
        <f t="shared" si="26"/>
        <v>1</v>
      </c>
      <c r="AF32" s="1" t="str">
        <f t="shared" si="27"/>
        <v/>
      </c>
      <c r="AG32" s="1">
        <f t="shared" ca="1" si="28"/>
        <v>2026</v>
      </c>
      <c r="AH32" s="1">
        <f t="shared" si="29"/>
        <v>1</v>
      </c>
      <c r="AI32" s="1" t="str">
        <f t="shared" ca="1" si="30"/>
        <v>6</v>
      </c>
      <c r="AJ32" s="13" t="e">
        <f t="shared" ca="1" si="31"/>
        <v>#VALUE!</v>
      </c>
      <c r="AK32" s="1" t="e">
        <f>IF(ISBLANK(A32),"",IFERROR(MID(F32,SEARCH(", ",F32)+LEN(", "),SEARCH(" "&amp;'Exception Stores'!$A$2,F32)-SEARCH(", ",F32)-LEN(", ")),MID(F32,SEARCH(", ",F32)+LEN(", "),SEARCH(" "&amp;'Exception Stores'!$B$2,F32)-SEARCH(", ",F32)-LEN(", "))))</f>
        <v>#VALUE!</v>
      </c>
      <c r="AL32" s="1" t="e">
        <f t="shared" si="32"/>
        <v>#VALUE!</v>
      </c>
      <c r="AM32" s="15" t="e">
        <f t="shared" ca="1" si="33"/>
        <v>#VALUE!</v>
      </c>
      <c r="AN32" s="24" t="e">
        <f t="shared" ca="1" si="34"/>
        <v>#VALUE!</v>
      </c>
      <c r="AO32" s="1" t="e">
        <f t="shared" ca="1" si="35"/>
        <v>#VALUE!</v>
      </c>
      <c r="AP32" s="13" t="e">
        <f t="shared" ca="1" si="36"/>
        <v>#VALUE!</v>
      </c>
      <c r="AQ32" s="17" t="e">
        <f t="shared" ca="1" si="37"/>
        <v>#VALUE!</v>
      </c>
      <c r="AS32" s="15" t="e">
        <f t="shared" ca="1" si="38"/>
        <v>#VALUE!</v>
      </c>
      <c r="AT32" s="5">
        <f>'Exception Stores'!$D$2</f>
        <v>0.125</v>
      </c>
      <c r="AU32" s="15" t="e">
        <f t="shared" ca="1" si="39"/>
        <v>#VALUE!</v>
      </c>
      <c r="AV32" s="15" t="e">
        <f t="shared" ca="1" si="40"/>
        <v>#VALUE!</v>
      </c>
      <c r="AW32" s="15" t="e">
        <f t="shared" ca="1" si="41"/>
        <v>#VALUE!</v>
      </c>
      <c r="AX32" s="15" t="e">
        <f t="shared" ca="1" si="42"/>
        <v>#VALUE!</v>
      </c>
      <c r="AY32" s="15" t="e">
        <f t="shared" ca="1" si="43"/>
        <v>#VALUE!</v>
      </c>
      <c r="AZ32" s="1" t="e">
        <f t="shared" ca="1" si="44"/>
        <v>#VALUE!</v>
      </c>
      <c r="BA32" s="15" t="e">
        <f t="shared" ca="1" si="45"/>
        <v>#VALUE!</v>
      </c>
      <c r="BB32" s="15" t="e">
        <f t="shared" ca="1" si="46"/>
        <v>#VALUE!</v>
      </c>
      <c r="BC32" s="1" t="e">
        <f t="shared" ca="1" si="47"/>
        <v>#VALUE!</v>
      </c>
      <c r="BE32" s="15" t="str">
        <f>IF(ISBLANK('Exception Stores'!$A$6),"",'Exception Stores'!$A$6)</f>
        <v/>
      </c>
      <c r="BF32" s="15" t="str">
        <f>IF(ISBLANK('Exception Stores'!$B$6),"",'Exception Stores'!$B$6)</f>
        <v/>
      </c>
      <c r="BG32" s="1">
        <f>IF(ISBLANK('Exception Stores'!$A$6),0,IF($AN$2&gt;$BF$2,($AN$2-$BF$2)*24,0))</f>
        <v>0</v>
      </c>
      <c r="BH32" s="11">
        <f>IF(ISBLANK('Exception Stores'!$A$6),0,($BF$2-$BE$2)*24)</f>
        <v>0</v>
      </c>
      <c r="BI3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32" s="1">
        <f>IF(ISBLANK('Exception Stores'!$A$6),0,IF($AN$2&gt;$BF$2,0,IF(AND($AN$2&lt;$BF$2,$BT$2="B"),(($BF$2-$AN$2)*24)-$BS$2,($BF$2-$AN$2)*24)))</f>
        <v>0</v>
      </c>
      <c r="BL32" s="5"/>
      <c r="BM32" s="5"/>
      <c r="BN32" s="5"/>
      <c r="BO32" s="5"/>
      <c r="BP32" s="5"/>
      <c r="BV32" s="1" t="e">
        <f t="shared" ca="1" si="48"/>
        <v>#VALUE!</v>
      </c>
      <c r="BW32" s="1" t="e">
        <f t="shared" ca="1" si="49"/>
        <v>#VALUE!</v>
      </c>
      <c r="BX32" s="1" t="e">
        <f t="shared" ca="1" si="50"/>
        <v>#VALUE!</v>
      </c>
      <c r="BY32" s="1" t="e">
        <f t="shared" ca="1" si="51"/>
        <v>#VALUE!</v>
      </c>
      <c r="BZ32" s="1" t="e">
        <f t="shared" ca="1" si="52"/>
        <v>#VALUE!</v>
      </c>
      <c r="CB32" s="1" t="str">
        <f>IF(ISBLANK('Exception Stores'!$A$6),"",WEEKDAY($BF$2))</f>
        <v/>
      </c>
      <c r="CC32" s="1" t="str">
        <f>IF(ISBLANK('Exception Stores'!$A$6),"NO",IF('Exception Stores'!$A$6&lt;$AU$2,"YES","NO"))</f>
        <v>NO</v>
      </c>
      <c r="CD32" s="1" t="str">
        <f>IF(ISBLANK('Exception Stores'!$A$6),"NO",IF('Exception Stores'!$A$6&lt;$AV$2,"YES","NO"))</f>
        <v>NO</v>
      </c>
      <c r="CE32" s="1" t="str">
        <f>IF(ISBLANK('Exception Stores'!$A$6),"NO",IF('Exception Stores'!$A$6&lt;$AW$2,"YES","NO"))</f>
        <v>NO</v>
      </c>
      <c r="CF32" s="1" t="str">
        <f>IF(ISBLANK('Exception Stores'!$A$6),"NO",IF('Exception Stores'!$A$6&lt;$AX$2,"YES","NO"))</f>
        <v>NO</v>
      </c>
      <c r="CG32" s="1" t="str">
        <f>IF(ISBLANK('Exception Stores'!$A$6),"NO",IF('Exception Stores'!$A$6&lt;$AY$2,"YES","NO"))</f>
        <v>NO</v>
      </c>
      <c r="CI32" s="42" t="str">
        <f>IF(ISBLANK('Exception Stores'!$B$6),"NO",IF('Exception Stores'!$B$6&lt;=$AU$2,"YES","NO"))</f>
        <v>NO</v>
      </c>
      <c r="CJ32" s="42" t="str">
        <f>IF(ISBLANK('Exception Stores'!$B$6),"NO",IF('Exception Stores'!$B$6&lt;=$AV$2,"YES","NO"))</f>
        <v>NO</v>
      </c>
      <c r="CK32" s="1" t="str">
        <f>IF(ISBLANK('Exception Stores'!$B$6),"NO",IF('Exception Stores'!$B$6&lt;=$AW$2,"YES","NO"))</f>
        <v>NO</v>
      </c>
      <c r="CL32" s="1" t="str">
        <f>IF(ISBLANK('Exception Stores'!$B$6),"NO",IF('Exception Stores'!$B$6&lt;=$AX$2,"YES","NO"))</f>
        <v>NO</v>
      </c>
      <c r="CM32" s="1" t="str">
        <f>IF(ISBLANK('Exception Stores'!$B$6),"NO",IF('Exception Stores'!$B$6&lt;=$AY$2,"YES","NO"))</f>
        <v>NO</v>
      </c>
      <c r="CO32" s="1" t="e">
        <f ca="1">IF(AM32&lt;'Exception Stores'!$A$6,"YES","NO")</f>
        <v>#VALUE!</v>
      </c>
      <c r="CP32" s="1">
        <f t="shared" si="53"/>
        <v>0</v>
      </c>
      <c r="CQ32" s="1">
        <f t="shared" si="54"/>
        <v>0</v>
      </c>
      <c r="CR32" s="1">
        <f t="shared" si="55"/>
        <v>0</v>
      </c>
      <c r="CS32" s="1">
        <f t="shared" si="56"/>
        <v>0</v>
      </c>
      <c r="CT32" s="1">
        <f t="shared" si="57"/>
        <v>0</v>
      </c>
      <c r="CU32" s="1">
        <f t="shared" si="58"/>
        <v>0</v>
      </c>
      <c r="CW32" s="1" t="e">
        <f t="shared" ca="1" si="59"/>
        <v>#VALUE!</v>
      </c>
      <c r="CX32" s="1" t="e">
        <f t="shared" ca="1" si="0"/>
        <v>#VALUE!</v>
      </c>
      <c r="CY32" s="1" t="e">
        <f t="shared" ca="1" si="1"/>
        <v>#VALUE!</v>
      </c>
      <c r="CZ32" s="1" t="e">
        <f t="shared" ca="1" si="2"/>
        <v>#VALUE!</v>
      </c>
      <c r="DA32" s="1" t="e">
        <f t="shared" ca="1" si="3"/>
        <v>#VALUE!</v>
      </c>
      <c r="DB32" s="26" t="e">
        <f t="shared" ca="1" si="60"/>
        <v>#VALUE!</v>
      </c>
      <c r="DC32" s="1">
        <f t="shared" si="4"/>
        <v>0</v>
      </c>
      <c r="DD32" s="1">
        <f t="shared" si="5"/>
        <v>0</v>
      </c>
      <c r="DE32" s="1">
        <f t="shared" si="6"/>
        <v>0</v>
      </c>
      <c r="DF32" s="1">
        <f t="shared" si="7"/>
        <v>0</v>
      </c>
      <c r="DG32" s="1">
        <f t="shared" si="8"/>
        <v>0</v>
      </c>
      <c r="DH32" s="26">
        <f t="shared" si="61"/>
        <v>0</v>
      </c>
      <c r="DI32" s="1" t="e">
        <f t="shared" ca="1" si="62"/>
        <v>#VALUE!</v>
      </c>
      <c r="DK32" s="11" t="str">
        <f t="shared" si="9"/>
        <v/>
      </c>
      <c r="DL32" s="11" t="e">
        <f ca="1">IF(AND(NOT(ISBLANK('Exception Stores'!$A$6)),CO32="YES"),S32-$BH$2-(DI32*$BS$2)-(CU32*$BS$2),S32-(DB32*$BS$2))</f>
        <v>#VALUE!</v>
      </c>
      <c r="DM32" s="11" t="str">
        <f>IF(ISBLANK(A32),"",IF(COUNTIF(Remaps!$A$2:$A$200,B32)&gt;0,"YES",""))</f>
        <v>YES</v>
      </c>
      <c r="DN32" s="29">
        <f>IFERROR(INDEX(Remaps!$B$2:$B$200,MATCH(B32,Remaps!$A$2:$A$200,0),1),0)</f>
        <v>0</v>
      </c>
      <c r="DO32" s="11" t="e">
        <f t="shared" ca="1" si="10"/>
        <v>#VALUE!</v>
      </c>
      <c r="DP32" s="29" t="e">
        <f t="shared" si="11"/>
        <v>#VALUE!</v>
      </c>
      <c r="DQ32" s="11" t="e">
        <f ca="1">('Apollo Dock Status'!$Z$1-DP32)/DO32</f>
        <v>#VALUE!</v>
      </c>
      <c r="DR32" s="15" t="e">
        <f t="shared" ca="1" si="63"/>
        <v>#VALUE!</v>
      </c>
    </row>
    <row r="33" spans="1:122">
      <c r="A33" s="1" t="str">
        <f>IF(ISBLANK('Apollo Dock Status'!A33),"",'Apollo Dock Status'!A33)</f>
        <v/>
      </c>
      <c r="B33" s="1" t="str">
        <f>IF(ISBLANK('Apollo Dock Status'!B33),"",'Apollo Dock Status'!B33)</f>
        <v/>
      </c>
      <c r="C33" s="1" t="str">
        <f>IF(ISBLANK('Apollo Dock Status'!C33),"",'Apollo Dock Status'!C33)</f>
        <v/>
      </c>
      <c r="D33" s="1" t="str">
        <f>IF(ISBLANK('Apollo Dock Status'!D33),"",'Apollo Dock Status'!D33)</f>
        <v/>
      </c>
      <c r="E33" s="1" t="str">
        <f>IF(ISBLANK('Apollo Dock Status'!E33),"",'Apollo Dock Status'!E33)</f>
        <v/>
      </c>
      <c r="F33" s="1" t="str">
        <f>IF(ISBLANK('Apollo Dock Status'!F33),"",'Apollo Dock Status'!F33)</f>
        <v/>
      </c>
      <c r="G33" s="1" t="str">
        <f>IF(ISBLANK('Apollo Dock Status'!G33),"",'Apollo Dock Status'!G33)</f>
        <v/>
      </c>
      <c r="H33" s="1" t="str">
        <f>IF(ISBLANK('Apollo Dock Status'!H33),"",'Apollo Dock Status'!H33)</f>
        <v/>
      </c>
      <c r="I33" s="1" t="str">
        <f>IF(ISBLANK('Apollo Dock Status'!I33),"",'Apollo Dock Status'!I33)</f>
        <v/>
      </c>
      <c r="J33" s="1" t="str">
        <f>IF(ISBLANK('Apollo Dock Status'!J33),"",'Apollo Dock Status'!J33)</f>
        <v/>
      </c>
      <c r="K33" s="1" t="str">
        <f>IF(ISBLANK('Apollo Dock Status'!K33),"",'Apollo Dock Status'!K33)</f>
        <v/>
      </c>
      <c r="L33" s="1" t="str">
        <f>IF(ISBLANK('Apollo Dock Status'!L33),"",'Apollo Dock Status'!L33)</f>
        <v/>
      </c>
      <c r="M33" s="1" t="str">
        <f>IF(ISBLANK('Apollo Dock Status'!M33),"",'Apollo Dock Status'!M33)</f>
        <v/>
      </c>
      <c r="N33" s="1" t="str">
        <f>IF(ISBLANK('Apollo Dock Status'!N33),"",'Apollo Dock Status'!N33)</f>
        <v/>
      </c>
      <c r="O33" s="1" t="str">
        <f t="shared" si="12"/>
        <v/>
      </c>
      <c r="P33" s="1" t="str">
        <f t="shared" si="13"/>
        <v/>
      </c>
      <c r="Q33" s="1" t="str">
        <f t="shared" si="14"/>
        <v/>
      </c>
      <c r="R33" s="1" t="str">
        <f t="shared" si="15"/>
        <v/>
      </c>
      <c r="S33" s="11" t="str">
        <f t="shared" si="16"/>
        <v/>
      </c>
      <c r="T33" s="1" t="str">
        <f t="shared" si="17"/>
        <v/>
      </c>
      <c r="U33" s="11" t="str">
        <f t="shared" si="18"/>
        <v/>
      </c>
      <c r="V33" s="11" t="str">
        <f t="shared" si="19"/>
        <v/>
      </c>
      <c r="X33" s="1" t="str">
        <f t="shared" si="20"/>
        <v/>
      </c>
      <c r="Y33" s="1" t="str">
        <f t="shared" si="21"/>
        <v/>
      </c>
      <c r="Z33" s="1" t="str">
        <f t="shared" si="22"/>
        <v/>
      </c>
      <c r="AB33" s="13">
        <f t="shared" ca="1" si="23"/>
        <v>46176</v>
      </c>
      <c r="AC33" s="1">
        <f t="shared" ca="1" si="24"/>
        <v>2026</v>
      </c>
      <c r="AD33" s="1" t="str">
        <f t="shared" ca="1" si="25"/>
        <v>6</v>
      </c>
      <c r="AE33" s="1">
        <f t="shared" si="26"/>
        <v>1</v>
      </c>
      <c r="AF33" s="1" t="str">
        <f t="shared" si="27"/>
        <v/>
      </c>
      <c r="AG33" s="1">
        <f t="shared" ca="1" si="28"/>
        <v>2026</v>
      </c>
      <c r="AH33" s="1">
        <f t="shared" si="29"/>
        <v>1</v>
      </c>
      <c r="AI33" s="1" t="str">
        <f t="shared" ca="1" si="30"/>
        <v>6</v>
      </c>
      <c r="AJ33" s="13" t="e">
        <f t="shared" ca="1" si="31"/>
        <v>#VALUE!</v>
      </c>
      <c r="AK33" s="1" t="e">
        <f>IF(ISBLANK(A33),"",IFERROR(MID(F33,SEARCH(", ",F33)+LEN(", "),SEARCH(" "&amp;'Exception Stores'!$A$2,F33)-SEARCH(", ",F33)-LEN(", ")),MID(F33,SEARCH(", ",F33)+LEN(", "),SEARCH(" "&amp;'Exception Stores'!$B$2,F33)-SEARCH(", ",F33)-LEN(", "))))</f>
        <v>#VALUE!</v>
      </c>
      <c r="AL33" s="1" t="e">
        <f t="shared" si="32"/>
        <v>#VALUE!</v>
      </c>
      <c r="AM33" s="15" t="e">
        <f t="shared" ca="1" si="33"/>
        <v>#VALUE!</v>
      </c>
      <c r="AN33" s="24" t="e">
        <f t="shared" ca="1" si="34"/>
        <v>#VALUE!</v>
      </c>
      <c r="AO33" s="1" t="e">
        <f t="shared" ca="1" si="35"/>
        <v>#VALUE!</v>
      </c>
      <c r="AP33" s="13" t="e">
        <f t="shared" ca="1" si="36"/>
        <v>#VALUE!</v>
      </c>
      <c r="AQ33" s="17" t="e">
        <f t="shared" ca="1" si="37"/>
        <v>#VALUE!</v>
      </c>
      <c r="AS33" s="15" t="e">
        <f t="shared" ca="1" si="38"/>
        <v>#VALUE!</v>
      </c>
      <c r="AT33" s="5">
        <f>'Exception Stores'!$D$2</f>
        <v>0.125</v>
      </c>
      <c r="AU33" s="15" t="e">
        <f t="shared" ca="1" si="39"/>
        <v>#VALUE!</v>
      </c>
      <c r="AV33" s="15" t="e">
        <f t="shared" ca="1" si="40"/>
        <v>#VALUE!</v>
      </c>
      <c r="AW33" s="15" t="e">
        <f t="shared" ca="1" si="41"/>
        <v>#VALUE!</v>
      </c>
      <c r="AX33" s="15" t="e">
        <f t="shared" ca="1" si="42"/>
        <v>#VALUE!</v>
      </c>
      <c r="AY33" s="15" t="e">
        <f t="shared" ca="1" si="43"/>
        <v>#VALUE!</v>
      </c>
      <c r="AZ33" s="1" t="e">
        <f t="shared" ca="1" si="44"/>
        <v>#VALUE!</v>
      </c>
      <c r="BA33" s="15" t="e">
        <f t="shared" ca="1" si="45"/>
        <v>#VALUE!</v>
      </c>
      <c r="BB33" s="15" t="e">
        <f t="shared" ca="1" si="46"/>
        <v>#VALUE!</v>
      </c>
      <c r="BC33" s="1" t="e">
        <f t="shared" ca="1" si="47"/>
        <v>#VALUE!</v>
      </c>
      <c r="BE33" s="15" t="str">
        <f>IF(ISBLANK('Exception Stores'!$A$6),"",'Exception Stores'!$A$6)</f>
        <v/>
      </c>
      <c r="BF33" s="15" t="str">
        <f>IF(ISBLANK('Exception Stores'!$B$6),"",'Exception Stores'!$B$6)</f>
        <v/>
      </c>
      <c r="BG33" s="1">
        <f>IF(ISBLANK('Exception Stores'!$A$6),0,IF($AN$2&gt;$BF$2,($AN$2-$BF$2)*24,0))</f>
        <v>0</v>
      </c>
      <c r="BH33" s="11">
        <f>IF(ISBLANK('Exception Stores'!$A$6),0,($BF$2-$BE$2)*24)</f>
        <v>0</v>
      </c>
      <c r="BI3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33" s="1">
        <f>IF(ISBLANK('Exception Stores'!$A$6),0,IF($AN$2&gt;$BF$2,0,IF(AND($AN$2&lt;$BF$2,$BT$2="B"),(($BF$2-$AN$2)*24)-$BS$2,($BF$2-$AN$2)*24)))</f>
        <v>0</v>
      </c>
      <c r="BL33" s="5"/>
      <c r="BM33" s="5"/>
      <c r="BN33" s="5"/>
      <c r="BO33" s="5"/>
      <c r="BP33" s="5"/>
      <c r="BV33" s="1" t="e">
        <f t="shared" ca="1" si="48"/>
        <v>#VALUE!</v>
      </c>
      <c r="BW33" s="1" t="e">
        <f t="shared" ca="1" si="49"/>
        <v>#VALUE!</v>
      </c>
      <c r="BX33" s="1" t="e">
        <f t="shared" ca="1" si="50"/>
        <v>#VALUE!</v>
      </c>
      <c r="BY33" s="1" t="e">
        <f t="shared" ca="1" si="51"/>
        <v>#VALUE!</v>
      </c>
      <c r="BZ33" s="1" t="e">
        <f t="shared" ca="1" si="52"/>
        <v>#VALUE!</v>
      </c>
      <c r="CB33" s="1" t="str">
        <f>IF(ISBLANK('Exception Stores'!$A$6),"",WEEKDAY($BF$2))</f>
        <v/>
      </c>
      <c r="CC33" s="1" t="str">
        <f>IF(ISBLANK('Exception Stores'!$A$6),"NO",IF('Exception Stores'!$A$6&lt;$AU$2,"YES","NO"))</f>
        <v>NO</v>
      </c>
      <c r="CD33" s="1" t="str">
        <f>IF(ISBLANK('Exception Stores'!$A$6),"NO",IF('Exception Stores'!$A$6&lt;$AV$2,"YES","NO"))</f>
        <v>NO</v>
      </c>
      <c r="CE33" s="1" t="str">
        <f>IF(ISBLANK('Exception Stores'!$A$6),"NO",IF('Exception Stores'!$A$6&lt;$AW$2,"YES","NO"))</f>
        <v>NO</v>
      </c>
      <c r="CF33" s="1" t="str">
        <f>IF(ISBLANK('Exception Stores'!$A$6),"NO",IF('Exception Stores'!$A$6&lt;$AX$2,"YES","NO"))</f>
        <v>NO</v>
      </c>
      <c r="CG33" s="1" t="str">
        <f>IF(ISBLANK('Exception Stores'!$A$6),"NO",IF('Exception Stores'!$A$6&lt;$AY$2,"YES","NO"))</f>
        <v>NO</v>
      </c>
      <c r="CI33" s="42" t="str">
        <f>IF(ISBLANK('Exception Stores'!$B$6),"NO",IF('Exception Stores'!$B$6&lt;=$AU$2,"YES","NO"))</f>
        <v>NO</v>
      </c>
      <c r="CJ33" s="42" t="str">
        <f>IF(ISBLANK('Exception Stores'!$B$6),"NO",IF('Exception Stores'!$B$6&lt;=$AV$2,"YES","NO"))</f>
        <v>NO</v>
      </c>
      <c r="CK33" s="1" t="str">
        <f>IF(ISBLANK('Exception Stores'!$B$6),"NO",IF('Exception Stores'!$B$6&lt;=$AW$2,"YES","NO"))</f>
        <v>NO</v>
      </c>
      <c r="CL33" s="1" t="str">
        <f>IF(ISBLANK('Exception Stores'!$B$6),"NO",IF('Exception Stores'!$B$6&lt;=$AX$2,"YES","NO"))</f>
        <v>NO</v>
      </c>
      <c r="CM33" s="1" t="str">
        <f>IF(ISBLANK('Exception Stores'!$B$6),"NO",IF('Exception Stores'!$B$6&lt;=$AY$2,"YES","NO"))</f>
        <v>NO</v>
      </c>
      <c r="CO33" s="1" t="e">
        <f ca="1">IF(AM33&lt;'Exception Stores'!$A$6,"YES","NO")</f>
        <v>#VALUE!</v>
      </c>
      <c r="CP33" s="1">
        <f t="shared" si="53"/>
        <v>0</v>
      </c>
      <c r="CQ33" s="1">
        <f t="shared" si="54"/>
        <v>0</v>
      </c>
      <c r="CR33" s="1">
        <f t="shared" si="55"/>
        <v>0</v>
      </c>
      <c r="CS33" s="1">
        <f t="shared" si="56"/>
        <v>0</v>
      </c>
      <c r="CT33" s="1">
        <f t="shared" si="57"/>
        <v>0</v>
      </c>
      <c r="CU33" s="1">
        <f t="shared" si="58"/>
        <v>0</v>
      </c>
      <c r="CW33" s="1" t="e">
        <f t="shared" ca="1" si="59"/>
        <v>#VALUE!</v>
      </c>
      <c r="CX33" s="1" t="e">
        <f t="shared" ca="1" si="0"/>
        <v>#VALUE!</v>
      </c>
      <c r="CY33" s="1" t="e">
        <f t="shared" ca="1" si="1"/>
        <v>#VALUE!</v>
      </c>
      <c r="CZ33" s="1" t="e">
        <f t="shared" ca="1" si="2"/>
        <v>#VALUE!</v>
      </c>
      <c r="DA33" s="1" t="e">
        <f t="shared" ca="1" si="3"/>
        <v>#VALUE!</v>
      </c>
      <c r="DB33" s="26" t="e">
        <f t="shared" ca="1" si="60"/>
        <v>#VALUE!</v>
      </c>
      <c r="DC33" s="1">
        <f t="shared" si="4"/>
        <v>0</v>
      </c>
      <c r="DD33" s="1">
        <f t="shared" si="5"/>
        <v>0</v>
      </c>
      <c r="DE33" s="1">
        <f t="shared" si="6"/>
        <v>0</v>
      </c>
      <c r="DF33" s="1">
        <f t="shared" si="7"/>
        <v>0</v>
      </c>
      <c r="DG33" s="1">
        <f t="shared" si="8"/>
        <v>0</v>
      </c>
      <c r="DH33" s="26">
        <f t="shared" si="61"/>
        <v>0</v>
      </c>
      <c r="DI33" s="1" t="e">
        <f t="shared" ca="1" si="62"/>
        <v>#VALUE!</v>
      </c>
      <c r="DK33" s="11" t="str">
        <f t="shared" si="9"/>
        <v/>
      </c>
      <c r="DL33" s="11" t="e">
        <f ca="1">IF(AND(NOT(ISBLANK('Exception Stores'!$A$6)),CO33="YES"),S33-$BH$2-(DI33*$BS$2)-(CU33*$BS$2),S33-(DB33*$BS$2))</f>
        <v>#VALUE!</v>
      </c>
      <c r="DM33" s="11" t="str">
        <f>IF(ISBLANK(A33),"",IF(COUNTIF(Remaps!$A$2:$A$200,B33)&gt;0,"YES",""))</f>
        <v>YES</v>
      </c>
      <c r="DN33" s="29">
        <f>IFERROR(INDEX(Remaps!$B$2:$B$200,MATCH(B33,Remaps!$A$2:$A$200,0),1),0)</f>
        <v>0</v>
      </c>
      <c r="DO33" s="11" t="e">
        <f t="shared" ca="1" si="10"/>
        <v>#VALUE!</v>
      </c>
      <c r="DP33" s="29" t="e">
        <f t="shared" si="11"/>
        <v>#VALUE!</v>
      </c>
      <c r="DQ33" s="11" t="e">
        <f ca="1">('Apollo Dock Status'!$Z$1-DP33)/DO33</f>
        <v>#VALUE!</v>
      </c>
      <c r="DR33" s="15" t="e">
        <f t="shared" ca="1" si="63"/>
        <v>#VALUE!</v>
      </c>
    </row>
    <row r="34" spans="1:122">
      <c r="A34" s="1" t="str">
        <f>IF(ISBLANK('Apollo Dock Status'!A34),"",'Apollo Dock Status'!A34)</f>
        <v/>
      </c>
      <c r="B34" s="1" t="str">
        <f>IF(ISBLANK('Apollo Dock Status'!B34),"",'Apollo Dock Status'!B34)</f>
        <v/>
      </c>
      <c r="C34" s="1" t="str">
        <f>IF(ISBLANK('Apollo Dock Status'!C34),"",'Apollo Dock Status'!C34)</f>
        <v/>
      </c>
      <c r="D34" s="1" t="str">
        <f>IF(ISBLANK('Apollo Dock Status'!D34),"",'Apollo Dock Status'!D34)</f>
        <v/>
      </c>
      <c r="E34" s="1" t="str">
        <f>IF(ISBLANK('Apollo Dock Status'!E34),"",'Apollo Dock Status'!E34)</f>
        <v/>
      </c>
      <c r="F34" s="1" t="str">
        <f>IF(ISBLANK('Apollo Dock Status'!F34),"",'Apollo Dock Status'!F34)</f>
        <v/>
      </c>
      <c r="G34" s="1" t="str">
        <f>IF(ISBLANK('Apollo Dock Status'!G34),"",'Apollo Dock Status'!G34)</f>
        <v/>
      </c>
      <c r="H34" s="1" t="str">
        <f>IF(ISBLANK('Apollo Dock Status'!H34),"",'Apollo Dock Status'!H34)</f>
        <v/>
      </c>
      <c r="I34" s="1" t="str">
        <f>IF(ISBLANK('Apollo Dock Status'!I34),"",'Apollo Dock Status'!I34)</f>
        <v/>
      </c>
      <c r="J34" s="1" t="str">
        <f>IF(ISBLANK('Apollo Dock Status'!J34),"",'Apollo Dock Status'!J34)</f>
        <v/>
      </c>
      <c r="K34" s="1" t="str">
        <f>IF(ISBLANK('Apollo Dock Status'!K34),"",'Apollo Dock Status'!K34)</f>
        <v/>
      </c>
      <c r="L34" s="1" t="str">
        <f>IF(ISBLANK('Apollo Dock Status'!L34),"",'Apollo Dock Status'!L34)</f>
        <v/>
      </c>
      <c r="M34" s="1" t="str">
        <f>IF(ISBLANK('Apollo Dock Status'!M34),"",'Apollo Dock Status'!M34)</f>
        <v/>
      </c>
      <c r="N34" s="1" t="str">
        <f>IF(ISBLANK('Apollo Dock Status'!N34),"",'Apollo Dock Status'!N34)</f>
        <v/>
      </c>
      <c r="O34" s="1" t="str">
        <f t="shared" si="12"/>
        <v/>
      </c>
      <c r="P34" s="1" t="str">
        <f t="shared" si="13"/>
        <v/>
      </c>
      <c r="Q34" s="1" t="str">
        <f t="shared" si="14"/>
        <v/>
      </c>
      <c r="R34" s="1" t="str">
        <f t="shared" si="15"/>
        <v/>
      </c>
      <c r="S34" s="11" t="str">
        <f t="shared" si="16"/>
        <v/>
      </c>
      <c r="T34" s="1" t="str">
        <f t="shared" si="17"/>
        <v/>
      </c>
      <c r="U34" s="11" t="str">
        <f t="shared" si="18"/>
        <v/>
      </c>
      <c r="V34" s="11" t="str">
        <f t="shared" si="19"/>
        <v/>
      </c>
      <c r="X34" s="1" t="str">
        <f t="shared" si="20"/>
        <v/>
      </c>
      <c r="Y34" s="1" t="str">
        <f t="shared" si="21"/>
        <v/>
      </c>
      <c r="Z34" s="1" t="str">
        <f t="shared" si="22"/>
        <v/>
      </c>
      <c r="AB34" s="13">
        <f t="shared" ca="1" si="23"/>
        <v>46176</v>
      </c>
      <c r="AC34" s="1">
        <f t="shared" ca="1" si="24"/>
        <v>2026</v>
      </c>
      <c r="AD34" s="1" t="str">
        <f t="shared" ca="1" si="25"/>
        <v>6</v>
      </c>
      <c r="AE34" s="1">
        <f t="shared" si="26"/>
        <v>1</v>
      </c>
      <c r="AF34" s="1" t="str">
        <f t="shared" si="27"/>
        <v/>
      </c>
      <c r="AG34" s="1">
        <f t="shared" ca="1" si="28"/>
        <v>2026</v>
      </c>
      <c r="AH34" s="1">
        <f t="shared" si="29"/>
        <v>1</v>
      </c>
      <c r="AI34" s="1" t="str">
        <f t="shared" ca="1" si="30"/>
        <v>6</v>
      </c>
      <c r="AJ34" s="13" t="e">
        <f t="shared" ca="1" si="31"/>
        <v>#VALUE!</v>
      </c>
      <c r="AK34" s="1" t="e">
        <f>IF(ISBLANK(A34),"",IFERROR(MID(F34,SEARCH(", ",F34)+LEN(", "),SEARCH(" "&amp;'Exception Stores'!$A$2,F34)-SEARCH(", ",F34)-LEN(", ")),MID(F34,SEARCH(", ",F34)+LEN(", "),SEARCH(" "&amp;'Exception Stores'!$B$2,F34)-SEARCH(", ",F34)-LEN(", "))))</f>
        <v>#VALUE!</v>
      </c>
      <c r="AL34" s="1" t="e">
        <f t="shared" si="32"/>
        <v>#VALUE!</v>
      </c>
      <c r="AM34" s="15" t="e">
        <f t="shared" ca="1" si="33"/>
        <v>#VALUE!</v>
      </c>
      <c r="AN34" s="24" t="e">
        <f t="shared" ca="1" si="34"/>
        <v>#VALUE!</v>
      </c>
      <c r="AO34" s="1" t="e">
        <f t="shared" ca="1" si="35"/>
        <v>#VALUE!</v>
      </c>
      <c r="AP34" s="13" t="e">
        <f t="shared" ca="1" si="36"/>
        <v>#VALUE!</v>
      </c>
      <c r="AQ34" s="17" t="e">
        <f t="shared" ca="1" si="37"/>
        <v>#VALUE!</v>
      </c>
      <c r="AS34" s="15" t="e">
        <f t="shared" ca="1" si="38"/>
        <v>#VALUE!</v>
      </c>
      <c r="AT34" s="5">
        <f>'Exception Stores'!$D$2</f>
        <v>0.125</v>
      </c>
      <c r="AU34" s="15" t="e">
        <f t="shared" ca="1" si="39"/>
        <v>#VALUE!</v>
      </c>
      <c r="AV34" s="15" t="e">
        <f t="shared" ca="1" si="40"/>
        <v>#VALUE!</v>
      </c>
      <c r="AW34" s="15" t="e">
        <f t="shared" ca="1" si="41"/>
        <v>#VALUE!</v>
      </c>
      <c r="AX34" s="15" t="e">
        <f t="shared" ca="1" si="42"/>
        <v>#VALUE!</v>
      </c>
      <c r="AY34" s="15" t="e">
        <f t="shared" ca="1" si="43"/>
        <v>#VALUE!</v>
      </c>
      <c r="AZ34" s="1" t="e">
        <f t="shared" ca="1" si="44"/>
        <v>#VALUE!</v>
      </c>
      <c r="BA34" s="15" t="e">
        <f t="shared" ca="1" si="45"/>
        <v>#VALUE!</v>
      </c>
      <c r="BB34" s="15" t="e">
        <f t="shared" ca="1" si="46"/>
        <v>#VALUE!</v>
      </c>
      <c r="BC34" s="1" t="e">
        <f t="shared" ca="1" si="47"/>
        <v>#VALUE!</v>
      </c>
      <c r="BE34" s="15" t="str">
        <f>IF(ISBLANK('Exception Stores'!$A$6),"",'Exception Stores'!$A$6)</f>
        <v/>
      </c>
      <c r="BF34" s="15" t="str">
        <f>IF(ISBLANK('Exception Stores'!$B$6),"",'Exception Stores'!$B$6)</f>
        <v/>
      </c>
      <c r="BG34" s="1">
        <f>IF(ISBLANK('Exception Stores'!$A$6),0,IF($AN$2&gt;$BF$2,($AN$2-$BF$2)*24,0))</f>
        <v>0</v>
      </c>
      <c r="BH34" s="11">
        <f>IF(ISBLANK('Exception Stores'!$A$6),0,($BF$2-$BE$2)*24)</f>
        <v>0</v>
      </c>
      <c r="BI3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34" s="1">
        <f>IF(ISBLANK('Exception Stores'!$A$6),0,IF($AN$2&gt;$BF$2,0,IF(AND($AN$2&lt;$BF$2,$BT$2="B"),(($BF$2-$AN$2)*24)-$BS$2,($BF$2-$AN$2)*24)))</f>
        <v>0</v>
      </c>
      <c r="BL34" s="5"/>
      <c r="BM34" s="5"/>
      <c r="BN34" s="5"/>
      <c r="BO34" s="5"/>
      <c r="BP34" s="5"/>
      <c r="BV34" s="1" t="e">
        <f t="shared" ca="1" si="48"/>
        <v>#VALUE!</v>
      </c>
      <c r="BW34" s="1" t="e">
        <f t="shared" ca="1" si="49"/>
        <v>#VALUE!</v>
      </c>
      <c r="BX34" s="1" t="e">
        <f t="shared" ca="1" si="50"/>
        <v>#VALUE!</v>
      </c>
      <c r="BY34" s="1" t="e">
        <f t="shared" ca="1" si="51"/>
        <v>#VALUE!</v>
      </c>
      <c r="BZ34" s="1" t="e">
        <f t="shared" ca="1" si="52"/>
        <v>#VALUE!</v>
      </c>
      <c r="CB34" s="1" t="str">
        <f>IF(ISBLANK('Exception Stores'!$A$6),"",WEEKDAY($BF$2))</f>
        <v/>
      </c>
      <c r="CC34" s="1" t="str">
        <f>IF(ISBLANK('Exception Stores'!$A$6),"NO",IF('Exception Stores'!$A$6&lt;$AU$2,"YES","NO"))</f>
        <v>NO</v>
      </c>
      <c r="CD34" s="1" t="str">
        <f>IF(ISBLANK('Exception Stores'!$A$6),"NO",IF('Exception Stores'!$A$6&lt;$AV$2,"YES","NO"))</f>
        <v>NO</v>
      </c>
      <c r="CE34" s="1" t="str">
        <f>IF(ISBLANK('Exception Stores'!$A$6),"NO",IF('Exception Stores'!$A$6&lt;$AW$2,"YES","NO"))</f>
        <v>NO</v>
      </c>
      <c r="CF34" s="1" t="str">
        <f>IF(ISBLANK('Exception Stores'!$A$6),"NO",IF('Exception Stores'!$A$6&lt;$AX$2,"YES","NO"))</f>
        <v>NO</v>
      </c>
      <c r="CG34" s="1" t="str">
        <f>IF(ISBLANK('Exception Stores'!$A$6),"NO",IF('Exception Stores'!$A$6&lt;$AY$2,"YES","NO"))</f>
        <v>NO</v>
      </c>
      <c r="CI34" s="42" t="str">
        <f>IF(ISBLANK('Exception Stores'!$B$6),"NO",IF('Exception Stores'!$B$6&lt;=$AU$2,"YES","NO"))</f>
        <v>NO</v>
      </c>
      <c r="CJ34" s="42" t="str">
        <f>IF(ISBLANK('Exception Stores'!$B$6),"NO",IF('Exception Stores'!$B$6&lt;=$AV$2,"YES","NO"))</f>
        <v>NO</v>
      </c>
      <c r="CK34" s="1" t="str">
        <f>IF(ISBLANK('Exception Stores'!$B$6),"NO",IF('Exception Stores'!$B$6&lt;=$AW$2,"YES","NO"))</f>
        <v>NO</v>
      </c>
      <c r="CL34" s="1" t="str">
        <f>IF(ISBLANK('Exception Stores'!$B$6),"NO",IF('Exception Stores'!$B$6&lt;=$AX$2,"YES","NO"))</f>
        <v>NO</v>
      </c>
      <c r="CM34" s="1" t="str">
        <f>IF(ISBLANK('Exception Stores'!$B$6),"NO",IF('Exception Stores'!$B$6&lt;=$AY$2,"YES","NO"))</f>
        <v>NO</v>
      </c>
      <c r="CO34" s="1" t="e">
        <f ca="1">IF(AM34&lt;'Exception Stores'!$A$6,"YES","NO")</f>
        <v>#VALUE!</v>
      </c>
      <c r="CP34" s="1">
        <f t="shared" si="53"/>
        <v>0</v>
      </c>
      <c r="CQ34" s="1">
        <f t="shared" si="54"/>
        <v>0</v>
      </c>
      <c r="CR34" s="1">
        <f t="shared" si="55"/>
        <v>0</v>
      </c>
      <c r="CS34" s="1">
        <f t="shared" si="56"/>
        <v>0</v>
      </c>
      <c r="CT34" s="1">
        <f t="shared" si="57"/>
        <v>0</v>
      </c>
      <c r="CU34" s="1">
        <f t="shared" si="58"/>
        <v>0</v>
      </c>
      <c r="CW34" s="1" t="e">
        <f t="shared" ref="CW34:CW65" ca="1" si="64">IF(BV34="NO",0,1)</f>
        <v>#VALUE!</v>
      </c>
      <c r="CX34" s="1" t="e">
        <f t="shared" ref="CX34:CX65" ca="1" si="65">IF(BW34="NO",0,1)</f>
        <v>#VALUE!</v>
      </c>
      <c r="CY34" s="1" t="e">
        <f t="shared" ref="CY34:CY65" ca="1" si="66">IF(BX34="NO",0,1)</f>
        <v>#VALUE!</v>
      </c>
      <c r="CZ34" s="1" t="e">
        <f t="shared" ref="CZ34:CZ65" ca="1" si="67">IF(BY34="NO",0,1)</f>
        <v>#VALUE!</v>
      </c>
      <c r="DA34" s="1" t="e">
        <f t="shared" ref="DA34:DA65" ca="1" si="68">IF(BZ34="NO",0,1)</f>
        <v>#VALUE!</v>
      </c>
      <c r="DB34" s="26" t="e">
        <f t="shared" ca="1" si="60"/>
        <v>#VALUE!</v>
      </c>
      <c r="DC34" s="1">
        <f t="shared" ref="DC34:DC65" si="69">IF(CC34="NO",0,1)</f>
        <v>0</v>
      </c>
      <c r="DD34" s="1">
        <f t="shared" ref="DD34:DD65" si="70">IF(CD34="NO",0,1)</f>
        <v>0</v>
      </c>
      <c r="DE34" s="1">
        <f t="shared" ref="DE34:DE65" si="71">IF(CE34="NO",0,1)</f>
        <v>0</v>
      </c>
      <c r="DF34" s="1">
        <f t="shared" ref="DF34:DF65" si="72">IF(CF34="NO",0,1)</f>
        <v>0</v>
      </c>
      <c r="DG34" s="1">
        <f t="shared" ref="DG34:DG65" si="73">IF(CG34="NO",0,1)</f>
        <v>0</v>
      </c>
      <c r="DH34" s="26">
        <f t="shared" si="61"/>
        <v>0</v>
      </c>
      <c r="DI34" s="1" t="e">
        <f t="shared" ca="1" si="62"/>
        <v>#VALUE!</v>
      </c>
      <c r="DK34" s="11" t="str">
        <f t="shared" ref="DK34:DK65" si="74">S34</f>
        <v/>
      </c>
      <c r="DL34" s="11" t="e">
        <f ca="1">IF(AND(NOT(ISBLANK('Exception Stores'!$A$6)),CO34="YES"),S34-$BH$2-(DI34*$BS$2)-(CU34*$BS$2),S34-(DB34*$BS$2))</f>
        <v>#VALUE!</v>
      </c>
      <c r="DM34" s="11" t="str">
        <f>IF(ISBLANK(A34),"",IF(COUNTIF(Remaps!$A$2:$A$200,B34)&gt;0,"YES",""))</f>
        <v>YES</v>
      </c>
      <c r="DN34" s="29">
        <f>IFERROR(INDEX(Remaps!$B$2:$B$200,MATCH(B34,Remaps!$A$2:$A$200,0),1),0)</f>
        <v>0</v>
      </c>
      <c r="DO34" s="11" t="e">
        <f t="shared" ref="DO34:DO65" ca="1" si="75">K34/DL34</f>
        <v>#VALUE!</v>
      </c>
      <c r="DP34" s="29" t="e">
        <f t="shared" ref="DP34:DP65" si="76">DN34+K34</f>
        <v>#VALUE!</v>
      </c>
      <c r="DQ34" s="11" t="e">
        <f ca="1">('Apollo Dock Status'!$Z$1-DP34)/DO34</f>
        <v>#VALUE!</v>
      </c>
      <c r="DR34" s="15" t="e">
        <f t="shared" ca="1" si="63"/>
        <v>#VALUE!</v>
      </c>
    </row>
    <row r="35" spans="1:122">
      <c r="A35" s="1" t="str">
        <f>IF(ISBLANK('Apollo Dock Status'!A35),"",'Apollo Dock Status'!A35)</f>
        <v/>
      </c>
      <c r="B35" s="1" t="str">
        <f>IF(ISBLANK('Apollo Dock Status'!B35),"",'Apollo Dock Status'!B35)</f>
        <v/>
      </c>
      <c r="C35" s="1" t="str">
        <f>IF(ISBLANK('Apollo Dock Status'!C35),"",'Apollo Dock Status'!C35)</f>
        <v/>
      </c>
      <c r="D35" s="1" t="str">
        <f>IF(ISBLANK('Apollo Dock Status'!D35),"",'Apollo Dock Status'!D35)</f>
        <v/>
      </c>
      <c r="E35" s="1" t="str">
        <f>IF(ISBLANK('Apollo Dock Status'!E35),"",'Apollo Dock Status'!E35)</f>
        <v/>
      </c>
      <c r="F35" s="1" t="str">
        <f>IF(ISBLANK('Apollo Dock Status'!F35),"",'Apollo Dock Status'!F35)</f>
        <v/>
      </c>
      <c r="G35" s="1" t="str">
        <f>IF(ISBLANK('Apollo Dock Status'!G35),"",'Apollo Dock Status'!G35)</f>
        <v/>
      </c>
      <c r="H35" s="1" t="str">
        <f>IF(ISBLANK('Apollo Dock Status'!H35),"",'Apollo Dock Status'!H35)</f>
        <v/>
      </c>
      <c r="I35" s="1" t="str">
        <f>IF(ISBLANK('Apollo Dock Status'!I35),"",'Apollo Dock Status'!I35)</f>
        <v/>
      </c>
      <c r="J35" s="1" t="str">
        <f>IF(ISBLANK('Apollo Dock Status'!J35),"",'Apollo Dock Status'!J35)</f>
        <v/>
      </c>
      <c r="K35" s="1" t="str">
        <f>IF(ISBLANK('Apollo Dock Status'!K35),"",'Apollo Dock Status'!K35)</f>
        <v/>
      </c>
      <c r="L35" s="1" t="str">
        <f>IF(ISBLANK('Apollo Dock Status'!L35),"",'Apollo Dock Status'!L35)</f>
        <v/>
      </c>
      <c r="M35" s="1" t="str">
        <f>IF(ISBLANK('Apollo Dock Status'!M35),"",'Apollo Dock Status'!M35)</f>
        <v/>
      </c>
      <c r="N35" s="1" t="str">
        <f>IF(ISBLANK('Apollo Dock Status'!N35),"",'Apollo Dock Status'!N35)</f>
        <v/>
      </c>
      <c r="O35" s="1" t="str">
        <f t="shared" si="12"/>
        <v/>
      </c>
      <c r="P35" s="1" t="str">
        <f t="shared" si="13"/>
        <v/>
      </c>
      <c r="Q35" s="1" t="str">
        <f t="shared" si="14"/>
        <v/>
      </c>
      <c r="R35" s="1" t="str">
        <f t="shared" si="15"/>
        <v/>
      </c>
      <c r="S35" s="11" t="str">
        <f t="shared" si="16"/>
        <v/>
      </c>
      <c r="T35" s="1" t="str">
        <f t="shared" si="17"/>
        <v/>
      </c>
      <c r="U35" s="11" t="str">
        <f t="shared" si="18"/>
        <v/>
      </c>
      <c r="V35" s="11" t="str">
        <f t="shared" si="19"/>
        <v/>
      </c>
      <c r="X35" s="1" t="str">
        <f t="shared" si="20"/>
        <v/>
      </c>
      <c r="Y35" s="1" t="str">
        <f t="shared" si="21"/>
        <v/>
      </c>
      <c r="Z35" s="1" t="str">
        <f t="shared" si="22"/>
        <v/>
      </c>
      <c r="AB35" s="13">
        <f t="shared" ca="1" si="23"/>
        <v>46176</v>
      </c>
      <c r="AC35" s="1">
        <f t="shared" ca="1" si="24"/>
        <v>2026</v>
      </c>
      <c r="AD35" s="1" t="str">
        <f t="shared" ca="1" si="25"/>
        <v>6</v>
      </c>
      <c r="AE35" s="1">
        <f t="shared" si="26"/>
        <v>1</v>
      </c>
      <c r="AF35" s="1" t="str">
        <f t="shared" si="27"/>
        <v/>
      </c>
      <c r="AG35" s="1">
        <f t="shared" ca="1" si="28"/>
        <v>2026</v>
      </c>
      <c r="AH35" s="1">
        <f t="shared" si="29"/>
        <v>1</v>
      </c>
      <c r="AI35" s="1" t="str">
        <f t="shared" ca="1" si="30"/>
        <v>6</v>
      </c>
      <c r="AJ35" s="13" t="e">
        <f t="shared" ca="1" si="31"/>
        <v>#VALUE!</v>
      </c>
      <c r="AK35" s="1" t="e">
        <f>IF(ISBLANK(A35),"",IFERROR(MID(F35,SEARCH(", ",F35)+LEN(", "),SEARCH(" "&amp;'Exception Stores'!$A$2,F35)-SEARCH(", ",F35)-LEN(", ")),MID(F35,SEARCH(", ",F35)+LEN(", "),SEARCH(" "&amp;'Exception Stores'!$B$2,F35)-SEARCH(", ",F35)-LEN(", "))))</f>
        <v>#VALUE!</v>
      </c>
      <c r="AL35" s="1" t="e">
        <f t="shared" si="32"/>
        <v>#VALUE!</v>
      </c>
      <c r="AM35" s="15" t="e">
        <f t="shared" ca="1" si="33"/>
        <v>#VALUE!</v>
      </c>
      <c r="AN35" s="24" t="e">
        <f t="shared" ca="1" si="34"/>
        <v>#VALUE!</v>
      </c>
      <c r="AO35" s="1" t="e">
        <f t="shared" ca="1" si="35"/>
        <v>#VALUE!</v>
      </c>
      <c r="AP35" s="13" t="e">
        <f t="shared" ca="1" si="36"/>
        <v>#VALUE!</v>
      </c>
      <c r="AQ35" s="17" t="e">
        <f t="shared" ca="1" si="37"/>
        <v>#VALUE!</v>
      </c>
      <c r="AS35" s="15" t="e">
        <f t="shared" ca="1" si="38"/>
        <v>#VALUE!</v>
      </c>
      <c r="AT35" s="5">
        <f>'Exception Stores'!$D$2</f>
        <v>0.125</v>
      </c>
      <c r="AU35" s="15" t="e">
        <f t="shared" ca="1" si="39"/>
        <v>#VALUE!</v>
      </c>
      <c r="AV35" s="15" t="e">
        <f t="shared" ca="1" si="40"/>
        <v>#VALUE!</v>
      </c>
      <c r="AW35" s="15" t="e">
        <f t="shared" ca="1" si="41"/>
        <v>#VALUE!</v>
      </c>
      <c r="AX35" s="15" t="e">
        <f t="shared" ca="1" si="42"/>
        <v>#VALUE!</v>
      </c>
      <c r="AY35" s="15" t="e">
        <f t="shared" ca="1" si="43"/>
        <v>#VALUE!</v>
      </c>
      <c r="AZ35" s="1" t="e">
        <f t="shared" ca="1" si="44"/>
        <v>#VALUE!</v>
      </c>
      <c r="BA35" s="15" t="e">
        <f t="shared" ca="1" si="45"/>
        <v>#VALUE!</v>
      </c>
      <c r="BB35" s="15" t="e">
        <f t="shared" ca="1" si="46"/>
        <v>#VALUE!</v>
      </c>
      <c r="BC35" s="1" t="e">
        <f t="shared" ca="1" si="47"/>
        <v>#VALUE!</v>
      </c>
      <c r="BE35" s="15" t="str">
        <f>IF(ISBLANK('Exception Stores'!$A$6),"",'Exception Stores'!$A$6)</f>
        <v/>
      </c>
      <c r="BF35" s="15" t="str">
        <f>IF(ISBLANK('Exception Stores'!$B$6),"",'Exception Stores'!$B$6)</f>
        <v/>
      </c>
      <c r="BG35" s="1">
        <f>IF(ISBLANK('Exception Stores'!$A$6),0,IF($AN$2&gt;$BF$2,($AN$2-$BF$2)*24,0))</f>
        <v>0</v>
      </c>
      <c r="BH35" s="11">
        <f>IF(ISBLANK('Exception Stores'!$A$6),0,($BF$2-$BE$2)*24)</f>
        <v>0</v>
      </c>
      <c r="BI3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35" s="1">
        <f>IF(ISBLANK('Exception Stores'!$A$6),0,IF($AN$2&gt;$BF$2,0,IF(AND($AN$2&lt;$BF$2,$BT$2="B"),(($BF$2-$AN$2)*24)-$BS$2,($BF$2-$AN$2)*24)))</f>
        <v>0</v>
      </c>
      <c r="BL35" s="5"/>
      <c r="BM35" s="5"/>
      <c r="BN35" s="5"/>
      <c r="BO35" s="5"/>
      <c r="BP35" s="5"/>
      <c r="BV35" s="1" t="e">
        <f t="shared" ca="1" si="48"/>
        <v>#VALUE!</v>
      </c>
      <c r="BW35" s="1" t="e">
        <f t="shared" ca="1" si="49"/>
        <v>#VALUE!</v>
      </c>
      <c r="BX35" s="1" t="e">
        <f t="shared" ca="1" si="50"/>
        <v>#VALUE!</v>
      </c>
      <c r="BY35" s="1" t="e">
        <f t="shared" ca="1" si="51"/>
        <v>#VALUE!</v>
      </c>
      <c r="BZ35" s="1" t="e">
        <f t="shared" ca="1" si="52"/>
        <v>#VALUE!</v>
      </c>
      <c r="CB35" s="1" t="str">
        <f>IF(ISBLANK('Exception Stores'!$A$6),"",WEEKDAY($BF$2))</f>
        <v/>
      </c>
      <c r="CC35" s="1" t="str">
        <f>IF(ISBLANK('Exception Stores'!$A$6),"NO",IF('Exception Stores'!$A$6&lt;$AU$2,"YES","NO"))</f>
        <v>NO</v>
      </c>
      <c r="CD35" s="1" t="str">
        <f>IF(ISBLANK('Exception Stores'!$A$6),"NO",IF('Exception Stores'!$A$6&lt;$AV$2,"YES","NO"))</f>
        <v>NO</v>
      </c>
      <c r="CE35" s="1" t="str">
        <f>IF(ISBLANK('Exception Stores'!$A$6),"NO",IF('Exception Stores'!$A$6&lt;$AW$2,"YES","NO"))</f>
        <v>NO</v>
      </c>
      <c r="CF35" s="1" t="str">
        <f>IF(ISBLANK('Exception Stores'!$A$6),"NO",IF('Exception Stores'!$A$6&lt;$AX$2,"YES","NO"))</f>
        <v>NO</v>
      </c>
      <c r="CG35" s="1" t="str">
        <f>IF(ISBLANK('Exception Stores'!$A$6),"NO",IF('Exception Stores'!$A$6&lt;$AY$2,"YES","NO"))</f>
        <v>NO</v>
      </c>
      <c r="CI35" s="42" t="str">
        <f>IF(ISBLANK('Exception Stores'!$B$6),"NO",IF('Exception Stores'!$B$6&lt;=$AU$2,"YES","NO"))</f>
        <v>NO</v>
      </c>
      <c r="CJ35" s="42" t="str">
        <f>IF(ISBLANK('Exception Stores'!$B$6),"NO",IF('Exception Stores'!$B$6&lt;=$AV$2,"YES","NO"))</f>
        <v>NO</v>
      </c>
      <c r="CK35" s="1" t="str">
        <f>IF(ISBLANK('Exception Stores'!$B$6),"NO",IF('Exception Stores'!$B$6&lt;=$AW$2,"YES","NO"))</f>
        <v>NO</v>
      </c>
      <c r="CL35" s="1" t="str">
        <f>IF(ISBLANK('Exception Stores'!$B$6),"NO",IF('Exception Stores'!$B$6&lt;=$AX$2,"YES","NO"))</f>
        <v>NO</v>
      </c>
      <c r="CM35" s="1" t="str">
        <f>IF(ISBLANK('Exception Stores'!$B$6),"NO",IF('Exception Stores'!$B$6&lt;=$AY$2,"YES","NO"))</f>
        <v>NO</v>
      </c>
      <c r="CO35" s="1" t="e">
        <f ca="1">IF(AM35&lt;'Exception Stores'!$A$6,"YES","NO")</f>
        <v>#VALUE!</v>
      </c>
      <c r="CP35" s="1">
        <f t="shared" si="53"/>
        <v>0</v>
      </c>
      <c r="CQ35" s="1">
        <f t="shared" si="54"/>
        <v>0</v>
      </c>
      <c r="CR35" s="1">
        <f t="shared" si="55"/>
        <v>0</v>
      </c>
      <c r="CS35" s="1">
        <f t="shared" si="56"/>
        <v>0</v>
      </c>
      <c r="CT35" s="1">
        <f t="shared" si="57"/>
        <v>0</v>
      </c>
      <c r="CU35" s="1">
        <f t="shared" si="58"/>
        <v>0</v>
      </c>
      <c r="CW35" s="1" t="e">
        <f t="shared" ca="1" si="64"/>
        <v>#VALUE!</v>
      </c>
      <c r="CX35" s="1" t="e">
        <f t="shared" ca="1" si="65"/>
        <v>#VALUE!</v>
      </c>
      <c r="CY35" s="1" t="e">
        <f t="shared" ca="1" si="66"/>
        <v>#VALUE!</v>
      </c>
      <c r="CZ35" s="1" t="e">
        <f t="shared" ca="1" si="67"/>
        <v>#VALUE!</v>
      </c>
      <c r="DA35" s="1" t="e">
        <f t="shared" ca="1" si="68"/>
        <v>#VALUE!</v>
      </c>
      <c r="DB35" s="26" t="e">
        <f t="shared" ca="1" si="60"/>
        <v>#VALUE!</v>
      </c>
      <c r="DC35" s="1">
        <f t="shared" si="69"/>
        <v>0</v>
      </c>
      <c r="DD35" s="1">
        <f t="shared" si="70"/>
        <v>0</v>
      </c>
      <c r="DE35" s="1">
        <f t="shared" si="71"/>
        <v>0</v>
      </c>
      <c r="DF35" s="1">
        <f t="shared" si="72"/>
        <v>0</v>
      </c>
      <c r="DG35" s="1">
        <f t="shared" si="73"/>
        <v>0</v>
      </c>
      <c r="DH35" s="26">
        <f t="shared" si="61"/>
        <v>0</v>
      </c>
      <c r="DI35" s="1" t="e">
        <f t="shared" ca="1" si="62"/>
        <v>#VALUE!</v>
      </c>
      <c r="DK35" s="11" t="str">
        <f t="shared" si="74"/>
        <v/>
      </c>
      <c r="DL35" s="11" t="e">
        <f ca="1">IF(AND(NOT(ISBLANK('Exception Stores'!$A$6)),CO35="YES"),S35-$BH$2-(DI35*$BS$2)-(CU35*$BS$2),S35-(DB35*$BS$2))</f>
        <v>#VALUE!</v>
      </c>
      <c r="DM35" s="11" t="str">
        <f>IF(ISBLANK(A35),"",IF(COUNTIF(Remaps!$A$2:$A$200,B35)&gt;0,"YES",""))</f>
        <v>YES</v>
      </c>
      <c r="DN35" s="29">
        <f>IFERROR(INDEX(Remaps!$B$2:$B$200,MATCH(B35,Remaps!$A$2:$A$200,0),1),0)</f>
        <v>0</v>
      </c>
      <c r="DO35" s="11" t="e">
        <f t="shared" ca="1" si="75"/>
        <v>#VALUE!</v>
      </c>
      <c r="DP35" s="29" t="e">
        <f t="shared" si="76"/>
        <v>#VALUE!</v>
      </c>
      <c r="DQ35" s="11" t="e">
        <f ca="1">('Apollo Dock Status'!$Z$1-DP35)/DO35</f>
        <v>#VALUE!</v>
      </c>
      <c r="DR35" s="15" t="e">
        <f t="shared" ca="1" si="63"/>
        <v>#VALUE!</v>
      </c>
    </row>
    <row r="36" spans="1:122">
      <c r="A36" s="1" t="str">
        <f>IF(ISBLANK('Apollo Dock Status'!A36),"",'Apollo Dock Status'!A36)</f>
        <v/>
      </c>
      <c r="B36" s="1" t="str">
        <f>IF(ISBLANK('Apollo Dock Status'!B36),"",'Apollo Dock Status'!B36)</f>
        <v/>
      </c>
      <c r="C36" s="1" t="str">
        <f>IF(ISBLANK('Apollo Dock Status'!C36),"",'Apollo Dock Status'!C36)</f>
        <v/>
      </c>
      <c r="D36" s="1" t="str">
        <f>IF(ISBLANK('Apollo Dock Status'!D36),"",'Apollo Dock Status'!D36)</f>
        <v/>
      </c>
      <c r="E36" s="1" t="str">
        <f>IF(ISBLANK('Apollo Dock Status'!E36),"",'Apollo Dock Status'!E36)</f>
        <v/>
      </c>
      <c r="F36" s="1" t="str">
        <f>IF(ISBLANK('Apollo Dock Status'!F36),"",'Apollo Dock Status'!F36)</f>
        <v/>
      </c>
      <c r="G36" s="1" t="str">
        <f>IF(ISBLANK('Apollo Dock Status'!G36),"",'Apollo Dock Status'!G36)</f>
        <v/>
      </c>
      <c r="H36" s="1" t="str">
        <f>IF(ISBLANK('Apollo Dock Status'!H36),"",'Apollo Dock Status'!H36)</f>
        <v/>
      </c>
      <c r="I36" s="1" t="str">
        <f>IF(ISBLANK('Apollo Dock Status'!I36),"",'Apollo Dock Status'!I36)</f>
        <v/>
      </c>
      <c r="J36" s="1" t="str">
        <f>IF(ISBLANK('Apollo Dock Status'!J36),"",'Apollo Dock Status'!J36)</f>
        <v/>
      </c>
      <c r="K36" s="1" t="str">
        <f>IF(ISBLANK('Apollo Dock Status'!K36),"",'Apollo Dock Status'!K36)</f>
        <v/>
      </c>
      <c r="L36" s="1" t="str">
        <f>IF(ISBLANK('Apollo Dock Status'!L36),"",'Apollo Dock Status'!L36)</f>
        <v/>
      </c>
      <c r="M36" s="1" t="str">
        <f>IF(ISBLANK('Apollo Dock Status'!M36),"",'Apollo Dock Status'!M36)</f>
        <v/>
      </c>
      <c r="N36" s="1" t="str">
        <f>IF(ISBLANK('Apollo Dock Status'!N36),"",'Apollo Dock Status'!N36)</f>
        <v/>
      </c>
      <c r="O36" s="1" t="str">
        <f t="shared" si="12"/>
        <v/>
      </c>
      <c r="P36" s="1" t="str">
        <f t="shared" si="13"/>
        <v/>
      </c>
      <c r="Q36" s="1" t="str">
        <f t="shared" si="14"/>
        <v/>
      </c>
      <c r="R36" s="1" t="str">
        <f t="shared" si="15"/>
        <v/>
      </c>
      <c r="S36" s="11" t="str">
        <f t="shared" si="16"/>
        <v/>
      </c>
      <c r="T36" s="1" t="str">
        <f t="shared" si="17"/>
        <v/>
      </c>
      <c r="U36" s="11" t="str">
        <f t="shared" si="18"/>
        <v/>
      </c>
      <c r="V36" s="11" t="str">
        <f t="shared" si="19"/>
        <v/>
      </c>
      <c r="X36" s="1" t="str">
        <f t="shared" si="20"/>
        <v/>
      </c>
      <c r="Y36" s="1" t="str">
        <f t="shared" si="21"/>
        <v/>
      </c>
      <c r="Z36" s="1" t="str">
        <f t="shared" si="22"/>
        <v/>
      </c>
      <c r="AB36" s="13">
        <f t="shared" ca="1" si="23"/>
        <v>46176</v>
      </c>
      <c r="AC36" s="1">
        <f t="shared" ca="1" si="24"/>
        <v>2026</v>
      </c>
      <c r="AD36" s="1" t="str">
        <f t="shared" ca="1" si="25"/>
        <v>6</v>
      </c>
      <c r="AE36" s="1">
        <f t="shared" si="26"/>
        <v>1</v>
      </c>
      <c r="AF36" s="1" t="str">
        <f t="shared" si="27"/>
        <v/>
      </c>
      <c r="AG36" s="1">
        <f t="shared" ca="1" si="28"/>
        <v>2026</v>
      </c>
      <c r="AH36" s="1">
        <f t="shared" si="29"/>
        <v>1</v>
      </c>
      <c r="AI36" s="1" t="str">
        <f t="shared" ca="1" si="30"/>
        <v>6</v>
      </c>
      <c r="AJ36" s="13" t="e">
        <f t="shared" ca="1" si="31"/>
        <v>#VALUE!</v>
      </c>
      <c r="AK36" s="1" t="e">
        <f>IF(ISBLANK(A36),"",IFERROR(MID(F36,SEARCH(", ",F36)+LEN(", "),SEARCH(" "&amp;'Exception Stores'!$A$2,F36)-SEARCH(", ",F36)-LEN(", ")),MID(F36,SEARCH(", ",F36)+LEN(", "),SEARCH(" "&amp;'Exception Stores'!$B$2,F36)-SEARCH(", ",F36)-LEN(", "))))</f>
        <v>#VALUE!</v>
      </c>
      <c r="AL36" s="1" t="e">
        <f t="shared" si="32"/>
        <v>#VALUE!</v>
      </c>
      <c r="AM36" s="15" t="e">
        <f t="shared" ca="1" si="33"/>
        <v>#VALUE!</v>
      </c>
      <c r="AN36" s="24" t="e">
        <f t="shared" ca="1" si="34"/>
        <v>#VALUE!</v>
      </c>
      <c r="AO36" s="1" t="e">
        <f t="shared" ca="1" si="35"/>
        <v>#VALUE!</v>
      </c>
      <c r="AP36" s="13" t="e">
        <f t="shared" ca="1" si="36"/>
        <v>#VALUE!</v>
      </c>
      <c r="AQ36" s="17" t="e">
        <f t="shared" ca="1" si="37"/>
        <v>#VALUE!</v>
      </c>
      <c r="AS36" s="15" t="e">
        <f t="shared" ca="1" si="38"/>
        <v>#VALUE!</v>
      </c>
      <c r="AT36" s="5">
        <f>'Exception Stores'!$D$2</f>
        <v>0.125</v>
      </c>
      <c r="AU36" s="15" t="e">
        <f t="shared" ca="1" si="39"/>
        <v>#VALUE!</v>
      </c>
      <c r="AV36" s="15" t="e">
        <f t="shared" ca="1" si="40"/>
        <v>#VALUE!</v>
      </c>
      <c r="AW36" s="15" t="e">
        <f t="shared" ca="1" si="41"/>
        <v>#VALUE!</v>
      </c>
      <c r="AX36" s="15" t="e">
        <f t="shared" ca="1" si="42"/>
        <v>#VALUE!</v>
      </c>
      <c r="AY36" s="15" t="e">
        <f t="shared" ca="1" si="43"/>
        <v>#VALUE!</v>
      </c>
      <c r="AZ36" s="1" t="e">
        <f t="shared" ca="1" si="44"/>
        <v>#VALUE!</v>
      </c>
      <c r="BA36" s="15" t="e">
        <f t="shared" ca="1" si="45"/>
        <v>#VALUE!</v>
      </c>
      <c r="BB36" s="15" t="e">
        <f t="shared" ca="1" si="46"/>
        <v>#VALUE!</v>
      </c>
      <c r="BC36" s="1" t="e">
        <f t="shared" ca="1" si="47"/>
        <v>#VALUE!</v>
      </c>
      <c r="BE36" s="15" t="str">
        <f>IF(ISBLANK('Exception Stores'!$A$6),"",'Exception Stores'!$A$6)</f>
        <v/>
      </c>
      <c r="BF36" s="15" t="str">
        <f>IF(ISBLANK('Exception Stores'!$B$6),"",'Exception Stores'!$B$6)</f>
        <v/>
      </c>
      <c r="BG36" s="1">
        <f>IF(ISBLANK('Exception Stores'!$A$6),0,IF($AN$2&gt;$BF$2,($AN$2-$BF$2)*24,0))</f>
        <v>0</v>
      </c>
      <c r="BH36" s="11">
        <f>IF(ISBLANK('Exception Stores'!$A$6),0,($BF$2-$BE$2)*24)</f>
        <v>0</v>
      </c>
      <c r="BI3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36" s="1">
        <f>IF(ISBLANK('Exception Stores'!$A$6),0,IF($AN$2&gt;$BF$2,0,IF(AND($AN$2&lt;$BF$2,$BT$2="B"),(($BF$2-$AN$2)*24)-$BS$2,($BF$2-$AN$2)*24)))</f>
        <v>0</v>
      </c>
      <c r="BL36" s="5"/>
      <c r="BM36" s="5"/>
      <c r="BN36" s="5"/>
      <c r="BO36" s="5"/>
      <c r="BP36" s="5"/>
      <c r="BV36" s="1" t="e">
        <f t="shared" ca="1" si="48"/>
        <v>#VALUE!</v>
      </c>
      <c r="BW36" s="1" t="e">
        <f t="shared" ca="1" si="49"/>
        <v>#VALUE!</v>
      </c>
      <c r="BX36" s="1" t="e">
        <f t="shared" ca="1" si="50"/>
        <v>#VALUE!</v>
      </c>
      <c r="BY36" s="1" t="e">
        <f t="shared" ca="1" si="51"/>
        <v>#VALUE!</v>
      </c>
      <c r="BZ36" s="1" t="e">
        <f t="shared" ca="1" si="52"/>
        <v>#VALUE!</v>
      </c>
      <c r="CB36" s="1" t="str">
        <f>IF(ISBLANK('Exception Stores'!$A$6),"",WEEKDAY($BF$2))</f>
        <v/>
      </c>
      <c r="CC36" s="1" t="str">
        <f>IF(ISBLANK('Exception Stores'!$A$6),"NO",IF('Exception Stores'!$A$6&lt;$AU$2,"YES","NO"))</f>
        <v>NO</v>
      </c>
      <c r="CD36" s="1" t="str">
        <f>IF(ISBLANK('Exception Stores'!$A$6),"NO",IF('Exception Stores'!$A$6&lt;$AV$2,"YES","NO"))</f>
        <v>NO</v>
      </c>
      <c r="CE36" s="1" t="str">
        <f>IF(ISBLANK('Exception Stores'!$A$6),"NO",IF('Exception Stores'!$A$6&lt;$AW$2,"YES","NO"))</f>
        <v>NO</v>
      </c>
      <c r="CF36" s="1" t="str">
        <f>IF(ISBLANK('Exception Stores'!$A$6),"NO",IF('Exception Stores'!$A$6&lt;$AX$2,"YES","NO"))</f>
        <v>NO</v>
      </c>
      <c r="CG36" s="1" t="str">
        <f>IF(ISBLANK('Exception Stores'!$A$6),"NO",IF('Exception Stores'!$A$6&lt;$AY$2,"YES","NO"))</f>
        <v>NO</v>
      </c>
      <c r="CI36" s="42" t="str">
        <f>IF(ISBLANK('Exception Stores'!$B$6),"NO",IF('Exception Stores'!$B$6&lt;=$AU$2,"YES","NO"))</f>
        <v>NO</v>
      </c>
      <c r="CJ36" s="42" t="str">
        <f>IF(ISBLANK('Exception Stores'!$B$6),"NO",IF('Exception Stores'!$B$6&lt;=$AV$2,"YES","NO"))</f>
        <v>NO</v>
      </c>
      <c r="CK36" s="1" t="str">
        <f>IF(ISBLANK('Exception Stores'!$B$6),"NO",IF('Exception Stores'!$B$6&lt;=$AW$2,"YES","NO"))</f>
        <v>NO</v>
      </c>
      <c r="CL36" s="1" t="str">
        <f>IF(ISBLANK('Exception Stores'!$B$6),"NO",IF('Exception Stores'!$B$6&lt;=$AX$2,"YES","NO"))</f>
        <v>NO</v>
      </c>
      <c r="CM36" s="1" t="str">
        <f>IF(ISBLANK('Exception Stores'!$B$6),"NO",IF('Exception Stores'!$B$6&lt;=$AY$2,"YES","NO"))</f>
        <v>NO</v>
      </c>
      <c r="CO36" s="1" t="e">
        <f ca="1">IF(AM36&lt;'Exception Stores'!$A$6,"YES","NO")</f>
        <v>#VALUE!</v>
      </c>
      <c r="CP36" s="1">
        <f t="shared" si="53"/>
        <v>0</v>
      </c>
      <c r="CQ36" s="1">
        <f t="shared" si="54"/>
        <v>0</v>
      </c>
      <c r="CR36" s="1">
        <f t="shared" si="55"/>
        <v>0</v>
      </c>
      <c r="CS36" s="1">
        <f t="shared" si="56"/>
        <v>0</v>
      </c>
      <c r="CT36" s="1">
        <f t="shared" si="57"/>
        <v>0</v>
      </c>
      <c r="CU36" s="1">
        <f t="shared" si="58"/>
        <v>0</v>
      </c>
      <c r="CW36" s="1" t="e">
        <f t="shared" ca="1" si="64"/>
        <v>#VALUE!</v>
      </c>
      <c r="CX36" s="1" t="e">
        <f t="shared" ca="1" si="65"/>
        <v>#VALUE!</v>
      </c>
      <c r="CY36" s="1" t="e">
        <f t="shared" ca="1" si="66"/>
        <v>#VALUE!</v>
      </c>
      <c r="CZ36" s="1" t="e">
        <f t="shared" ca="1" si="67"/>
        <v>#VALUE!</v>
      </c>
      <c r="DA36" s="1" t="e">
        <f t="shared" ca="1" si="68"/>
        <v>#VALUE!</v>
      </c>
      <c r="DB36" s="26" t="e">
        <f t="shared" ca="1" si="60"/>
        <v>#VALUE!</v>
      </c>
      <c r="DC36" s="1">
        <f t="shared" si="69"/>
        <v>0</v>
      </c>
      <c r="DD36" s="1">
        <f t="shared" si="70"/>
        <v>0</v>
      </c>
      <c r="DE36" s="1">
        <f t="shared" si="71"/>
        <v>0</v>
      </c>
      <c r="DF36" s="1">
        <f t="shared" si="72"/>
        <v>0</v>
      </c>
      <c r="DG36" s="1">
        <f t="shared" si="73"/>
        <v>0</v>
      </c>
      <c r="DH36" s="26">
        <f t="shared" si="61"/>
        <v>0</v>
      </c>
      <c r="DI36" s="1" t="e">
        <f t="shared" ca="1" si="62"/>
        <v>#VALUE!</v>
      </c>
      <c r="DK36" s="11" t="str">
        <f t="shared" si="74"/>
        <v/>
      </c>
      <c r="DL36" s="11" t="e">
        <f ca="1">IF(AND(NOT(ISBLANK('Exception Stores'!$A$6)),CO36="YES"),S36-$BH$2-(DI36*$BS$2)-(CU36*$BS$2),S36-(DB36*$BS$2))</f>
        <v>#VALUE!</v>
      </c>
      <c r="DM36" s="11" t="str">
        <f>IF(ISBLANK(A36),"",IF(COUNTIF(Remaps!$A$2:$A$200,B36)&gt;0,"YES",""))</f>
        <v>YES</v>
      </c>
      <c r="DN36" s="29">
        <f>IFERROR(INDEX(Remaps!$B$2:$B$200,MATCH(B36,Remaps!$A$2:$A$200,0),1),0)</f>
        <v>0</v>
      </c>
      <c r="DO36" s="11" t="e">
        <f t="shared" ca="1" si="75"/>
        <v>#VALUE!</v>
      </c>
      <c r="DP36" s="29" t="e">
        <f t="shared" si="76"/>
        <v>#VALUE!</v>
      </c>
      <c r="DQ36" s="11" t="e">
        <f ca="1">('Apollo Dock Status'!$Z$1-DP36)/DO36</f>
        <v>#VALUE!</v>
      </c>
      <c r="DR36" s="15" t="e">
        <f t="shared" ca="1" si="63"/>
        <v>#VALUE!</v>
      </c>
    </row>
    <row r="37" spans="1:122">
      <c r="A37" s="1" t="str">
        <f>IF(ISBLANK('Apollo Dock Status'!A37),"",'Apollo Dock Status'!A37)</f>
        <v/>
      </c>
      <c r="B37" s="1" t="str">
        <f>IF(ISBLANK('Apollo Dock Status'!B37),"",'Apollo Dock Status'!B37)</f>
        <v/>
      </c>
      <c r="C37" s="1" t="str">
        <f>IF(ISBLANK('Apollo Dock Status'!C37),"",'Apollo Dock Status'!C37)</f>
        <v/>
      </c>
      <c r="D37" s="1" t="str">
        <f>IF(ISBLANK('Apollo Dock Status'!D37),"",'Apollo Dock Status'!D37)</f>
        <v/>
      </c>
      <c r="E37" s="1" t="str">
        <f>IF(ISBLANK('Apollo Dock Status'!E37),"",'Apollo Dock Status'!E37)</f>
        <v/>
      </c>
      <c r="F37" s="1" t="str">
        <f>IF(ISBLANK('Apollo Dock Status'!F37),"",'Apollo Dock Status'!F37)</f>
        <v/>
      </c>
      <c r="G37" s="1" t="str">
        <f>IF(ISBLANK('Apollo Dock Status'!G37),"",'Apollo Dock Status'!G37)</f>
        <v/>
      </c>
      <c r="H37" s="1" t="str">
        <f>IF(ISBLANK('Apollo Dock Status'!H37),"",'Apollo Dock Status'!H37)</f>
        <v/>
      </c>
      <c r="I37" s="1" t="str">
        <f>IF(ISBLANK('Apollo Dock Status'!I37),"",'Apollo Dock Status'!I37)</f>
        <v/>
      </c>
      <c r="J37" s="1" t="str">
        <f>IF(ISBLANK('Apollo Dock Status'!J37),"",'Apollo Dock Status'!J37)</f>
        <v/>
      </c>
      <c r="K37" s="1" t="str">
        <f>IF(ISBLANK('Apollo Dock Status'!K37),"",'Apollo Dock Status'!K37)</f>
        <v/>
      </c>
      <c r="L37" s="1" t="str">
        <f>IF(ISBLANK('Apollo Dock Status'!L37),"",'Apollo Dock Status'!L37)</f>
        <v/>
      </c>
      <c r="M37" s="1" t="str">
        <f>IF(ISBLANK('Apollo Dock Status'!M37),"",'Apollo Dock Status'!M37)</f>
        <v/>
      </c>
      <c r="N37" s="1" t="str">
        <f>IF(ISBLANK('Apollo Dock Status'!N37),"",'Apollo Dock Status'!N37)</f>
        <v/>
      </c>
      <c r="O37" s="1" t="str">
        <f t="shared" si="12"/>
        <v/>
      </c>
      <c r="P37" s="1" t="str">
        <f t="shared" si="13"/>
        <v/>
      </c>
      <c r="Q37" s="1" t="str">
        <f t="shared" si="14"/>
        <v/>
      </c>
      <c r="R37" s="1" t="str">
        <f t="shared" si="15"/>
        <v/>
      </c>
      <c r="S37" s="11" t="str">
        <f t="shared" si="16"/>
        <v/>
      </c>
      <c r="T37" s="1" t="str">
        <f t="shared" si="17"/>
        <v/>
      </c>
      <c r="U37" s="11" t="str">
        <f t="shared" si="18"/>
        <v/>
      </c>
      <c r="V37" s="11" t="str">
        <f t="shared" si="19"/>
        <v/>
      </c>
      <c r="X37" s="1" t="str">
        <f t="shared" si="20"/>
        <v/>
      </c>
      <c r="Y37" s="1" t="str">
        <f t="shared" si="21"/>
        <v/>
      </c>
      <c r="Z37" s="1" t="str">
        <f t="shared" si="22"/>
        <v/>
      </c>
      <c r="AB37" s="13">
        <f t="shared" ca="1" si="23"/>
        <v>46176</v>
      </c>
      <c r="AC37" s="1">
        <f t="shared" ca="1" si="24"/>
        <v>2026</v>
      </c>
      <c r="AD37" s="1" t="str">
        <f t="shared" ca="1" si="25"/>
        <v>6</v>
      </c>
      <c r="AE37" s="1">
        <f t="shared" si="26"/>
        <v>1</v>
      </c>
      <c r="AF37" s="1" t="str">
        <f t="shared" si="27"/>
        <v/>
      </c>
      <c r="AG37" s="1">
        <f t="shared" ca="1" si="28"/>
        <v>2026</v>
      </c>
      <c r="AH37" s="1">
        <f t="shared" si="29"/>
        <v>1</v>
      </c>
      <c r="AI37" s="1" t="str">
        <f t="shared" ca="1" si="30"/>
        <v>6</v>
      </c>
      <c r="AJ37" s="13" t="e">
        <f t="shared" ca="1" si="31"/>
        <v>#VALUE!</v>
      </c>
      <c r="AK37" s="1" t="e">
        <f>IF(ISBLANK(A37),"",IFERROR(MID(F37,SEARCH(", ",F37)+LEN(", "),SEARCH(" "&amp;'Exception Stores'!$A$2,F37)-SEARCH(", ",F37)-LEN(", ")),MID(F37,SEARCH(", ",F37)+LEN(", "),SEARCH(" "&amp;'Exception Stores'!$B$2,F37)-SEARCH(", ",F37)-LEN(", "))))</f>
        <v>#VALUE!</v>
      </c>
      <c r="AL37" s="1" t="e">
        <f t="shared" si="32"/>
        <v>#VALUE!</v>
      </c>
      <c r="AM37" s="15" t="e">
        <f t="shared" ca="1" si="33"/>
        <v>#VALUE!</v>
      </c>
      <c r="AN37" s="24" t="e">
        <f t="shared" ca="1" si="34"/>
        <v>#VALUE!</v>
      </c>
      <c r="AO37" s="1" t="e">
        <f t="shared" ca="1" si="35"/>
        <v>#VALUE!</v>
      </c>
      <c r="AP37" s="13" t="e">
        <f t="shared" ca="1" si="36"/>
        <v>#VALUE!</v>
      </c>
      <c r="AQ37" s="17" t="e">
        <f t="shared" ca="1" si="37"/>
        <v>#VALUE!</v>
      </c>
      <c r="AS37" s="15" t="e">
        <f t="shared" ca="1" si="38"/>
        <v>#VALUE!</v>
      </c>
      <c r="AT37" s="5">
        <f>'Exception Stores'!$D$2</f>
        <v>0.125</v>
      </c>
      <c r="AU37" s="15" t="e">
        <f t="shared" ca="1" si="39"/>
        <v>#VALUE!</v>
      </c>
      <c r="AV37" s="15" t="e">
        <f t="shared" ca="1" si="40"/>
        <v>#VALUE!</v>
      </c>
      <c r="AW37" s="15" t="e">
        <f t="shared" ca="1" si="41"/>
        <v>#VALUE!</v>
      </c>
      <c r="AX37" s="15" t="e">
        <f t="shared" ca="1" si="42"/>
        <v>#VALUE!</v>
      </c>
      <c r="AY37" s="15" t="e">
        <f t="shared" ca="1" si="43"/>
        <v>#VALUE!</v>
      </c>
      <c r="AZ37" s="1" t="e">
        <f t="shared" ca="1" si="44"/>
        <v>#VALUE!</v>
      </c>
      <c r="BA37" s="15" t="e">
        <f t="shared" ca="1" si="45"/>
        <v>#VALUE!</v>
      </c>
      <c r="BB37" s="15" t="e">
        <f t="shared" ca="1" si="46"/>
        <v>#VALUE!</v>
      </c>
      <c r="BC37" s="1" t="e">
        <f t="shared" ca="1" si="47"/>
        <v>#VALUE!</v>
      </c>
      <c r="BE37" s="15" t="str">
        <f>IF(ISBLANK('Exception Stores'!$A$6),"",'Exception Stores'!$A$6)</f>
        <v/>
      </c>
      <c r="BF37" s="15" t="str">
        <f>IF(ISBLANK('Exception Stores'!$B$6),"",'Exception Stores'!$B$6)</f>
        <v/>
      </c>
      <c r="BG37" s="1">
        <f>IF(ISBLANK('Exception Stores'!$A$6),0,IF($AN$2&gt;$BF$2,($AN$2-$BF$2)*24,0))</f>
        <v>0</v>
      </c>
      <c r="BH37" s="11">
        <f>IF(ISBLANK('Exception Stores'!$A$6),0,($BF$2-$BE$2)*24)</f>
        <v>0</v>
      </c>
      <c r="BI3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37" s="1">
        <f>IF(ISBLANK('Exception Stores'!$A$6),0,IF($AN$2&gt;$BF$2,0,IF(AND($AN$2&lt;$BF$2,$BT$2="B"),(($BF$2-$AN$2)*24)-$BS$2,($BF$2-$AN$2)*24)))</f>
        <v>0</v>
      </c>
      <c r="BL37" s="5"/>
      <c r="BM37" s="5"/>
      <c r="BN37" s="5"/>
      <c r="BO37" s="5"/>
      <c r="BP37" s="5"/>
      <c r="BV37" s="1" t="e">
        <f t="shared" ca="1" si="48"/>
        <v>#VALUE!</v>
      </c>
      <c r="BW37" s="1" t="e">
        <f t="shared" ca="1" si="49"/>
        <v>#VALUE!</v>
      </c>
      <c r="BX37" s="1" t="e">
        <f t="shared" ca="1" si="50"/>
        <v>#VALUE!</v>
      </c>
      <c r="BY37" s="1" t="e">
        <f t="shared" ca="1" si="51"/>
        <v>#VALUE!</v>
      </c>
      <c r="BZ37" s="1" t="e">
        <f t="shared" ca="1" si="52"/>
        <v>#VALUE!</v>
      </c>
      <c r="CB37" s="1" t="str">
        <f>IF(ISBLANK('Exception Stores'!$A$6),"",WEEKDAY($BF$2))</f>
        <v/>
      </c>
      <c r="CC37" s="1" t="str">
        <f>IF(ISBLANK('Exception Stores'!$A$6),"NO",IF('Exception Stores'!$A$6&lt;$AU$2,"YES","NO"))</f>
        <v>NO</v>
      </c>
      <c r="CD37" s="1" t="str">
        <f>IF(ISBLANK('Exception Stores'!$A$6),"NO",IF('Exception Stores'!$A$6&lt;$AV$2,"YES","NO"))</f>
        <v>NO</v>
      </c>
      <c r="CE37" s="1" t="str">
        <f>IF(ISBLANK('Exception Stores'!$A$6),"NO",IF('Exception Stores'!$A$6&lt;$AW$2,"YES","NO"))</f>
        <v>NO</v>
      </c>
      <c r="CF37" s="1" t="str">
        <f>IF(ISBLANK('Exception Stores'!$A$6),"NO",IF('Exception Stores'!$A$6&lt;$AX$2,"YES","NO"))</f>
        <v>NO</v>
      </c>
      <c r="CG37" s="1" t="str">
        <f>IF(ISBLANK('Exception Stores'!$A$6),"NO",IF('Exception Stores'!$A$6&lt;$AY$2,"YES","NO"))</f>
        <v>NO</v>
      </c>
      <c r="CI37" s="42" t="str">
        <f>IF(ISBLANK('Exception Stores'!$B$6),"NO",IF('Exception Stores'!$B$6&lt;=$AU$2,"YES","NO"))</f>
        <v>NO</v>
      </c>
      <c r="CJ37" s="42" t="str">
        <f>IF(ISBLANK('Exception Stores'!$B$6),"NO",IF('Exception Stores'!$B$6&lt;=$AV$2,"YES","NO"))</f>
        <v>NO</v>
      </c>
      <c r="CK37" s="1" t="str">
        <f>IF(ISBLANK('Exception Stores'!$B$6),"NO",IF('Exception Stores'!$B$6&lt;=$AW$2,"YES","NO"))</f>
        <v>NO</v>
      </c>
      <c r="CL37" s="1" t="str">
        <f>IF(ISBLANK('Exception Stores'!$B$6),"NO",IF('Exception Stores'!$B$6&lt;=$AX$2,"YES","NO"))</f>
        <v>NO</v>
      </c>
      <c r="CM37" s="1" t="str">
        <f>IF(ISBLANK('Exception Stores'!$B$6),"NO",IF('Exception Stores'!$B$6&lt;=$AY$2,"YES","NO"))</f>
        <v>NO</v>
      </c>
      <c r="CO37" s="1" t="e">
        <f ca="1">IF(AM37&lt;'Exception Stores'!$A$6,"YES","NO")</f>
        <v>#VALUE!</v>
      </c>
      <c r="CP37" s="1">
        <f t="shared" si="53"/>
        <v>0</v>
      </c>
      <c r="CQ37" s="1">
        <f t="shared" si="54"/>
        <v>0</v>
      </c>
      <c r="CR37" s="1">
        <f t="shared" si="55"/>
        <v>0</v>
      </c>
      <c r="CS37" s="1">
        <f t="shared" si="56"/>
        <v>0</v>
      </c>
      <c r="CT37" s="1">
        <f t="shared" si="57"/>
        <v>0</v>
      </c>
      <c r="CU37" s="1">
        <f t="shared" si="58"/>
        <v>0</v>
      </c>
      <c r="CW37" s="1" t="e">
        <f t="shared" ca="1" si="64"/>
        <v>#VALUE!</v>
      </c>
      <c r="CX37" s="1" t="e">
        <f t="shared" ca="1" si="65"/>
        <v>#VALUE!</v>
      </c>
      <c r="CY37" s="1" t="e">
        <f t="shared" ca="1" si="66"/>
        <v>#VALUE!</v>
      </c>
      <c r="CZ37" s="1" t="e">
        <f t="shared" ca="1" si="67"/>
        <v>#VALUE!</v>
      </c>
      <c r="DA37" s="1" t="e">
        <f t="shared" ca="1" si="68"/>
        <v>#VALUE!</v>
      </c>
      <c r="DB37" s="26" t="e">
        <f t="shared" ca="1" si="60"/>
        <v>#VALUE!</v>
      </c>
      <c r="DC37" s="1">
        <f t="shared" si="69"/>
        <v>0</v>
      </c>
      <c r="DD37" s="1">
        <f t="shared" si="70"/>
        <v>0</v>
      </c>
      <c r="DE37" s="1">
        <f t="shared" si="71"/>
        <v>0</v>
      </c>
      <c r="DF37" s="1">
        <f t="shared" si="72"/>
        <v>0</v>
      </c>
      <c r="DG37" s="1">
        <f t="shared" si="73"/>
        <v>0</v>
      </c>
      <c r="DH37" s="26">
        <f t="shared" si="61"/>
        <v>0</v>
      </c>
      <c r="DI37" s="1" t="e">
        <f t="shared" ca="1" si="62"/>
        <v>#VALUE!</v>
      </c>
      <c r="DK37" s="11" t="str">
        <f t="shared" si="74"/>
        <v/>
      </c>
      <c r="DL37" s="11" t="e">
        <f ca="1">IF(AND(NOT(ISBLANK('Exception Stores'!$A$6)),CO37="YES"),S37-$BH$2-(DI37*$BS$2)-(CU37*$BS$2),S37-(DB37*$BS$2))</f>
        <v>#VALUE!</v>
      </c>
      <c r="DM37" s="11" t="str">
        <f>IF(ISBLANK(A37),"",IF(COUNTIF(Remaps!$A$2:$A$200,B37)&gt;0,"YES",""))</f>
        <v>YES</v>
      </c>
      <c r="DN37" s="29">
        <f>IFERROR(INDEX(Remaps!$B$2:$B$200,MATCH(B37,Remaps!$A$2:$A$200,0),1),0)</f>
        <v>0</v>
      </c>
      <c r="DO37" s="11" t="e">
        <f t="shared" ca="1" si="75"/>
        <v>#VALUE!</v>
      </c>
      <c r="DP37" s="29" t="e">
        <f t="shared" si="76"/>
        <v>#VALUE!</v>
      </c>
      <c r="DQ37" s="11" t="e">
        <f ca="1">('Apollo Dock Status'!$Z$1-DP37)/DO37</f>
        <v>#VALUE!</v>
      </c>
      <c r="DR37" s="15" t="e">
        <f t="shared" ca="1" si="63"/>
        <v>#VALUE!</v>
      </c>
    </row>
    <row r="38" spans="1:122">
      <c r="A38" s="1" t="str">
        <f>IF(ISBLANK('Apollo Dock Status'!A38),"",'Apollo Dock Status'!A38)</f>
        <v/>
      </c>
      <c r="B38" s="1" t="str">
        <f>IF(ISBLANK('Apollo Dock Status'!B38),"",'Apollo Dock Status'!B38)</f>
        <v/>
      </c>
      <c r="C38" s="1" t="str">
        <f>IF(ISBLANK('Apollo Dock Status'!C38),"",'Apollo Dock Status'!C38)</f>
        <v/>
      </c>
      <c r="D38" s="1" t="str">
        <f>IF(ISBLANK('Apollo Dock Status'!D38),"",'Apollo Dock Status'!D38)</f>
        <v/>
      </c>
      <c r="E38" s="1" t="str">
        <f>IF(ISBLANK('Apollo Dock Status'!E38),"",'Apollo Dock Status'!E38)</f>
        <v/>
      </c>
      <c r="F38" s="1" t="str">
        <f>IF(ISBLANK('Apollo Dock Status'!F38),"",'Apollo Dock Status'!F38)</f>
        <v/>
      </c>
      <c r="G38" s="1" t="str">
        <f>IF(ISBLANK('Apollo Dock Status'!G38),"",'Apollo Dock Status'!G38)</f>
        <v/>
      </c>
      <c r="H38" s="1" t="str">
        <f>IF(ISBLANK('Apollo Dock Status'!H38),"",'Apollo Dock Status'!H38)</f>
        <v/>
      </c>
      <c r="I38" s="1" t="str">
        <f>IF(ISBLANK('Apollo Dock Status'!I38),"",'Apollo Dock Status'!I38)</f>
        <v/>
      </c>
      <c r="J38" s="1" t="str">
        <f>IF(ISBLANK('Apollo Dock Status'!J38),"",'Apollo Dock Status'!J38)</f>
        <v/>
      </c>
      <c r="K38" s="1" t="str">
        <f>IF(ISBLANK('Apollo Dock Status'!K38),"",'Apollo Dock Status'!K38)</f>
        <v/>
      </c>
      <c r="L38" s="1" t="str">
        <f>IF(ISBLANK('Apollo Dock Status'!L38),"",'Apollo Dock Status'!L38)</f>
        <v/>
      </c>
      <c r="M38" s="1" t="str">
        <f>IF(ISBLANK('Apollo Dock Status'!M38),"",'Apollo Dock Status'!M38)</f>
        <v/>
      </c>
      <c r="N38" s="1" t="str">
        <f>IF(ISBLANK('Apollo Dock Status'!N38),"",'Apollo Dock Status'!N38)</f>
        <v/>
      </c>
      <c r="O38" s="1" t="str">
        <f t="shared" si="12"/>
        <v/>
      </c>
      <c r="P38" s="1" t="str">
        <f t="shared" si="13"/>
        <v/>
      </c>
      <c r="Q38" s="1" t="str">
        <f t="shared" si="14"/>
        <v/>
      </c>
      <c r="R38" s="1" t="str">
        <f t="shared" si="15"/>
        <v/>
      </c>
      <c r="S38" s="11" t="str">
        <f t="shared" si="16"/>
        <v/>
      </c>
      <c r="T38" s="1" t="str">
        <f t="shared" si="17"/>
        <v/>
      </c>
      <c r="U38" s="11" t="str">
        <f t="shared" si="18"/>
        <v/>
      </c>
      <c r="V38" s="11" t="str">
        <f t="shared" si="19"/>
        <v/>
      </c>
      <c r="X38" s="1" t="str">
        <f t="shared" si="20"/>
        <v/>
      </c>
      <c r="Y38" s="1" t="str">
        <f t="shared" si="21"/>
        <v/>
      </c>
      <c r="Z38" s="1" t="str">
        <f t="shared" si="22"/>
        <v/>
      </c>
      <c r="AB38" s="13">
        <f t="shared" ca="1" si="23"/>
        <v>46176</v>
      </c>
      <c r="AC38" s="1">
        <f t="shared" ca="1" si="24"/>
        <v>2026</v>
      </c>
      <c r="AD38" s="1" t="str">
        <f t="shared" ca="1" si="25"/>
        <v>6</v>
      </c>
      <c r="AE38" s="1">
        <f t="shared" si="26"/>
        <v>1</v>
      </c>
      <c r="AF38" s="1" t="str">
        <f t="shared" si="27"/>
        <v/>
      </c>
      <c r="AG38" s="1">
        <f t="shared" ca="1" si="28"/>
        <v>2026</v>
      </c>
      <c r="AH38" s="1">
        <f t="shared" si="29"/>
        <v>1</v>
      </c>
      <c r="AI38" s="1" t="str">
        <f t="shared" ca="1" si="30"/>
        <v>6</v>
      </c>
      <c r="AJ38" s="13" t="e">
        <f t="shared" ca="1" si="31"/>
        <v>#VALUE!</v>
      </c>
      <c r="AK38" s="1" t="e">
        <f>IF(ISBLANK(A38),"",IFERROR(MID(F38,SEARCH(", ",F38)+LEN(", "),SEARCH(" "&amp;'Exception Stores'!$A$2,F38)-SEARCH(", ",F38)-LEN(", ")),MID(F38,SEARCH(", ",F38)+LEN(", "),SEARCH(" "&amp;'Exception Stores'!$B$2,F38)-SEARCH(", ",F38)-LEN(", "))))</f>
        <v>#VALUE!</v>
      </c>
      <c r="AL38" s="1" t="e">
        <f t="shared" si="32"/>
        <v>#VALUE!</v>
      </c>
      <c r="AM38" s="15" t="e">
        <f t="shared" ca="1" si="33"/>
        <v>#VALUE!</v>
      </c>
      <c r="AN38" s="24" t="e">
        <f t="shared" ca="1" si="34"/>
        <v>#VALUE!</v>
      </c>
      <c r="AO38" s="1" t="e">
        <f t="shared" ca="1" si="35"/>
        <v>#VALUE!</v>
      </c>
      <c r="AP38" s="13" t="e">
        <f t="shared" ca="1" si="36"/>
        <v>#VALUE!</v>
      </c>
      <c r="AQ38" s="17" t="e">
        <f t="shared" ca="1" si="37"/>
        <v>#VALUE!</v>
      </c>
      <c r="AS38" s="15" t="e">
        <f t="shared" ca="1" si="38"/>
        <v>#VALUE!</v>
      </c>
      <c r="AT38" s="5">
        <f>'Exception Stores'!$D$2</f>
        <v>0.125</v>
      </c>
      <c r="AU38" s="15" t="e">
        <f t="shared" ca="1" si="39"/>
        <v>#VALUE!</v>
      </c>
      <c r="AV38" s="15" t="e">
        <f t="shared" ca="1" si="40"/>
        <v>#VALUE!</v>
      </c>
      <c r="AW38" s="15" t="e">
        <f t="shared" ca="1" si="41"/>
        <v>#VALUE!</v>
      </c>
      <c r="AX38" s="15" t="e">
        <f t="shared" ca="1" si="42"/>
        <v>#VALUE!</v>
      </c>
      <c r="AY38" s="15" t="e">
        <f t="shared" ca="1" si="43"/>
        <v>#VALUE!</v>
      </c>
      <c r="AZ38" s="1" t="e">
        <f t="shared" ca="1" si="44"/>
        <v>#VALUE!</v>
      </c>
      <c r="BA38" s="15" t="e">
        <f t="shared" ca="1" si="45"/>
        <v>#VALUE!</v>
      </c>
      <c r="BB38" s="15" t="e">
        <f t="shared" ca="1" si="46"/>
        <v>#VALUE!</v>
      </c>
      <c r="BC38" s="1" t="e">
        <f t="shared" ca="1" si="47"/>
        <v>#VALUE!</v>
      </c>
      <c r="BE38" s="15" t="str">
        <f>IF(ISBLANK('Exception Stores'!$A$6),"",'Exception Stores'!$A$6)</f>
        <v/>
      </c>
      <c r="BF38" s="15" t="str">
        <f>IF(ISBLANK('Exception Stores'!$B$6),"",'Exception Stores'!$B$6)</f>
        <v/>
      </c>
      <c r="BG38" s="1">
        <f>IF(ISBLANK('Exception Stores'!$A$6),0,IF($AN$2&gt;$BF$2,($AN$2-$BF$2)*24,0))</f>
        <v>0</v>
      </c>
      <c r="BH38" s="11">
        <f>IF(ISBLANK('Exception Stores'!$A$6),0,($BF$2-$BE$2)*24)</f>
        <v>0</v>
      </c>
      <c r="BI3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38" s="1">
        <f>IF(ISBLANK('Exception Stores'!$A$6),0,IF($AN$2&gt;$BF$2,0,IF(AND($AN$2&lt;$BF$2,$BT$2="B"),(($BF$2-$AN$2)*24)-$BS$2,($BF$2-$AN$2)*24)))</f>
        <v>0</v>
      </c>
      <c r="BL38" s="5"/>
      <c r="BM38" s="5"/>
      <c r="BN38" s="5"/>
      <c r="BO38" s="5"/>
      <c r="BP38" s="5"/>
      <c r="BV38" s="1" t="e">
        <f t="shared" ca="1" si="48"/>
        <v>#VALUE!</v>
      </c>
      <c r="BW38" s="1" t="e">
        <f t="shared" ca="1" si="49"/>
        <v>#VALUE!</v>
      </c>
      <c r="BX38" s="1" t="e">
        <f t="shared" ca="1" si="50"/>
        <v>#VALUE!</v>
      </c>
      <c r="BY38" s="1" t="e">
        <f t="shared" ca="1" si="51"/>
        <v>#VALUE!</v>
      </c>
      <c r="BZ38" s="1" t="e">
        <f t="shared" ca="1" si="52"/>
        <v>#VALUE!</v>
      </c>
      <c r="CB38" s="1" t="str">
        <f>IF(ISBLANK('Exception Stores'!$A$6),"",WEEKDAY($BF$2))</f>
        <v/>
      </c>
      <c r="CC38" s="1" t="str">
        <f>IF(ISBLANK('Exception Stores'!$A$6),"NO",IF('Exception Stores'!$A$6&lt;$AU$2,"YES","NO"))</f>
        <v>NO</v>
      </c>
      <c r="CD38" s="1" t="str">
        <f>IF(ISBLANK('Exception Stores'!$A$6),"NO",IF('Exception Stores'!$A$6&lt;$AV$2,"YES","NO"))</f>
        <v>NO</v>
      </c>
      <c r="CE38" s="1" t="str">
        <f>IF(ISBLANK('Exception Stores'!$A$6),"NO",IF('Exception Stores'!$A$6&lt;$AW$2,"YES","NO"))</f>
        <v>NO</v>
      </c>
      <c r="CF38" s="1" t="str">
        <f>IF(ISBLANK('Exception Stores'!$A$6),"NO",IF('Exception Stores'!$A$6&lt;$AX$2,"YES","NO"))</f>
        <v>NO</v>
      </c>
      <c r="CG38" s="1" t="str">
        <f>IF(ISBLANK('Exception Stores'!$A$6),"NO",IF('Exception Stores'!$A$6&lt;$AY$2,"YES","NO"))</f>
        <v>NO</v>
      </c>
      <c r="CI38" s="42" t="str">
        <f>IF(ISBLANK('Exception Stores'!$B$6),"NO",IF('Exception Stores'!$B$6&lt;=$AU$2,"YES","NO"))</f>
        <v>NO</v>
      </c>
      <c r="CJ38" s="42" t="str">
        <f>IF(ISBLANK('Exception Stores'!$B$6),"NO",IF('Exception Stores'!$B$6&lt;=$AV$2,"YES","NO"))</f>
        <v>NO</v>
      </c>
      <c r="CK38" s="1" t="str">
        <f>IF(ISBLANK('Exception Stores'!$B$6),"NO",IF('Exception Stores'!$B$6&lt;=$AW$2,"YES","NO"))</f>
        <v>NO</v>
      </c>
      <c r="CL38" s="1" t="str">
        <f>IF(ISBLANK('Exception Stores'!$B$6),"NO",IF('Exception Stores'!$B$6&lt;=$AX$2,"YES","NO"))</f>
        <v>NO</v>
      </c>
      <c r="CM38" s="1" t="str">
        <f>IF(ISBLANK('Exception Stores'!$B$6),"NO",IF('Exception Stores'!$B$6&lt;=$AY$2,"YES","NO"))</f>
        <v>NO</v>
      </c>
      <c r="CO38" s="1" t="e">
        <f ca="1">IF(AM38&lt;'Exception Stores'!$A$6,"YES","NO")</f>
        <v>#VALUE!</v>
      </c>
      <c r="CP38" s="1">
        <f t="shared" si="53"/>
        <v>0</v>
      </c>
      <c r="CQ38" s="1">
        <f t="shared" si="54"/>
        <v>0</v>
      </c>
      <c r="CR38" s="1">
        <f t="shared" si="55"/>
        <v>0</v>
      </c>
      <c r="CS38" s="1">
        <f t="shared" si="56"/>
        <v>0</v>
      </c>
      <c r="CT38" s="1">
        <f t="shared" si="57"/>
        <v>0</v>
      </c>
      <c r="CU38" s="1">
        <f t="shared" si="58"/>
        <v>0</v>
      </c>
      <c r="CW38" s="1" t="e">
        <f t="shared" ca="1" si="64"/>
        <v>#VALUE!</v>
      </c>
      <c r="CX38" s="1" t="e">
        <f t="shared" ca="1" si="65"/>
        <v>#VALUE!</v>
      </c>
      <c r="CY38" s="1" t="e">
        <f t="shared" ca="1" si="66"/>
        <v>#VALUE!</v>
      </c>
      <c r="CZ38" s="1" t="e">
        <f t="shared" ca="1" si="67"/>
        <v>#VALUE!</v>
      </c>
      <c r="DA38" s="1" t="e">
        <f t="shared" ca="1" si="68"/>
        <v>#VALUE!</v>
      </c>
      <c r="DB38" s="26" t="e">
        <f t="shared" ca="1" si="60"/>
        <v>#VALUE!</v>
      </c>
      <c r="DC38" s="1">
        <f t="shared" si="69"/>
        <v>0</v>
      </c>
      <c r="DD38" s="1">
        <f t="shared" si="70"/>
        <v>0</v>
      </c>
      <c r="DE38" s="1">
        <f t="shared" si="71"/>
        <v>0</v>
      </c>
      <c r="DF38" s="1">
        <f t="shared" si="72"/>
        <v>0</v>
      </c>
      <c r="DG38" s="1">
        <f t="shared" si="73"/>
        <v>0</v>
      </c>
      <c r="DH38" s="26">
        <f t="shared" si="61"/>
        <v>0</v>
      </c>
      <c r="DI38" s="1" t="e">
        <f t="shared" ca="1" si="62"/>
        <v>#VALUE!</v>
      </c>
      <c r="DK38" s="11" t="str">
        <f t="shared" si="74"/>
        <v/>
      </c>
      <c r="DL38" s="11" t="e">
        <f ca="1">IF(AND(NOT(ISBLANK('Exception Stores'!$A$6)),CO38="YES"),S38-$BH$2-(DI38*$BS$2)-(CU38*$BS$2),S38-(DB38*$BS$2))</f>
        <v>#VALUE!</v>
      </c>
      <c r="DM38" s="11" t="str">
        <f>IF(ISBLANK(A38),"",IF(COUNTIF(Remaps!$A$2:$A$200,B38)&gt;0,"YES",""))</f>
        <v>YES</v>
      </c>
      <c r="DN38" s="29">
        <f>IFERROR(INDEX(Remaps!$B$2:$B$200,MATCH(B38,Remaps!$A$2:$A$200,0),1),0)</f>
        <v>0</v>
      </c>
      <c r="DO38" s="11" t="e">
        <f t="shared" ca="1" si="75"/>
        <v>#VALUE!</v>
      </c>
      <c r="DP38" s="29" t="e">
        <f t="shared" si="76"/>
        <v>#VALUE!</v>
      </c>
      <c r="DQ38" s="11" t="e">
        <f ca="1">('Apollo Dock Status'!$Z$1-DP38)/DO38</f>
        <v>#VALUE!</v>
      </c>
      <c r="DR38" s="15" t="e">
        <f t="shared" ca="1" si="63"/>
        <v>#VALUE!</v>
      </c>
    </row>
    <row r="39" spans="1:122">
      <c r="A39" s="1" t="str">
        <f>IF(ISBLANK('Apollo Dock Status'!A39),"",'Apollo Dock Status'!A39)</f>
        <v/>
      </c>
      <c r="B39" s="1" t="str">
        <f>IF(ISBLANK('Apollo Dock Status'!B39),"",'Apollo Dock Status'!B39)</f>
        <v/>
      </c>
      <c r="C39" s="1" t="str">
        <f>IF(ISBLANK('Apollo Dock Status'!C39),"",'Apollo Dock Status'!C39)</f>
        <v/>
      </c>
      <c r="D39" s="1" t="str">
        <f>IF(ISBLANK('Apollo Dock Status'!D39),"",'Apollo Dock Status'!D39)</f>
        <v/>
      </c>
      <c r="E39" s="1" t="str">
        <f>IF(ISBLANK('Apollo Dock Status'!E39),"",'Apollo Dock Status'!E39)</f>
        <v/>
      </c>
      <c r="F39" s="1" t="str">
        <f>IF(ISBLANK('Apollo Dock Status'!F39),"",'Apollo Dock Status'!F39)</f>
        <v/>
      </c>
      <c r="G39" s="1" t="str">
        <f>IF(ISBLANK('Apollo Dock Status'!G39),"",'Apollo Dock Status'!G39)</f>
        <v/>
      </c>
      <c r="H39" s="1" t="str">
        <f>IF(ISBLANK('Apollo Dock Status'!H39),"",'Apollo Dock Status'!H39)</f>
        <v/>
      </c>
      <c r="I39" s="1" t="str">
        <f>IF(ISBLANK('Apollo Dock Status'!I39),"",'Apollo Dock Status'!I39)</f>
        <v/>
      </c>
      <c r="J39" s="1" t="str">
        <f>IF(ISBLANK('Apollo Dock Status'!J39),"",'Apollo Dock Status'!J39)</f>
        <v/>
      </c>
      <c r="K39" s="1" t="str">
        <f>IF(ISBLANK('Apollo Dock Status'!K39),"",'Apollo Dock Status'!K39)</f>
        <v/>
      </c>
      <c r="L39" s="1" t="str">
        <f>IF(ISBLANK('Apollo Dock Status'!L39),"",'Apollo Dock Status'!L39)</f>
        <v/>
      </c>
      <c r="M39" s="1" t="str">
        <f>IF(ISBLANK('Apollo Dock Status'!M39),"",'Apollo Dock Status'!M39)</f>
        <v/>
      </c>
      <c r="N39" s="1" t="str">
        <f>IF(ISBLANK('Apollo Dock Status'!N39),"",'Apollo Dock Status'!N39)</f>
        <v/>
      </c>
      <c r="O39" s="1" t="str">
        <f t="shared" si="12"/>
        <v/>
      </c>
      <c r="P39" s="1" t="str">
        <f t="shared" si="13"/>
        <v/>
      </c>
      <c r="Q39" s="1" t="str">
        <f t="shared" si="14"/>
        <v/>
      </c>
      <c r="R39" s="1" t="str">
        <f t="shared" si="15"/>
        <v/>
      </c>
      <c r="S39" s="11" t="str">
        <f t="shared" si="16"/>
        <v/>
      </c>
      <c r="T39" s="1" t="str">
        <f t="shared" si="17"/>
        <v/>
      </c>
      <c r="U39" s="11" t="str">
        <f t="shared" si="18"/>
        <v/>
      </c>
      <c r="V39" s="11" t="str">
        <f t="shared" si="19"/>
        <v/>
      </c>
      <c r="X39" s="1" t="str">
        <f t="shared" si="20"/>
        <v/>
      </c>
      <c r="Y39" s="1" t="str">
        <f t="shared" si="21"/>
        <v/>
      </c>
      <c r="Z39" s="1" t="str">
        <f t="shared" si="22"/>
        <v/>
      </c>
      <c r="AB39" s="13">
        <f t="shared" ca="1" si="23"/>
        <v>46176</v>
      </c>
      <c r="AC39" s="1">
        <f t="shared" ca="1" si="24"/>
        <v>2026</v>
      </c>
      <c r="AD39" s="1" t="str">
        <f t="shared" ca="1" si="25"/>
        <v>6</v>
      </c>
      <c r="AE39" s="1">
        <f t="shared" si="26"/>
        <v>1</v>
      </c>
      <c r="AF39" s="1" t="str">
        <f t="shared" si="27"/>
        <v/>
      </c>
      <c r="AG39" s="1">
        <f t="shared" ca="1" si="28"/>
        <v>2026</v>
      </c>
      <c r="AH39" s="1">
        <f t="shared" si="29"/>
        <v>1</v>
      </c>
      <c r="AI39" s="1" t="str">
        <f t="shared" ca="1" si="30"/>
        <v>6</v>
      </c>
      <c r="AJ39" s="13" t="e">
        <f t="shared" ca="1" si="31"/>
        <v>#VALUE!</v>
      </c>
      <c r="AK39" s="1" t="e">
        <f>IF(ISBLANK(A39),"",IFERROR(MID(F39,SEARCH(", ",F39)+LEN(", "),SEARCH(" "&amp;'Exception Stores'!$A$2,F39)-SEARCH(", ",F39)-LEN(", ")),MID(F39,SEARCH(", ",F39)+LEN(", "),SEARCH(" "&amp;'Exception Stores'!$B$2,F39)-SEARCH(", ",F39)-LEN(", "))))</f>
        <v>#VALUE!</v>
      </c>
      <c r="AL39" s="1" t="e">
        <f t="shared" si="32"/>
        <v>#VALUE!</v>
      </c>
      <c r="AM39" s="15" t="e">
        <f t="shared" ca="1" si="33"/>
        <v>#VALUE!</v>
      </c>
      <c r="AN39" s="24" t="e">
        <f t="shared" ca="1" si="34"/>
        <v>#VALUE!</v>
      </c>
      <c r="AO39" s="1" t="e">
        <f t="shared" ca="1" si="35"/>
        <v>#VALUE!</v>
      </c>
      <c r="AP39" s="13" t="e">
        <f t="shared" ca="1" si="36"/>
        <v>#VALUE!</v>
      </c>
      <c r="AQ39" s="17" t="e">
        <f t="shared" ca="1" si="37"/>
        <v>#VALUE!</v>
      </c>
      <c r="AS39" s="15" t="e">
        <f t="shared" ca="1" si="38"/>
        <v>#VALUE!</v>
      </c>
      <c r="AT39" s="5">
        <f>'Exception Stores'!$D$2</f>
        <v>0.125</v>
      </c>
      <c r="AU39" s="15" t="e">
        <f t="shared" ca="1" si="39"/>
        <v>#VALUE!</v>
      </c>
      <c r="AV39" s="15" t="e">
        <f t="shared" ca="1" si="40"/>
        <v>#VALUE!</v>
      </c>
      <c r="AW39" s="15" t="e">
        <f t="shared" ca="1" si="41"/>
        <v>#VALUE!</v>
      </c>
      <c r="AX39" s="15" t="e">
        <f t="shared" ca="1" si="42"/>
        <v>#VALUE!</v>
      </c>
      <c r="AY39" s="15" t="e">
        <f t="shared" ca="1" si="43"/>
        <v>#VALUE!</v>
      </c>
      <c r="AZ39" s="1" t="e">
        <f t="shared" ca="1" si="44"/>
        <v>#VALUE!</v>
      </c>
      <c r="BA39" s="15" t="e">
        <f t="shared" ca="1" si="45"/>
        <v>#VALUE!</v>
      </c>
      <c r="BB39" s="15" t="e">
        <f t="shared" ca="1" si="46"/>
        <v>#VALUE!</v>
      </c>
      <c r="BC39" s="1" t="e">
        <f t="shared" ca="1" si="47"/>
        <v>#VALUE!</v>
      </c>
      <c r="BE39" s="15" t="str">
        <f>IF(ISBLANK('Exception Stores'!$A$6),"",'Exception Stores'!$A$6)</f>
        <v/>
      </c>
      <c r="BF39" s="15" t="str">
        <f>IF(ISBLANK('Exception Stores'!$B$6),"",'Exception Stores'!$B$6)</f>
        <v/>
      </c>
      <c r="BG39" s="1">
        <f>IF(ISBLANK('Exception Stores'!$A$6),0,IF($AN$2&gt;$BF$2,($AN$2-$BF$2)*24,0))</f>
        <v>0</v>
      </c>
      <c r="BH39" s="11">
        <f>IF(ISBLANK('Exception Stores'!$A$6),0,($BF$2-$BE$2)*24)</f>
        <v>0</v>
      </c>
      <c r="BI3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39" s="1">
        <f>IF(ISBLANK('Exception Stores'!$A$6),0,IF($AN$2&gt;$BF$2,0,IF(AND($AN$2&lt;$BF$2,$BT$2="B"),(($BF$2-$AN$2)*24)-$BS$2,($BF$2-$AN$2)*24)))</f>
        <v>0</v>
      </c>
      <c r="BL39" s="5"/>
      <c r="BM39" s="5"/>
      <c r="BN39" s="5"/>
      <c r="BO39" s="5"/>
      <c r="BP39" s="5"/>
      <c r="BV39" s="1" t="e">
        <f t="shared" ca="1" si="48"/>
        <v>#VALUE!</v>
      </c>
      <c r="BW39" s="1" t="e">
        <f t="shared" ca="1" si="49"/>
        <v>#VALUE!</v>
      </c>
      <c r="BX39" s="1" t="e">
        <f t="shared" ca="1" si="50"/>
        <v>#VALUE!</v>
      </c>
      <c r="BY39" s="1" t="e">
        <f t="shared" ca="1" si="51"/>
        <v>#VALUE!</v>
      </c>
      <c r="BZ39" s="1" t="e">
        <f t="shared" ca="1" si="52"/>
        <v>#VALUE!</v>
      </c>
      <c r="CB39" s="1" t="str">
        <f>IF(ISBLANK('Exception Stores'!$A$6),"",WEEKDAY($BF$2))</f>
        <v/>
      </c>
      <c r="CC39" s="1" t="str">
        <f>IF(ISBLANK('Exception Stores'!$A$6),"NO",IF('Exception Stores'!$A$6&lt;$AU$2,"YES","NO"))</f>
        <v>NO</v>
      </c>
      <c r="CD39" s="1" t="str">
        <f>IF(ISBLANK('Exception Stores'!$A$6),"NO",IF('Exception Stores'!$A$6&lt;$AV$2,"YES","NO"))</f>
        <v>NO</v>
      </c>
      <c r="CE39" s="1" t="str">
        <f>IF(ISBLANK('Exception Stores'!$A$6),"NO",IF('Exception Stores'!$A$6&lt;$AW$2,"YES","NO"))</f>
        <v>NO</v>
      </c>
      <c r="CF39" s="1" t="str">
        <f>IF(ISBLANK('Exception Stores'!$A$6),"NO",IF('Exception Stores'!$A$6&lt;$AX$2,"YES","NO"))</f>
        <v>NO</v>
      </c>
      <c r="CG39" s="1" t="str">
        <f>IF(ISBLANK('Exception Stores'!$A$6),"NO",IF('Exception Stores'!$A$6&lt;$AY$2,"YES","NO"))</f>
        <v>NO</v>
      </c>
      <c r="CI39" s="42" t="str">
        <f>IF(ISBLANK('Exception Stores'!$B$6),"NO",IF('Exception Stores'!$B$6&lt;=$AU$2,"YES","NO"))</f>
        <v>NO</v>
      </c>
      <c r="CJ39" s="42" t="str">
        <f>IF(ISBLANK('Exception Stores'!$B$6),"NO",IF('Exception Stores'!$B$6&lt;=$AV$2,"YES","NO"))</f>
        <v>NO</v>
      </c>
      <c r="CK39" s="1" t="str">
        <f>IF(ISBLANK('Exception Stores'!$B$6),"NO",IF('Exception Stores'!$B$6&lt;=$AW$2,"YES","NO"))</f>
        <v>NO</v>
      </c>
      <c r="CL39" s="1" t="str">
        <f>IF(ISBLANK('Exception Stores'!$B$6),"NO",IF('Exception Stores'!$B$6&lt;=$AX$2,"YES","NO"))</f>
        <v>NO</v>
      </c>
      <c r="CM39" s="1" t="str">
        <f>IF(ISBLANK('Exception Stores'!$B$6),"NO",IF('Exception Stores'!$B$6&lt;=$AY$2,"YES","NO"))</f>
        <v>NO</v>
      </c>
      <c r="CO39" s="1" t="e">
        <f ca="1">IF(AM39&lt;'Exception Stores'!$A$6,"YES","NO")</f>
        <v>#VALUE!</v>
      </c>
      <c r="CP39" s="1">
        <f t="shared" si="53"/>
        <v>0</v>
      </c>
      <c r="CQ39" s="1">
        <f t="shared" si="54"/>
        <v>0</v>
      </c>
      <c r="CR39" s="1">
        <f t="shared" si="55"/>
        <v>0</v>
      </c>
      <c r="CS39" s="1">
        <f t="shared" si="56"/>
        <v>0</v>
      </c>
      <c r="CT39" s="1">
        <f t="shared" si="57"/>
        <v>0</v>
      </c>
      <c r="CU39" s="1">
        <f t="shared" si="58"/>
        <v>0</v>
      </c>
      <c r="CW39" s="1" t="e">
        <f t="shared" ca="1" si="64"/>
        <v>#VALUE!</v>
      </c>
      <c r="CX39" s="1" t="e">
        <f t="shared" ca="1" si="65"/>
        <v>#VALUE!</v>
      </c>
      <c r="CY39" s="1" t="e">
        <f t="shared" ca="1" si="66"/>
        <v>#VALUE!</v>
      </c>
      <c r="CZ39" s="1" t="e">
        <f t="shared" ca="1" si="67"/>
        <v>#VALUE!</v>
      </c>
      <c r="DA39" s="1" t="e">
        <f t="shared" ca="1" si="68"/>
        <v>#VALUE!</v>
      </c>
      <c r="DB39" s="26" t="e">
        <f t="shared" ca="1" si="60"/>
        <v>#VALUE!</v>
      </c>
      <c r="DC39" s="1">
        <f t="shared" si="69"/>
        <v>0</v>
      </c>
      <c r="DD39" s="1">
        <f t="shared" si="70"/>
        <v>0</v>
      </c>
      <c r="DE39" s="1">
        <f t="shared" si="71"/>
        <v>0</v>
      </c>
      <c r="DF39" s="1">
        <f t="shared" si="72"/>
        <v>0</v>
      </c>
      <c r="DG39" s="1">
        <f t="shared" si="73"/>
        <v>0</v>
      </c>
      <c r="DH39" s="26">
        <f t="shared" si="61"/>
        <v>0</v>
      </c>
      <c r="DI39" s="1" t="e">
        <f t="shared" ca="1" si="62"/>
        <v>#VALUE!</v>
      </c>
      <c r="DK39" s="11" t="str">
        <f t="shared" si="74"/>
        <v/>
      </c>
      <c r="DL39" s="11" t="e">
        <f ca="1">IF(AND(NOT(ISBLANK('Exception Stores'!$A$6)),CO39="YES"),S39-$BH$2-(DI39*$BS$2)-(CU39*$BS$2),S39-(DB39*$BS$2))</f>
        <v>#VALUE!</v>
      </c>
      <c r="DM39" s="11" t="str">
        <f>IF(ISBLANK(A39),"",IF(COUNTIF(Remaps!$A$2:$A$200,B39)&gt;0,"YES",""))</f>
        <v>YES</v>
      </c>
      <c r="DN39" s="29">
        <f>IFERROR(INDEX(Remaps!$B$2:$B$200,MATCH(B39,Remaps!$A$2:$A$200,0),1),0)</f>
        <v>0</v>
      </c>
      <c r="DO39" s="11" t="e">
        <f t="shared" ca="1" si="75"/>
        <v>#VALUE!</v>
      </c>
      <c r="DP39" s="29" t="e">
        <f t="shared" si="76"/>
        <v>#VALUE!</v>
      </c>
      <c r="DQ39" s="11" t="e">
        <f ca="1">('Apollo Dock Status'!$Z$1-DP39)/DO39</f>
        <v>#VALUE!</v>
      </c>
      <c r="DR39" s="15" t="e">
        <f t="shared" ca="1" si="63"/>
        <v>#VALUE!</v>
      </c>
    </row>
    <row r="40" spans="1:122">
      <c r="A40" s="1" t="str">
        <f>IF(ISBLANK('Apollo Dock Status'!A40),"",'Apollo Dock Status'!A40)</f>
        <v/>
      </c>
      <c r="B40" s="1" t="str">
        <f>IF(ISBLANK('Apollo Dock Status'!B40),"",'Apollo Dock Status'!B40)</f>
        <v/>
      </c>
      <c r="C40" s="1" t="str">
        <f>IF(ISBLANK('Apollo Dock Status'!C40),"",'Apollo Dock Status'!C40)</f>
        <v/>
      </c>
      <c r="D40" s="1" t="str">
        <f>IF(ISBLANK('Apollo Dock Status'!D40),"",'Apollo Dock Status'!D40)</f>
        <v/>
      </c>
      <c r="E40" s="1" t="str">
        <f>IF(ISBLANK('Apollo Dock Status'!E40),"",'Apollo Dock Status'!E40)</f>
        <v/>
      </c>
      <c r="F40" s="1" t="str">
        <f>IF(ISBLANK('Apollo Dock Status'!F40),"",'Apollo Dock Status'!F40)</f>
        <v/>
      </c>
      <c r="G40" s="1" t="str">
        <f>IF(ISBLANK('Apollo Dock Status'!G40),"",'Apollo Dock Status'!G40)</f>
        <v/>
      </c>
      <c r="H40" s="1" t="str">
        <f>IF(ISBLANK('Apollo Dock Status'!H40),"",'Apollo Dock Status'!H40)</f>
        <v/>
      </c>
      <c r="I40" s="1" t="str">
        <f>IF(ISBLANK('Apollo Dock Status'!I40),"",'Apollo Dock Status'!I40)</f>
        <v/>
      </c>
      <c r="J40" s="1" t="str">
        <f>IF(ISBLANK('Apollo Dock Status'!J40),"",'Apollo Dock Status'!J40)</f>
        <v/>
      </c>
      <c r="K40" s="1" t="str">
        <f>IF(ISBLANK('Apollo Dock Status'!K40),"",'Apollo Dock Status'!K40)</f>
        <v/>
      </c>
      <c r="L40" s="1" t="str">
        <f>IF(ISBLANK('Apollo Dock Status'!L40),"",'Apollo Dock Status'!L40)</f>
        <v/>
      </c>
      <c r="M40" s="1" t="str">
        <f>IF(ISBLANK('Apollo Dock Status'!M40),"",'Apollo Dock Status'!M40)</f>
        <v/>
      </c>
      <c r="N40" s="1" t="str">
        <f>IF(ISBLANK('Apollo Dock Status'!N40),"",'Apollo Dock Status'!N40)</f>
        <v/>
      </c>
      <c r="O40" s="1" t="str">
        <f t="shared" si="12"/>
        <v/>
      </c>
      <c r="P40" s="1" t="str">
        <f t="shared" si="13"/>
        <v/>
      </c>
      <c r="Q40" s="1" t="str">
        <f t="shared" si="14"/>
        <v/>
      </c>
      <c r="R40" s="1" t="str">
        <f t="shared" si="15"/>
        <v/>
      </c>
      <c r="S40" s="11" t="str">
        <f t="shared" si="16"/>
        <v/>
      </c>
      <c r="T40" s="1" t="str">
        <f t="shared" si="17"/>
        <v/>
      </c>
      <c r="U40" s="11" t="str">
        <f t="shared" si="18"/>
        <v/>
      </c>
      <c r="V40" s="11" t="str">
        <f t="shared" si="19"/>
        <v/>
      </c>
      <c r="X40" s="1" t="str">
        <f t="shared" si="20"/>
        <v/>
      </c>
      <c r="Y40" s="1" t="str">
        <f t="shared" si="21"/>
        <v/>
      </c>
      <c r="Z40" s="1" t="str">
        <f t="shared" si="22"/>
        <v/>
      </c>
      <c r="AB40" s="13">
        <f t="shared" ca="1" si="23"/>
        <v>46176</v>
      </c>
      <c r="AC40" s="1">
        <f t="shared" ca="1" si="24"/>
        <v>2026</v>
      </c>
      <c r="AD40" s="1" t="str">
        <f t="shared" ca="1" si="25"/>
        <v>6</v>
      </c>
      <c r="AE40" s="1">
        <f t="shared" si="26"/>
        <v>1</v>
      </c>
      <c r="AF40" s="1" t="str">
        <f t="shared" si="27"/>
        <v/>
      </c>
      <c r="AG40" s="1">
        <f t="shared" ca="1" si="28"/>
        <v>2026</v>
      </c>
      <c r="AH40" s="1">
        <f t="shared" si="29"/>
        <v>1</v>
      </c>
      <c r="AI40" s="1" t="str">
        <f t="shared" ca="1" si="30"/>
        <v>6</v>
      </c>
      <c r="AJ40" s="13" t="e">
        <f t="shared" ca="1" si="31"/>
        <v>#VALUE!</v>
      </c>
      <c r="AK40" s="1" t="e">
        <f>IF(ISBLANK(A40),"",IFERROR(MID(F40,SEARCH(", ",F40)+LEN(", "),SEARCH(" "&amp;'Exception Stores'!$A$2,F40)-SEARCH(", ",F40)-LEN(", ")),MID(F40,SEARCH(", ",F40)+LEN(", "),SEARCH(" "&amp;'Exception Stores'!$B$2,F40)-SEARCH(", ",F40)-LEN(", "))))</f>
        <v>#VALUE!</v>
      </c>
      <c r="AL40" s="1" t="e">
        <f t="shared" si="32"/>
        <v>#VALUE!</v>
      </c>
      <c r="AM40" s="15" t="e">
        <f t="shared" ca="1" si="33"/>
        <v>#VALUE!</v>
      </c>
      <c r="AN40" s="24" t="e">
        <f t="shared" ca="1" si="34"/>
        <v>#VALUE!</v>
      </c>
      <c r="AO40" s="1" t="e">
        <f t="shared" ca="1" si="35"/>
        <v>#VALUE!</v>
      </c>
      <c r="AP40" s="13" t="e">
        <f t="shared" ca="1" si="36"/>
        <v>#VALUE!</v>
      </c>
      <c r="AQ40" s="17" t="e">
        <f t="shared" ca="1" si="37"/>
        <v>#VALUE!</v>
      </c>
      <c r="AS40" s="15" t="e">
        <f t="shared" ca="1" si="38"/>
        <v>#VALUE!</v>
      </c>
      <c r="AT40" s="5">
        <f>'Exception Stores'!$D$2</f>
        <v>0.125</v>
      </c>
      <c r="AU40" s="15" t="e">
        <f t="shared" ca="1" si="39"/>
        <v>#VALUE!</v>
      </c>
      <c r="AV40" s="15" t="e">
        <f t="shared" ca="1" si="40"/>
        <v>#VALUE!</v>
      </c>
      <c r="AW40" s="15" t="e">
        <f t="shared" ca="1" si="41"/>
        <v>#VALUE!</v>
      </c>
      <c r="AX40" s="15" t="e">
        <f t="shared" ca="1" si="42"/>
        <v>#VALUE!</v>
      </c>
      <c r="AY40" s="15" t="e">
        <f t="shared" ca="1" si="43"/>
        <v>#VALUE!</v>
      </c>
      <c r="AZ40" s="1" t="e">
        <f t="shared" ca="1" si="44"/>
        <v>#VALUE!</v>
      </c>
      <c r="BA40" s="15" t="e">
        <f t="shared" ca="1" si="45"/>
        <v>#VALUE!</v>
      </c>
      <c r="BB40" s="15" t="e">
        <f t="shared" ca="1" si="46"/>
        <v>#VALUE!</v>
      </c>
      <c r="BC40" s="1" t="e">
        <f t="shared" ca="1" si="47"/>
        <v>#VALUE!</v>
      </c>
      <c r="BE40" s="15" t="str">
        <f>IF(ISBLANK('Exception Stores'!$A$6),"",'Exception Stores'!$A$6)</f>
        <v/>
      </c>
      <c r="BF40" s="15" t="str">
        <f>IF(ISBLANK('Exception Stores'!$B$6),"",'Exception Stores'!$B$6)</f>
        <v/>
      </c>
      <c r="BG40" s="1">
        <f>IF(ISBLANK('Exception Stores'!$A$6),0,IF($AN$2&gt;$BF$2,($AN$2-$BF$2)*24,0))</f>
        <v>0</v>
      </c>
      <c r="BH40" s="11">
        <f>IF(ISBLANK('Exception Stores'!$A$6),0,($BF$2-$BE$2)*24)</f>
        <v>0</v>
      </c>
      <c r="BI4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40" s="1">
        <f>IF(ISBLANK('Exception Stores'!$A$6),0,IF($AN$2&gt;$BF$2,0,IF(AND($AN$2&lt;$BF$2,$BT$2="B"),(($BF$2-$AN$2)*24)-$BS$2,($BF$2-$AN$2)*24)))</f>
        <v>0</v>
      </c>
      <c r="BL40" s="5"/>
      <c r="BM40" s="5"/>
      <c r="BN40" s="5"/>
      <c r="BO40" s="5"/>
      <c r="BP40" s="5"/>
      <c r="BV40" s="1" t="e">
        <f t="shared" ca="1" si="48"/>
        <v>#VALUE!</v>
      </c>
      <c r="BW40" s="1" t="e">
        <f t="shared" ca="1" si="49"/>
        <v>#VALUE!</v>
      </c>
      <c r="BX40" s="1" t="e">
        <f t="shared" ca="1" si="50"/>
        <v>#VALUE!</v>
      </c>
      <c r="BY40" s="1" t="e">
        <f t="shared" ca="1" si="51"/>
        <v>#VALUE!</v>
      </c>
      <c r="BZ40" s="1" t="e">
        <f t="shared" ca="1" si="52"/>
        <v>#VALUE!</v>
      </c>
      <c r="CB40" s="1" t="str">
        <f>IF(ISBLANK('Exception Stores'!$A$6),"",WEEKDAY($BF$2))</f>
        <v/>
      </c>
      <c r="CC40" s="1" t="str">
        <f>IF(ISBLANK('Exception Stores'!$A$6),"NO",IF('Exception Stores'!$A$6&lt;$AU$2,"YES","NO"))</f>
        <v>NO</v>
      </c>
      <c r="CD40" s="1" t="str">
        <f>IF(ISBLANK('Exception Stores'!$A$6),"NO",IF('Exception Stores'!$A$6&lt;$AV$2,"YES","NO"))</f>
        <v>NO</v>
      </c>
      <c r="CE40" s="1" t="str">
        <f>IF(ISBLANK('Exception Stores'!$A$6),"NO",IF('Exception Stores'!$A$6&lt;$AW$2,"YES","NO"))</f>
        <v>NO</v>
      </c>
      <c r="CF40" s="1" t="str">
        <f>IF(ISBLANK('Exception Stores'!$A$6),"NO",IF('Exception Stores'!$A$6&lt;$AX$2,"YES","NO"))</f>
        <v>NO</v>
      </c>
      <c r="CG40" s="1" t="str">
        <f>IF(ISBLANK('Exception Stores'!$A$6),"NO",IF('Exception Stores'!$A$6&lt;$AY$2,"YES","NO"))</f>
        <v>NO</v>
      </c>
      <c r="CI40" s="42" t="str">
        <f>IF(ISBLANK('Exception Stores'!$B$6),"NO",IF('Exception Stores'!$B$6&lt;=$AU$2,"YES","NO"))</f>
        <v>NO</v>
      </c>
      <c r="CJ40" s="42" t="str">
        <f>IF(ISBLANK('Exception Stores'!$B$6),"NO",IF('Exception Stores'!$B$6&lt;=$AV$2,"YES","NO"))</f>
        <v>NO</v>
      </c>
      <c r="CK40" s="1" t="str">
        <f>IF(ISBLANK('Exception Stores'!$B$6),"NO",IF('Exception Stores'!$B$6&lt;=$AW$2,"YES","NO"))</f>
        <v>NO</v>
      </c>
      <c r="CL40" s="1" t="str">
        <f>IF(ISBLANK('Exception Stores'!$B$6),"NO",IF('Exception Stores'!$B$6&lt;=$AX$2,"YES","NO"))</f>
        <v>NO</v>
      </c>
      <c r="CM40" s="1" t="str">
        <f>IF(ISBLANK('Exception Stores'!$B$6),"NO",IF('Exception Stores'!$B$6&lt;=$AY$2,"YES","NO"))</f>
        <v>NO</v>
      </c>
      <c r="CO40" s="1" t="e">
        <f ca="1">IF(AM40&lt;'Exception Stores'!$A$6,"YES","NO")</f>
        <v>#VALUE!</v>
      </c>
      <c r="CP40" s="1">
        <f t="shared" si="53"/>
        <v>0</v>
      </c>
      <c r="CQ40" s="1">
        <f t="shared" si="54"/>
        <v>0</v>
      </c>
      <c r="CR40" s="1">
        <f t="shared" si="55"/>
        <v>0</v>
      </c>
      <c r="CS40" s="1">
        <f t="shared" si="56"/>
        <v>0</v>
      </c>
      <c r="CT40" s="1">
        <f t="shared" si="57"/>
        <v>0</v>
      </c>
      <c r="CU40" s="1">
        <f t="shared" si="58"/>
        <v>0</v>
      </c>
      <c r="CW40" s="1" t="e">
        <f t="shared" ca="1" si="64"/>
        <v>#VALUE!</v>
      </c>
      <c r="CX40" s="1" t="e">
        <f t="shared" ca="1" si="65"/>
        <v>#VALUE!</v>
      </c>
      <c r="CY40" s="1" t="e">
        <f t="shared" ca="1" si="66"/>
        <v>#VALUE!</v>
      </c>
      <c r="CZ40" s="1" t="e">
        <f t="shared" ca="1" si="67"/>
        <v>#VALUE!</v>
      </c>
      <c r="DA40" s="1" t="e">
        <f t="shared" ca="1" si="68"/>
        <v>#VALUE!</v>
      </c>
      <c r="DB40" s="26" t="e">
        <f t="shared" ca="1" si="60"/>
        <v>#VALUE!</v>
      </c>
      <c r="DC40" s="1">
        <f t="shared" si="69"/>
        <v>0</v>
      </c>
      <c r="DD40" s="1">
        <f t="shared" si="70"/>
        <v>0</v>
      </c>
      <c r="DE40" s="1">
        <f t="shared" si="71"/>
        <v>0</v>
      </c>
      <c r="DF40" s="1">
        <f t="shared" si="72"/>
        <v>0</v>
      </c>
      <c r="DG40" s="1">
        <f t="shared" si="73"/>
        <v>0</v>
      </c>
      <c r="DH40" s="26">
        <f t="shared" si="61"/>
        <v>0</v>
      </c>
      <c r="DI40" s="1" t="e">
        <f t="shared" ca="1" si="62"/>
        <v>#VALUE!</v>
      </c>
      <c r="DK40" s="11" t="str">
        <f t="shared" si="74"/>
        <v/>
      </c>
      <c r="DL40" s="11" t="e">
        <f ca="1">IF(AND(NOT(ISBLANK('Exception Stores'!$A$6)),CO40="YES"),S40-$BH$2-(DI40*$BS$2)-(CU40*$BS$2),S40-(DB40*$BS$2))</f>
        <v>#VALUE!</v>
      </c>
      <c r="DM40" s="11" t="str">
        <f>IF(ISBLANK(A40),"",IF(COUNTIF(Remaps!$A$2:$A$200,B40)&gt;0,"YES",""))</f>
        <v>YES</v>
      </c>
      <c r="DN40" s="29">
        <f>IFERROR(INDEX(Remaps!$B$2:$B$200,MATCH(B40,Remaps!$A$2:$A$200,0),1),0)</f>
        <v>0</v>
      </c>
      <c r="DO40" s="11" t="e">
        <f t="shared" ca="1" si="75"/>
        <v>#VALUE!</v>
      </c>
      <c r="DP40" s="29" t="e">
        <f t="shared" si="76"/>
        <v>#VALUE!</v>
      </c>
      <c r="DQ40" s="11" t="e">
        <f ca="1">('Apollo Dock Status'!$Z$1-DP40)/DO40</f>
        <v>#VALUE!</v>
      </c>
      <c r="DR40" s="15" t="e">
        <f t="shared" ca="1" si="63"/>
        <v>#VALUE!</v>
      </c>
    </row>
    <row r="41" spans="1:122">
      <c r="A41" s="1" t="str">
        <f>IF(ISBLANK('Apollo Dock Status'!A41),"",'Apollo Dock Status'!A41)</f>
        <v/>
      </c>
      <c r="B41" s="1" t="str">
        <f>IF(ISBLANK('Apollo Dock Status'!B41),"",'Apollo Dock Status'!B41)</f>
        <v/>
      </c>
      <c r="C41" s="1" t="str">
        <f>IF(ISBLANK('Apollo Dock Status'!C41),"",'Apollo Dock Status'!C41)</f>
        <v/>
      </c>
      <c r="D41" s="1" t="str">
        <f>IF(ISBLANK('Apollo Dock Status'!D41),"",'Apollo Dock Status'!D41)</f>
        <v/>
      </c>
      <c r="E41" s="1" t="str">
        <f>IF(ISBLANK('Apollo Dock Status'!E41),"",'Apollo Dock Status'!E41)</f>
        <v/>
      </c>
      <c r="F41" s="1" t="str">
        <f>IF(ISBLANK('Apollo Dock Status'!F41),"",'Apollo Dock Status'!F41)</f>
        <v/>
      </c>
      <c r="G41" s="1" t="str">
        <f>IF(ISBLANK('Apollo Dock Status'!G41),"",'Apollo Dock Status'!G41)</f>
        <v/>
      </c>
      <c r="H41" s="1" t="str">
        <f>IF(ISBLANK('Apollo Dock Status'!H41),"",'Apollo Dock Status'!H41)</f>
        <v/>
      </c>
      <c r="I41" s="1" t="str">
        <f>IF(ISBLANK('Apollo Dock Status'!I41),"",'Apollo Dock Status'!I41)</f>
        <v/>
      </c>
      <c r="J41" s="1" t="str">
        <f>IF(ISBLANK('Apollo Dock Status'!J41),"",'Apollo Dock Status'!J41)</f>
        <v/>
      </c>
      <c r="K41" s="1" t="str">
        <f>IF(ISBLANK('Apollo Dock Status'!K41),"",'Apollo Dock Status'!K41)</f>
        <v/>
      </c>
      <c r="L41" s="1" t="str">
        <f>IF(ISBLANK('Apollo Dock Status'!L41),"",'Apollo Dock Status'!L41)</f>
        <v/>
      </c>
      <c r="M41" s="1" t="str">
        <f>IF(ISBLANK('Apollo Dock Status'!M41),"",'Apollo Dock Status'!M41)</f>
        <v/>
      </c>
      <c r="N41" s="1" t="str">
        <f>IF(ISBLANK('Apollo Dock Status'!N41),"",'Apollo Dock Status'!N41)</f>
        <v/>
      </c>
      <c r="O41" s="1" t="str">
        <f t="shared" si="12"/>
        <v/>
      </c>
      <c r="P41" s="1" t="str">
        <f t="shared" si="13"/>
        <v/>
      </c>
      <c r="Q41" s="1" t="str">
        <f t="shared" si="14"/>
        <v/>
      </c>
      <c r="R41" s="1" t="str">
        <f t="shared" si="15"/>
        <v/>
      </c>
      <c r="S41" s="11" t="str">
        <f t="shared" si="16"/>
        <v/>
      </c>
      <c r="T41" s="1" t="str">
        <f t="shared" si="17"/>
        <v/>
      </c>
      <c r="U41" s="11" t="str">
        <f t="shared" si="18"/>
        <v/>
      </c>
      <c r="V41" s="11" t="str">
        <f t="shared" si="19"/>
        <v/>
      </c>
      <c r="X41" s="1" t="str">
        <f t="shared" si="20"/>
        <v/>
      </c>
      <c r="Y41" s="1" t="str">
        <f t="shared" si="21"/>
        <v/>
      </c>
      <c r="Z41" s="1" t="str">
        <f t="shared" si="22"/>
        <v/>
      </c>
      <c r="AB41" s="13">
        <f t="shared" ca="1" si="23"/>
        <v>46176</v>
      </c>
      <c r="AC41" s="1">
        <f t="shared" ca="1" si="24"/>
        <v>2026</v>
      </c>
      <c r="AD41" s="1" t="str">
        <f t="shared" ca="1" si="25"/>
        <v>6</v>
      </c>
      <c r="AE41" s="1">
        <f t="shared" si="26"/>
        <v>1</v>
      </c>
      <c r="AF41" s="1" t="str">
        <f t="shared" si="27"/>
        <v/>
      </c>
      <c r="AG41" s="1">
        <f t="shared" ca="1" si="28"/>
        <v>2026</v>
      </c>
      <c r="AH41" s="1">
        <f t="shared" si="29"/>
        <v>1</v>
      </c>
      <c r="AI41" s="1" t="str">
        <f t="shared" ca="1" si="30"/>
        <v>6</v>
      </c>
      <c r="AJ41" s="13" t="e">
        <f t="shared" ca="1" si="31"/>
        <v>#VALUE!</v>
      </c>
      <c r="AK41" s="1" t="e">
        <f>IF(ISBLANK(A41),"",IFERROR(MID(F41,SEARCH(", ",F41)+LEN(", "),SEARCH(" "&amp;'Exception Stores'!$A$2,F41)-SEARCH(", ",F41)-LEN(", ")),MID(F41,SEARCH(", ",F41)+LEN(", "),SEARCH(" "&amp;'Exception Stores'!$B$2,F41)-SEARCH(", ",F41)-LEN(", "))))</f>
        <v>#VALUE!</v>
      </c>
      <c r="AL41" s="1" t="e">
        <f t="shared" si="32"/>
        <v>#VALUE!</v>
      </c>
      <c r="AM41" s="15" t="e">
        <f t="shared" ca="1" si="33"/>
        <v>#VALUE!</v>
      </c>
      <c r="AN41" s="24" t="e">
        <f t="shared" ca="1" si="34"/>
        <v>#VALUE!</v>
      </c>
      <c r="AO41" s="1" t="e">
        <f t="shared" ca="1" si="35"/>
        <v>#VALUE!</v>
      </c>
      <c r="AP41" s="13" t="e">
        <f t="shared" ca="1" si="36"/>
        <v>#VALUE!</v>
      </c>
      <c r="AQ41" s="17" t="e">
        <f t="shared" ca="1" si="37"/>
        <v>#VALUE!</v>
      </c>
      <c r="AS41" s="15" t="e">
        <f t="shared" ca="1" si="38"/>
        <v>#VALUE!</v>
      </c>
      <c r="AT41" s="5">
        <f>'Exception Stores'!$D$2</f>
        <v>0.125</v>
      </c>
      <c r="AU41" s="15" t="e">
        <f t="shared" ca="1" si="39"/>
        <v>#VALUE!</v>
      </c>
      <c r="AV41" s="15" t="e">
        <f t="shared" ca="1" si="40"/>
        <v>#VALUE!</v>
      </c>
      <c r="AW41" s="15" t="e">
        <f t="shared" ca="1" si="41"/>
        <v>#VALUE!</v>
      </c>
      <c r="AX41" s="15" t="e">
        <f t="shared" ca="1" si="42"/>
        <v>#VALUE!</v>
      </c>
      <c r="AY41" s="15" t="e">
        <f t="shared" ca="1" si="43"/>
        <v>#VALUE!</v>
      </c>
      <c r="AZ41" s="1" t="e">
        <f t="shared" ca="1" si="44"/>
        <v>#VALUE!</v>
      </c>
      <c r="BA41" s="15" t="e">
        <f t="shared" ca="1" si="45"/>
        <v>#VALUE!</v>
      </c>
      <c r="BB41" s="15" t="e">
        <f t="shared" ca="1" si="46"/>
        <v>#VALUE!</v>
      </c>
      <c r="BC41" s="1" t="e">
        <f t="shared" ca="1" si="47"/>
        <v>#VALUE!</v>
      </c>
      <c r="BE41" s="15" t="str">
        <f>IF(ISBLANK('Exception Stores'!$A$6),"",'Exception Stores'!$A$6)</f>
        <v/>
      </c>
      <c r="BF41" s="15" t="str">
        <f>IF(ISBLANK('Exception Stores'!$B$6),"",'Exception Stores'!$B$6)</f>
        <v/>
      </c>
      <c r="BG41" s="1">
        <f>IF(ISBLANK('Exception Stores'!$A$6),0,IF($AN$2&gt;$BF$2,($AN$2-$BF$2)*24,0))</f>
        <v>0</v>
      </c>
      <c r="BH41" s="11">
        <f>IF(ISBLANK('Exception Stores'!$A$6),0,($BF$2-$BE$2)*24)</f>
        <v>0</v>
      </c>
      <c r="BI4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41" s="1">
        <f>IF(ISBLANK('Exception Stores'!$A$6),0,IF($AN$2&gt;$BF$2,0,IF(AND($AN$2&lt;$BF$2,$BT$2="B"),(($BF$2-$AN$2)*24)-$BS$2,($BF$2-$AN$2)*24)))</f>
        <v>0</v>
      </c>
      <c r="BL41" s="5"/>
      <c r="BM41" s="5"/>
      <c r="BN41" s="5"/>
      <c r="BO41" s="5"/>
      <c r="BP41" s="5"/>
      <c r="BV41" s="1" t="e">
        <f t="shared" ca="1" si="48"/>
        <v>#VALUE!</v>
      </c>
      <c r="BW41" s="1" t="e">
        <f t="shared" ca="1" si="49"/>
        <v>#VALUE!</v>
      </c>
      <c r="BX41" s="1" t="e">
        <f t="shared" ca="1" si="50"/>
        <v>#VALUE!</v>
      </c>
      <c r="BY41" s="1" t="e">
        <f t="shared" ca="1" si="51"/>
        <v>#VALUE!</v>
      </c>
      <c r="BZ41" s="1" t="e">
        <f t="shared" ca="1" si="52"/>
        <v>#VALUE!</v>
      </c>
      <c r="CB41" s="1" t="str">
        <f>IF(ISBLANK('Exception Stores'!$A$6),"",WEEKDAY($BF$2))</f>
        <v/>
      </c>
      <c r="CC41" s="1" t="str">
        <f>IF(ISBLANK('Exception Stores'!$A$6),"NO",IF('Exception Stores'!$A$6&lt;$AU$2,"YES","NO"))</f>
        <v>NO</v>
      </c>
      <c r="CD41" s="1" t="str">
        <f>IF(ISBLANK('Exception Stores'!$A$6),"NO",IF('Exception Stores'!$A$6&lt;$AV$2,"YES","NO"))</f>
        <v>NO</v>
      </c>
      <c r="CE41" s="1" t="str">
        <f>IF(ISBLANK('Exception Stores'!$A$6),"NO",IF('Exception Stores'!$A$6&lt;$AW$2,"YES","NO"))</f>
        <v>NO</v>
      </c>
      <c r="CF41" s="1" t="str">
        <f>IF(ISBLANK('Exception Stores'!$A$6),"NO",IF('Exception Stores'!$A$6&lt;$AX$2,"YES","NO"))</f>
        <v>NO</v>
      </c>
      <c r="CG41" s="1" t="str">
        <f>IF(ISBLANK('Exception Stores'!$A$6),"NO",IF('Exception Stores'!$A$6&lt;$AY$2,"YES","NO"))</f>
        <v>NO</v>
      </c>
      <c r="CI41" s="42" t="str">
        <f>IF(ISBLANK('Exception Stores'!$B$6),"NO",IF('Exception Stores'!$B$6&lt;=$AU$2,"YES","NO"))</f>
        <v>NO</v>
      </c>
      <c r="CJ41" s="42" t="str">
        <f>IF(ISBLANK('Exception Stores'!$B$6),"NO",IF('Exception Stores'!$B$6&lt;=$AV$2,"YES","NO"))</f>
        <v>NO</v>
      </c>
      <c r="CK41" s="1" t="str">
        <f>IF(ISBLANK('Exception Stores'!$B$6),"NO",IF('Exception Stores'!$B$6&lt;=$AW$2,"YES","NO"))</f>
        <v>NO</v>
      </c>
      <c r="CL41" s="1" t="str">
        <f>IF(ISBLANK('Exception Stores'!$B$6),"NO",IF('Exception Stores'!$B$6&lt;=$AX$2,"YES","NO"))</f>
        <v>NO</v>
      </c>
      <c r="CM41" s="1" t="str">
        <f>IF(ISBLANK('Exception Stores'!$B$6),"NO",IF('Exception Stores'!$B$6&lt;=$AY$2,"YES","NO"))</f>
        <v>NO</v>
      </c>
      <c r="CO41" s="1" t="e">
        <f ca="1">IF(AM41&lt;'Exception Stores'!$A$6,"YES","NO")</f>
        <v>#VALUE!</v>
      </c>
      <c r="CP41" s="1">
        <f t="shared" si="53"/>
        <v>0</v>
      </c>
      <c r="CQ41" s="1">
        <f t="shared" si="54"/>
        <v>0</v>
      </c>
      <c r="CR41" s="1">
        <f t="shared" si="55"/>
        <v>0</v>
      </c>
      <c r="CS41" s="1">
        <f t="shared" si="56"/>
        <v>0</v>
      </c>
      <c r="CT41" s="1">
        <f t="shared" si="57"/>
        <v>0</v>
      </c>
      <c r="CU41" s="1">
        <f t="shared" si="58"/>
        <v>0</v>
      </c>
      <c r="CW41" s="1" t="e">
        <f t="shared" ca="1" si="64"/>
        <v>#VALUE!</v>
      </c>
      <c r="CX41" s="1" t="e">
        <f t="shared" ca="1" si="65"/>
        <v>#VALUE!</v>
      </c>
      <c r="CY41" s="1" t="e">
        <f t="shared" ca="1" si="66"/>
        <v>#VALUE!</v>
      </c>
      <c r="CZ41" s="1" t="e">
        <f t="shared" ca="1" si="67"/>
        <v>#VALUE!</v>
      </c>
      <c r="DA41" s="1" t="e">
        <f t="shared" ca="1" si="68"/>
        <v>#VALUE!</v>
      </c>
      <c r="DB41" s="26" t="e">
        <f t="shared" ca="1" si="60"/>
        <v>#VALUE!</v>
      </c>
      <c r="DC41" s="1">
        <f t="shared" si="69"/>
        <v>0</v>
      </c>
      <c r="DD41" s="1">
        <f t="shared" si="70"/>
        <v>0</v>
      </c>
      <c r="DE41" s="1">
        <f t="shared" si="71"/>
        <v>0</v>
      </c>
      <c r="DF41" s="1">
        <f t="shared" si="72"/>
        <v>0</v>
      </c>
      <c r="DG41" s="1">
        <f t="shared" si="73"/>
        <v>0</v>
      </c>
      <c r="DH41" s="26">
        <f t="shared" si="61"/>
        <v>0</v>
      </c>
      <c r="DI41" s="1" t="e">
        <f t="shared" ca="1" si="62"/>
        <v>#VALUE!</v>
      </c>
      <c r="DK41" s="11" t="str">
        <f t="shared" si="74"/>
        <v/>
      </c>
      <c r="DL41" s="11" t="e">
        <f ca="1">IF(AND(NOT(ISBLANK('Exception Stores'!$A$6)),CO41="YES"),S41-$BH$2-(DI41*$BS$2)-(CU41*$BS$2),S41-(DB41*$BS$2))</f>
        <v>#VALUE!</v>
      </c>
      <c r="DM41" s="11" t="str">
        <f>IF(ISBLANK(A41),"",IF(COUNTIF(Remaps!$A$2:$A$200,B41)&gt;0,"YES",""))</f>
        <v>YES</v>
      </c>
      <c r="DN41" s="29">
        <f>IFERROR(INDEX(Remaps!$B$2:$B$200,MATCH(B41,Remaps!$A$2:$A$200,0),1),0)</f>
        <v>0</v>
      </c>
      <c r="DO41" s="11" t="e">
        <f t="shared" ca="1" si="75"/>
        <v>#VALUE!</v>
      </c>
      <c r="DP41" s="29" t="e">
        <f t="shared" si="76"/>
        <v>#VALUE!</v>
      </c>
      <c r="DQ41" s="11" t="e">
        <f ca="1">('Apollo Dock Status'!$Z$1-DP41)/DO41</f>
        <v>#VALUE!</v>
      </c>
      <c r="DR41" s="15" t="e">
        <f t="shared" ca="1" si="63"/>
        <v>#VALUE!</v>
      </c>
    </row>
    <row r="42" spans="1:122">
      <c r="A42" s="1" t="str">
        <f>IF(ISBLANK('Apollo Dock Status'!A42),"",'Apollo Dock Status'!A42)</f>
        <v/>
      </c>
      <c r="B42" s="1" t="str">
        <f>IF(ISBLANK('Apollo Dock Status'!B42),"",'Apollo Dock Status'!B42)</f>
        <v/>
      </c>
      <c r="C42" s="1" t="str">
        <f>IF(ISBLANK('Apollo Dock Status'!C42),"",'Apollo Dock Status'!C42)</f>
        <v/>
      </c>
      <c r="D42" s="1" t="str">
        <f>IF(ISBLANK('Apollo Dock Status'!D42),"",'Apollo Dock Status'!D42)</f>
        <v/>
      </c>
      <c r="E42" s="1" t="str">
        <f>IF(ISBLANK('Apollo Dock Status'!E42),"",'Apollo Dock Status'!E42)</f>
        <v/>
      </c>
      <c r="F42" s="1" t="str">
        <f>IF(ISBLANK('Apollo Dock Status'!F42),"",'Apollo Dock Status'!F42)</f>
        <v/>
      </c>
      <c r="G42" s="1" t="str">
        <f>IF(ISBLANK('Apollo Dock Status'!G42),"",'Apollo Dock Status'!G42)</f>
        <v/>
      </c>
      <c r="H42" s="1" t="str">
        <f>IF(ISBLANK('Apollo Dock Status'!H42),"",'Apollo Dock Status'!H42)</f>
        <v/>
      </c>
      <c r="I42" s="1" t="str">
        <f>IF(ISBLANK('Apollo Dock Status'!I42),"",'Apollo Dock Status'!I42)</f>
        <v/>
      </c>
      <c r="J42" s="1" t="str">
        <f>IF(ISBLANK('Apollo Dock Status'!J42),"",'Apollo Dock Status'!J42)</f>
        <v/>
      </c>
      <c r="K42" s="1" t="str">
        <f>IF(ISBLANK('Apollo Dock Status'!K42),"",'Apollo Dock Status'!K42)</f>
        <v/>
      </c>
      <c r="L42" s="1" t="str">
        <f>IF(ISBLANK('Apollo Dock Status'!L42),"",'Apollo Dock Status'!L42)</f>
        <v/>
      </c>
      <c r="M42" s="1" t="str">
        <f>IF(ISBLANK('Apollo Dock Status'!M42),"",'Apollo Dock Status'!M42)</f>
        <v/>
      </c>
      <c r="N42" s="1" t="str">
        <f>IF(ISBLANK('Apollo Dock Status'!N42),"",'Apollo Dock Status'!N42)</f>
        <v/>
      </c>
      <c r="O42" s="1" t="str">
        <f t="shared" si="12"/>
        <v/>
      </c>
      <c r="P42" s="1" t="str">
        <f t="shared" si="13"/>
        <v/>
      </c>
      <c r="Q42" s="1" t="str">
        <f t="shared" si="14"/>
        <v/>
      </c>
      <c r="R42" s="1" t="str">
        <f t="shared" si="15"/>
        <v/>
      </c>
      <c r="S42" s="11" t="str">
        <f t="shared" si="16"/>
        <v/>
      </c>
      <c r="T42" s="1" t="str">
        <f t="shared" si="17"/>
        <v/>
      </c>
      <c r="U42" s="11" t="str">
        <f t="shared" si="18"/>
        <v/>
      </c>
      <c r="V42" s="11" t="str">
        <f t="shared" si="19"/>
        <v/>
      </c>
      <c r="X42" s="1" t="str">
        <f t="shared" si="20"/>
        <v/>
      </c>
      <c r="Y42" s="1" t="str">
        <f t="shared" si="21"/>
        <v/>
      </c>
      <c r="Z42" s="1" t="str">
        <f t="shared" si="22"/>
        <v/>
      </c>
      <c r="AB42" s="13">
        <f t="shared" ca="1" si="23"/>
        <v>46176</v>
      </c>
      <c r="AC42" s="1">
        <f t="shared" ca="1" si="24"/>
        <v>2026</v>
      </c>
      <c r="AD42" s="1" t="str">
        <f t="shared" ca="1" si="25"/>
        <v>6</v>
      </c>
      <c r="AE42" s="1">
        <f t="shared" si="26"/>
        <v>1</v>
      </c>
      <c r="AF42" s="1" t="str">
        <f t="shared" si="27"/>
        <v/>
      </c>
      <c r="AG42" s="1">
        <f t="shared" ca="1" si="28"/>
        <v>2026</v>
      </c>
      <c r="AH42" s="1">
        <f t="shared" si="29"/>
        <v>1</v>
      </c>
      <c r="AI42" s="1" t="str">
        <f t="shared" ca="1" si="30"/>
        <v>6</v>
      </c>
      <c r="AJ42" s="13" t="e">
        <f t="shared" ca="1" si="31"/>
        <v>#VALUE!</v>
      </c>
      <c r="AK42" s="1" t="e">
        <f>IF(ISBLANK(A42),"",IFERROR(MID(F42,SEARCH(", ",F42)+LEN(", "),SEARCH(" "&amp;'Exception Stores'!$A$2,F42)-SEARCH(", ",F42)-LEN(", ")),MID(F42,SEARCH(", ",F42)+LEN(", "),SEARCH(" "&amp;'Exception Stores'!$B$2,F42)-SEARCH(", ",F42)-LEN(", "))))</f>
        <v>#VALUE!</v>
      </c>
      <c r="AL42" s="1" t="e">
        <f t="shared" si="32"/>
        <v>#VALUE!</v>
      </c>
      <c r="AM42" s="15" t="e">
        <f t="shared" ca="1" si="33"/>
        <v>#VALUE!</v>
      </c>
      <c r="AN42" s="24" t="e">
        <f t="shared" ca="1" si="34"/>
        <v>#VALUE!</v>
      </c>
      <c r="AO42" s="1" t="e">
        <f t="shared" ca="1" si="35"/>
        <v>#VALUE!</v>
      </c>
      <c r="AP42" s="13" t="e">
        <f t="shared" ca="1" si="36"/>
        <v>#VALUE!</v>
      </c>
      <c r="AQ42" s="17" t="e">
        <f t="shared" ca="1" si="37"/>
        <v>#VALUE!</v>
      </c>
      <c r="AS42" s="15" t="e">
        <f t="shared" ca="1" si="38"/>
        <v>#VALUE!</v>
      </c>
      <c r="AT42" s="5">
        <f>'Exception Stores'!$D$2</f>
        <v>0.125</v>
      </c>
      <c r="AU42" s="15" t="e">
        <f t="shared" ca="1" si="39"/>
        <v>#VALUE!</v>
      </c>
      <c r="AV42" s="15" t="e">
        <f t="shared" ca="1" si="40"/>
        <v>#VALUE!</v>
      </c>
      <c r="AW42" s="15" t="e">
        <f t="shared" ca="1" si="41"/>
        <v>#VALUE!</v>
      </c>
      <c r="AX42" s="15" t="e">
        <f t="shared" ca="1" si="42"/>
        <v>#VALUE!</v>
      </c>
      <c r="AY42" s="15" t="e">
        <f t="shared" ca="1" si="43"/>
        <v>#VALUE!</v>
      </c>
      <c r="AZ42" s="1" t="e">
        <f t="shared" ca="1" si="44"/>
        <v>#VALUE!</v>
      </c>
      <c r="BA42" s="15" t="e">
        <f t="shared" ca="1" si="45"/>
        <v>#VALUE!</v>
      </c>
      <c r="BB42" s="15" t="e">
        <f t="shared" ca="1" si="46"/>
        <v>#VALUE!</v>
      </c>
      <c r="BC42" s="1" t="e">
        <f t="shared" ca="1" si="47"/>
        <v>#VALUE!</v>
      </c>
      <c r="BE42" s="15" t="str">
        <f>IF(ISBLANK('Exception Stores'!$A$6),"",'Exception Stores'!$A$6)</f>
        <v/>
      </c>
      <c r="BF42" s="15" t="str">
        <f>IF(ISBLANK('Exception Stores'!$B$6),"",'Exception Stores'!$B$6)</f>
        <v/>
      </c>
      <c r="BG42" s="1">
        <f>IF(ISBLANK('Exception Stores'!$A$6),0,IF($AN$2&gt;$BF$2,($AN$2-$BF$2)*24,0))</f>
        <v>0</v>
      </c>
      <c r="BH42" s="11">
        <f>IF(ISBLANK('Exception Stores'!$A$6),0,($BF$2-$BE$2)*24)</f>
        <v>0</v>
      </c>
      <c r="BI4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42" s="1">
        <f>IF(ISBLANK('Exception Stores'!$A$6),0,IF($AN$2&gt;$BF$2,0,IF(AND($AN$2&lt;$BF$2,$BT$2="B"),(($BF$2-$AN$2)*24)-$BS$2,($BF$2-$AN$2)*24)))</f>
        <v>0</v>
      </c>
      <c r="BL42" s="5"/>
      <c r="BM42" s="5"/>
      <c r="BN42" s="5"/>
      <c r="BO42" s="5"/>
      <c r="BP42" s="5"/>
      <c r="BV42" s="1" t="e">
        <f t="shared" ca="1" si="48"/>
        <v>#VALUE!</v>
      </c>
      <c r="BW42" s="1" t="e">
        <f t="shared" ca="1" si="49"/>
        <v>#VALUE!</v>
      </c>
      <c r="BX42" s="1" t="e">
        <f t="shared" ca="1" si="50"/>
        <v>#VALUE!</v>
      </c>
      <c r="BY42" s="1" t="e">
        <f t="shared" ca="1" si="51"/>
        <v>#VALUE!</v>
      </c>
      <c r="BZ42" s="1" t="e">
        <f t="shared" ca="1" si="52"/>
        <v>#VALUE!</v>
      </c>
      <c r="CB42" s="1" t="str">
        <f>IF(ISBLANK('Exception Stores'!$A$6),"",WEEKDAY($BF$2))</f>
        <v/>
      </c>
      <c r="CC42" s="1" t="str">
        <f>IF(ISBLANK('Exception Stores'!$A$6),"NO",IF('Exception Stores'!$A$6&lt;$AU$2,"YES","NO"))</f>
        <v>NO</v>
      </c>
      <c r="CD42" s="1" t="str">
        <f>IF(ISBLANK('Exception Stores'!$A$6),"NO",IF('Exception Stores'!$A$6&lt;$AV$2,"YES","NO"))</f>
        <v>NO</v>
      </c>
      <c r="CE42" s="1" t="str">
        <f>IF(ISBLANK('Exception Stores'!$A$6),"NO",IF('Exception Stores'!$A$6&lt;$AW$2,"YES","NO"))</f>
        <v>NO</v>
      </c>
      <c r="CF42" s="1" t="str">
        <f>IF(ISBLANK('Exception Stores'!$A$6),"NO",IF('Exception Stores'!$A$6&lt;$AX$2,"YES","NO"))</f>
        <v>NO</v>
      </c>
      <c r="CG42" s="1" t="str">
        <f>IF(ISBLANK('Exception Stores'!$A$6),"NO",IF('Exception Stores'!$A$6&lt;$AY$2,"YES","NO"))</f>
        <v>NO</v>
      </c>
      <c r="CI42" s="42" t="str">
        <f>IF(ISBLANK('Exception Stores'!$B$6),"NO",IF('Exception Stores'!$B$6&lt;=$AU$2,"YES","NO"))</f>
        <v>NO</v>
      </c>
      <c r="CJ42" s="42" t="str">
        <f>IF(ISBLANK('Exception Stores'!$B$6),"NO",IF('Exception Stores'!$B$6&lt;=$AV$2,"YES","NO"))</f>
        <v>NO</v>
      </c>
      <c r="CK42" s="1" t="str">
        <f>IF(ISBLANK('Exception Stores'!$B$6),"NO",IF('Exception Stores'!$B$6&lt;=$AW$2,"YES","NO"))</f>
        <v>NO</v>
      </c>
      <c r="CL42" s="1" t="str">
        <f>IF(ISBLANK('Exception Stores'!$B$6),"NO",IF('Exception Stores'!$B$6&lt;=$AX$2,"YES","NO"))</f>
        <v>NO</v>
      </c>
      <c r="CM42" s="1" t="str">
        <f>IF(ISBLANK('Exception Stores'!$B$6),"NO",IF('Exception Stores'!$B$6&lt;=$AY$2,"YES","NO"))</f>
        <v>NO</v>
      </c>
      <c r="CO42" s="1" t="e">
        <f ca="1">IF(AM42&lt;'Exception Stores'!$A$6,"YES","NO")</f>
        <v>#VALUE!</v>
      </c>
      <c r="CP42" s="1">
        <f t="shared" si="53"/>
        <v>0</v>
      </c>
      <c r="CQ42" s="1">
        <f t="shared" si="54"/>
        <v>0</v>
      </c>
      <c r="CR42" s="1">
        <f t="shared" si="55"/>
        <v>0</v>
      </c>
      <c r="CS42" s="1">
        <f t="shared" si="56"/>
        <v>0</v>
      </c>
      <c r="CT42" s="1">
        <f t="shared" si="57"/>
        <v>0</v>
      </c>
      <c r="CU42" s="1">
        <f t="shared" si="58"/>
        <v>0</v>
      </c>
      <c r="CW42" s="1" t="e">
        <f t="shared" ca="1" si="64"/>
        <v>#VALUE!</v>
      </c>
      <c r="CX42" s="1" t="e">
        <f t="shared" ca="1" si="65"/>
        <v>#VALUE!</v>
      </c>
      <c r="CY42" s="1" t="e">
        <f t="shared" ca="1" si="66"/>
        <v>#VALUE!</v>
      </c>
      <c r="CZ42" s="1" t="e">
        <f t="shared" ca="1" si="67"/>
        <v>#VALUE!</v>
      </c>
      <c r="DA42" s="1" t="e">
        <f t="shared" ca="1" si="68"/>
        <v>#VALUE!</v>
      </c>
      <c r="DB42" s="26" t="e">
        <f t="shared" ca="1" si="60"/>
        <v>#VALUE!</v>
      </c>
      <c r="DC42" s="1">
        <f t="shared" si="69"/>
        <v>0</v>
      </c>
      <c r="DD42" s="1">
        <f t="shared" si="70"/>
        <v>0</v>
      </c>
      <c r="DE42" s="1">
        <f t="shared" si="71"/>
        <v>0</v>
      </c>
      <c r="DF42" s="1">
        <f t="shared" si="72"/>
        <v>0</v>
      </c>
      <c r="DG42" s="1">
        <f t="shared" si="73"/>
        <v>0</v>
      </c>
      <c r="DH42" s="26">
        <f t="shared" si="61"/>
        <v>0</v>
      </c>
      <c r="DI42" s="1" t="e">
        <f t="shared" ca="1" si="62"/>
        <v>#VALUE!</v>
      </c>
      <c r="DK42" s="11" t="str">
        <f t="shared" si="74"/>
        <v/>
      </c>
      <c r="DL42" s="11" t="e">
        <f ca="1">IF(AND(NOT(ISBLANK('Exception Stores'!$A$6)),CO42="YES"),S42-$BH$2-(DI42*$BS$2)-(CU42*$BS$2),S42-(DB42*$BS$2))</f>
        <v>#VALUE!</v>
      </c>
      <c r="DM42" s="11" t="str">
        <f>IF(ISBLANK(A42),"",IF(COUNTIF(Remaps!$A$2:$A$200,B42)&gt;0,"YES",""))</f>
        <v>YES</v>
      </c>
      <c r="DN42" s="29">
        <f>IFERROR(INDEX(Remaps!$B$2:$B$200,MATCH(B42,Remaps!$A$2:$A$200,0),1),0)</f>
        <v>0</v>
      </c>
      <c r="DO42" s="11" t="e">
        <f t="shared" ca="1" si="75"/>
        <v>#VALUE!</v>
      </c>
      <c r="DP42" s="29" t="e">
        <f t="shared" si="76"/>
        <v>#VALUE!</v>
      </c>
      <c r="DQ42" s="11" t="e">
        <f ca="1">('Apollo Dock Status'!$Z$1-DP42)/DO42</f>
        <v>#VALUE!</v>
      </c>
      <c r="DR42" s="15" t="e">
        <f t="shared" ca="1" si="63"/>
        <v>#VALUE!</v>
      </c>
    </row>
    <row r="43" spans="1:122">
      <c r="A43" s="1" t="str">
        <f>IF(ISBLANK('Apollo Dock Status'!A43),"",'Apollo Dock Status'!A43)</f>
        <v/>
      </c>
      <c r="B43" s="1" t="str">
        <f>IF(ISBLANK('Apollo Dock Status'!B43),"",'Apollo Dock Status'!B43)</f>
        <v/>
      </c>
      <c r="C43" s="1" t="str">
        <f>IF(ISBLANK('Apollo Dock Status'!C43),"",'Apollo Dock Status'!C43)</f>
        <v/>
      </c>
      <c r="D43" s="1" t="str">
        <f>IF(ISBLANK('Apollo Dock Status'!D43),"",'Apollo Dock Status'!D43)</f>
        <v/>
      </c>
      <c r="E43" s="1" t="str">
        <f>IF(ISBLANK('Apollo Dock Status'!E43),"",'Apollo Dock Status'!E43)</f>
        <v/>
      </c>
      <c r="F43" s="1" t="str">
        <f>IF(ISBLANK('Apollo Dock Status'!F43),"",'Apollo Dock Status'!F43)</f>
        <v/>
      </c>
      <c r="G43" s="1" t="str">
        <f>IF(ISBLANK('Apollo Dock Status'!G43),"",'Apollo Dock Status'!G43)</f>
        <v/>
      </c>
      <c r="H43" s="1" t="str">
        <f>IF(ISBLANK('Apollo Dock Status'!H43),"",'Apollo Dock Status'!H43)</f>
        <v/>
      </c>
      <c r="I43" s="1" t="str">
        <f>IF(ISBLANK('Apollo Dock Status'!I43),"",'Apollo Dock Status'!I43)</f>
        <v/>
      </c>
      <c r="J43" s="1" t="str">
        <f>IF(ISBLANK('Apollo Dock Status'!J43),"",'Apollo Dock Status'!J43)</f>
        <v/>
      </c>
      <c r="K43" s="1" t="str">
        <f>IF(ISBLANK('Apollo Dock Status'!K43),"",'Apollo Dock Status'!K43)</f>
        <v/>
      </c>
      <c r="L43" s="1" t="str">
        <f>IF(ISBLANK('Apollo Dock Status'!L43),"",'Apollo Dock Status'!L43)</f>
        <v/>
      </c>
      <c r="M43" s="1" t="str">
        <f>IF(ISBLANK('Apollo Dock Status'!M43),"",'Apollo Dock Status'!M43)</f>
        <v/>
      </c>
      <c r="N43" s="1" t="str">
        <f>IF(ISBLANK('Apollo Dock Status'!N43),"",'Apollo Dock Status'!N43)</f>
        <v/>
      </c>
      <c r="O43" s="1" t="str">
        <f t="shared" si="12"/>
        <v/>
      </c>
      <c r="P43" s="1" t="str">
        <f t="shared" si="13"/>
        <v/>
      </c>
      <c r="Q43" s="1" t="str">
        <f t="shared" si="14"/>
        <v/>
      </c>
      <c r="R43" s="1" t="str">
        <f t="shared" si="15"/>
        <v/>
      </c>
      <c r="S43" s="11" t="str">
        <f t="shared" si="16"/>
        <v/>
      </c>
      <c r="T43" s="1" t="str">
        <f t="shared" si="17"/>
        <v/>
      </c>
      <c r="U43" s="11" t="str">
        <f t="shared" si="18"/>
        <v/>
      </c>
      <c r="V43" s="11" t="str">
        <f t="shared" si="19"/>
        <v/>
      </c>
      <c r="X43" s="1" t="str">
        <f t="shared" si="20"/>
        <v/>
      </c>
      <c r="Y43" s="1" t="str">
        <f t="shared" si="21"/>
        <v/>
      </c>
      <c r="Z43" s="1" t="str">
        <f t="shared" si="22"/>
        <v/>
      </c>
      <c r="AB43" s="13">
        <f t="shared" ca="1" si="23"/>
        <v>46176</v>
      </c>
      <c r="AC43" s="1">
        <f t="shared" ca="1" si="24"/>
        <v>2026</v>
      </c>
      <c r="AD43" s="1" t="str">
        <f t="shared" ca="1" si="25"/>
        <v>6</v>
      </c>
      <c r="AE43" s="1">
        <f t="shared" si="26"/>
        <v>1</v>
      </c>
      <c r="AF43" s="1" t="str">
        <f t="shared" si="27"/>
        <v/>
      </c>
      <c r="AG43" s="1">
        <f t="shared" ca="1" si="28"/>
        <v>2026</v>
      </c>
      <c r="AH43" s="1">
        <f t="shared" si="29"/>
        <v>1</v>
      </c>
      <c r="AI43" s="1" t="str">
        <f t="shared" ca="1" si="30"/>
        <v>6</v>
      </c>
      <c r="AJ43" s="13" t="e">
        <f t="shared" ca="1" si="31"/>
        <v>#VALUE!</v>
      </c>
      <c r="AK43" s="1" t="e">
        <f>IF(ISBLANK(A43),"",IFERROR(MID(F43,SEARCH(", ",F43)+LEN(", "),SEARCH(" "&amp;'Exception Stores'!$A$2,F43)-SEARCH(", ",F43)-LEN(", ")),MID(F43,SEARCH(", ",F43)+LEN(", "),SEARCH(" "&amp;'Exception Stores'!$B$2,F43)-SEARCH(", ",F43)-LEN(", "))))</f>
        <v>#VALUE!</v>
      </c>
      <c r="AL43" s="1" t="e">
        <f t="shared" si="32"/>
        <v>#VALUE!</v>
      </c>
      <c r="AM43" s="15" t="e">
        <f t="shared" ca="1" si="33"/>
        <v>#VALUE!</v>
      </c>
      <c r="AN43" s="24" t="e">
        <f t="shared" ca="1" si="34"/>
        <v>#VALUE!</v>
      </c>
      <c r="AO43" s="1" t="e">
        <f t="shared" ca="1" si="35"/>
        <v>#VALUE!</v>
      </c>
      <c r="AP43" s="13" t="e">
        <f t="shared" ca="1" si="36"/>
        <v>#VALUE!</v>
      </c>
      <c r="AQ43" s="17" t="e">
        <f t="shared" ca="1" si="37"/>
        <v>#VALUE!</v>
      </c>
      <c r="AS43" s="15" t="e">
        <f t="shared" ca="1" si="38"/>
        <v>#VALUE!</v>
      </c>
      <c r="AT43" s="5">
        <f>'Exception Stores'!$D$2</f>
        <v>0.125</v>
      </c>
      <c r="AU43" s="15" t="e">
        <f t="shared" ca="1" si="39"/>
        <v>#VALUE!</v>
      </c>
      <c r="AV43" s="15" t="e">
        <f t="shared" ca="1" si="40"/>
        <v>#VALUE!</v>
      </c>
      <c r="AW43" s="15" t="e">
        <f t="shared" ca="1" si="41"/>
        <v>#VALUE!</v>
      </c>
      <c r="AX43" s="15" t="e">
        <f t="shared" ca="1" si="42"/>
        <v>#VALUE!</v>
      </c>
      <c r="AY43" s="15" t="e">
        <f t="shared" ca="1" si="43"/>
        <v>#VALUE!</v>
      </c>
      <c r="AZ43" s="1" t="e">
        <f t="shared" ca="1" si="44"/>
        <v>#VALUE!</v>
      </c>
      <c r="BA43" s="15" t="e">
        <f t="shared" ca="1" si="45"/>
        <v>#VALUE!</v>
      </c>
      <c r="BB43" s="15" t="e">
        <f t="shared" ca="1" si="46"/>
        <v>#VALUE!</v>
      </c>
      <c r="BC43" s="1" t="e">
        <f t="shared" ca="1" si="47"/>
        <v>#VALUE!</v>
      </c>
      <c r="BE43" s="15" t="str">
        <f>IF(ISBLANK('Exception Stores'!$A$6),"",'Exception Stores'!$A$6)</f>
        <v/>
      </c>
      <c r="BF43" s="15" t="str">
        <f>IF(ISBLANK('Exception Stores'!$B$6),"",'Exception Stores'!$B$6)</f>
        <v/>
      </c>
      <c r="BG43" s="1">
        <f>IF(ISBLANK('Exception Stores'!$A$6),0,IF($AN$2&gt;$BF$2,($AN$2-$BF$2)*24,0))</f>
        <v>0</v>
      </c>
      <c r="BH43" s="11">
        <f>IF(ISBLANK('Exception Stores'!$A$6),0,($BF$2-$BE$2)*24)</f>
        <v>0</v>
      </c>
      <c r="BI4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43" s="1">
        <f>IF(ISBLANK('Exception Stores'!$A$6),0,IF($AN$2&gt;$BF$2,0,IF(AND($AN$2&lt;$BF$2,$BT$2="B"),(($BF$2-$AN$2)*24)-$BS$2,($BF$2-$AN$2)*24)))</f>
        <v>0</v>
      </c>
      <c r="BL43" s="5"/>
      <c r="BM43" s="5"/>
      <c r="BN43" s="5"/>
      <c r="BO43" s="5"/>
      <c r="BP43" s="5"/>
      <c r="BV43" s="1" t="e">
        <f t="shared" ca="1" si="48"/>
        <v>#VALUE!</v>
      </c>
      <c r="BW43" s="1" t="e">
        <f t="shared" ca="1" si="49"/>
        <v>#VALUE!</v>
      </c>
      <c r="BX43" s="1" t="e">
        <f t="shared" ca="1" si="50"/>
        <v>#VALUE!</v>
      </c>
      <c r="BY43" s="1" t="e">
        <f t="shared" ca="1" si="51"/>
        <v>#VALUE!</v>
      </c>
      <c r="BZ43" s="1" t="e">
        <f t="shared" ca="1" si="52"/>
        <v>#VALUE!</v>
      </c>
      <c r="CB43" s="1" t="str">
        <f>IF(ISBLANK('Exception Stores'!$A$6),"",WEEKDAY($BF$2))</f>
        <v/>
      </c>
      <c r="CC43" s="1" t="str">
        <f>IF(ISBLANK('Exception Stores'!$A$6),"NO",IF('Exception Stores'!$A$6&lt;$AU$2,"YES","NO"))</f>
        <v>NO</v>
      </c>
      <c r="CD43" s="1" t="str">
        <f>IF(ISBLANK('Exception Stores'!$A$6),"NO",IF('Exception Stores'!$A$6&lt;$AV$2,"YES","NO"))</f>
        <v>NO</v>
      </c>
      <c r="CE43" s="1" t="str">
        <f>IF(ISBLANK('Exception Stores'!$A$6),"NO",IF('Exception Stores'!$A$6&lt;$AW$2,"YES","NO"))</f>
        <v>NO</v>
      </c>
      <c r="CF43" s="1" t="str">
        <f>IF(ISBLANK('Exception Stores'!$A$6),"NO",IF('Exception Stores'!$A$6&lt;$AX$2,"YES","NO"))</f>
        <v>NO</v>
      </c>
      <c r="CG43" s="1" t="str">
        <f>IF(ISBLANK('Exception Stores'!$A$6),"NO",IF('Exception Stores'!$A$6&lt;$AY$2,"YES","NO"))</f>
        <v>NO</v>
      </c>
      <c r="CI43" s="42" t="str">
        <f>IF(ISBLANK('Exception Stores'!$B$6),"NO",IF('Exception Stores'!$B$6&lt;=$AU$2,"YES","NO"))</f>
        <v>NO</v>
      </c>
      <c r="CJ43" s="42" t="str">
        <f>IF(ISBLANK('Exception Stores'!$B$6),"NO",IF('Exception Stores'!$B$6&lt;=$AV$2,"YES","NO"))</f>
        <v>NO</v>
      </c>
      <c r="CK43" s="1" t="str">
        <f>IF(ISBLANK('Exception Stores'!$B$6),"NO",IF('Exception Stores'!$B$6&lt;=$AW$2,"YES","NO"))</f>
        <v>NO</v>
      </c>
      <c r="CL43" s="1" t="str">
        <f>IF(ISBLANK('Exception Stores'!$B$6),"NO",IF('Exception Stores'!$B$6&lt;=$AX$2,"YES","NO"))</f>
        <v>NO</v>
      </c>
      <c r="CM43" s="1" t="str">
        <f>IF(ISBLANK('Exception Stores'!$B$6),"NO",IF('Exception Stores'!$B$6&lt;=$AY$2,"YES","NO"))</f>
        <v>NO</v>
      </c>
      <c r="CO43" s="1" t="e">
        <f ca="1">IF(AM43&lt;'Exception Stores'!$A$6,"YES","NO")</f>
        <v>#VALUE!</v>
      </c>
      <c r="CP43" s="1">
        <f t="shared" si="53"/>
        <v>0</v>
      </c>
      <c r="CQ43" s="1">
        <f t="shared" si="54"/>
        <v>0</v>
      </c>
      <c r="CR43" s="1">
        <f t="shared" si="55"/>
        <v>0</v>
      </c>
      <c r="CS43" s="1">
        <f t="shared" si="56"/>
        <v>0</v>
      </c>
      <c r="CT43" s="1">
        <f t="shared" si="57"/>
        <v>0</v>
      </c>
      <c r="CU43" s="1">
        <f t="shared" si="58"/>
        <v>0</v>
      </c>
      <c r="CW43" s="1" t="e">
        <f t="shared" ca="1" si="64"/>
        <v>#VALUE!</v>
      </c>
      <c r="CX43" s="1" t="e">
        <f t="shared" ca="1" si="65"/>
        <v>#VALUE!</v>
      </c>
      <c r="CY43" s="1" t="e">
        <f t="shared" ca="1" si="66"/>
        <v>#VALUE!</v>
      </c>
      <c r="CZ43" s="1" t="e">
        <f t="shared" ca="1" si="67"/>
        <v>#VALUE!</v>
      </c>
      <c r="DA43" s="1" t="e">
        <f t="shared" ca="1" si="68"/>
        <v>#VALUE!</v>
      </c>
      <c r="DB43" s="26" t="e">
        <f t="shared" ca="1" si="60"/>
        <v>#VALUE!</v>
      </c>
      <c r="DC43" s="1">
        <f t="shared" si="69"/>
        <v>0</v>
      </c>
      <c r="DD43" s="1">
        <f t="shared" si="70"/>
        <v>0</v>
      </c>
      <c r="DE43" s="1">
        <f t="shared" si="71"/>
        <v>0</v>
      </c>
      <c r="DF43" s="1">
        <f t="shared" si="72"/>
        <v>0</v>
      </c>
      <c r="DG43" s="1">
        <f t="shared" si="73"/>
        <v>0</v>
      </c>
      <c r="DH43" s="26">
        <f t="shared" si="61"/>
        <v>0</v>
      </c>
      <c r="DI43" s="1" t="e">
        <f t="shared" ca="1" si="62"/>
        <v>#VALUE!</v>
      </c>
      <c r="DK43" s="11" t="str">
        <f t="shared" si="74"/>
        <v/>
      </c>
      <c r="DL43" s="11" t="e">
        <f ca="1">IF(AND(NOT(ISBLANK('Exception Stores'!$A$6)),CO43="YES"),S43-$BH$2-(DI43*$BS$2)-(CU43*$BS$2),S43-(DB43*$BS$2))</f>
        <v>#VALUE!</v>
      </c>
      <c r="DM43" s="11" t="str">
        <f>IF(ISBLANK(A43),"",IF(COUNTIF(Remaps!$A$2:$A$200,B43)&gt;0,"YES",""))</f>
        <v>YES</v>
      </c>
      <c r="DN43" s="29">
        <f>IFERROR(INDEX(Remaps!$B$2:$B$200,MATCH(B43,Remaps!$A$2:$A$200,0),1),0)</f>
        <v>0</v>
      </c>
      <c r="DO43" s="11" t="e">
        <f t="shared" ca="1" si="75"/>
        <v>#VALUE!</v>
      </c>
      <c r="DP43" s="29" t="e">
        <f t="shared" si="76"/>
        <v>#VALUE!</v>
      </c>
      <c r="DQ43" s="11" t="e">
        <f ca="1">('Apollo Dock Status'!$Z$1-DP43)/DO43</f>
        <v>#VALUE!</v>
      </c>
      <c r="DR43" s="15" t="e">
        <f t="shared" ca="1" si="63"/>
        <v>#VALUE!</v>
      </c>
    </row>
    <row r="44" spans="1:122">
      <c r="A44" s="1" t="str">
        <f>IF(ISBLANK('Apollo Dock Status'!A44),"",'Apollo Dock Status'!A44)</f>
        <v/>
      </c>
      <c r="B44" s="1" t="str">
        <f>IF(ISBLANK('Apollo Dock Status'!B44),"",'Apollo Dock Status'!B44)</f>
        <v/>
      </c>
      <c r="C44" s="1" t="str">
        <f>IF(ISBLANK('Apollo Dock Status'!C44),"",'Apollo Dock Status'!C44)</f>
        <v/>
      </c>
      <c r="D44" s="1" t="str">
        <f>IF(ISBLANK('Apollo Dock Status'!D44),"",'Apollo Dock Status'!D44)</f>
        <v/>
      </c>
      <c r="E44" s="1" t="str">
        <f>IF(ISBLANK('Apollo Dock Status'!E44),"",'Apollo Dock Status'!E44)</f>
        <v/>
      </c>
      <c r="F44" s="1" t="str">
        <f>IF(ISBLANK('Apollo Dock Status'!F44),"",'Apollo Dock Status'!F44)</f>
        <v/>
      </c>
      <c r="G44" s="1" t="str">
        <f>IF(ISBLANK('Apollo Dock Status'!G44),"",'Apollo Dock Status'!G44)</f>
        <v/>
      </c>
      <c r="H44" s="1" t="str">
        <f>IF(ISBLANK('Apollo Dock Status'!H44),"",'Apollo Dock Status'!H44)</f>
        <v/>
      </c>
      <c r="I44" s="1" t="str">
        <f>IF(ISBLANK('Apollo Dock Status'!I44),"",'Apollo Dock Status'!I44)</f>
        <v/>
      </c>
      <c r="J44" s="1" t="str">
        <f>IF(ISBLANK('Apollo Dock Status'!J44),"",'Apollo Dock Status'!J44)</f>
        <v/>
      </c>
      <c r="K44" s="1" t="str">
        <f>IF(ISBLANK('Apollo Dock Status'!K44),"",'Apollo Dock Status'!K44)</f>
        <v/>
      </c>
      <c r="L44" s="1" t="str">
        <f>IF(ISBLANK('Apollo Dock Status'!L44),"",'Apollo Dock Status'!L44)</f>
        <v/>
      </c>
      <c r="M44" s="1" t="str">
        <f>IF(ISBLANK('Apollo Dock Status'!M44),"",'Apollo Dock Status'!M44)</f>
        <v/>
      </c>
      <c r="N44" s="1" t="str">
        <f>IF(ISBLANK('Apollo Dock Status'!N44),"",'Apollo Dock Status'!N44)</f>
        <v/>
      </c>
      <c r="O44" s="1" t="str">
        <f t="shared" si="12"/>
        <v/>
      </c>
      <c r="P44" s="1" t="str">
        <f t="shared" si="13"/>
        <v/>
      </c>
      <c r="Q44" s="1" t="str">
        <f t="shared" si="14"/>
        <v/>
      </c>
      <c r="R44" s="1" t="str">
        <f t="shared" si="15"/>
        <v/>
      </c>
      <c r="S44" s="11" t="str">
        <f t="shared" si="16"/>
        <v/>
      </c>
      <c r="T44" s="1" t="str">
        <f t="shared" si="17"/>
        <v/>
      </c>
      <c r="U44" s="11" t="str">
        <f t="shared" si="18"/>
        <v/>
      </c>
      <c r="V44" s="11" t="str">
        <f t="shared" si="19"/>
        <v/>
      </c>
      <c r="X44" s="1" t="str">
        <f t="shared" si="20"/>
        <v/>
      </c>
      <c r="Y44" s="1" t="str">
        <f t="shared" si="21"/>
        <v/>
      </c>
      <c r="Z44" s="1" t="str">
        <f t="shared" si="22"/>
        <v/>
      </c>
      <c r="AB44" s="13">
        <f t="shared" ca="1" si="23"/>
        <v>46176</v>
      </c>
      <c r="AC44" s="1">
        <f t="shared" ca="1" si="24"/>
        <v>2026</v>
      </c>
      <c r="AD44" s="1" t="str">
        <f t="shared" ca="1" si="25"/>
        <v>6</v>
      </c>
      <c r="AE44" s="1">
        <f t="shared" si="26"/>
        <v>1</v>
      </c>
      <c r="AF44" s="1" t="str">
        <f t="shared" si="27"/>
        <v/>
      </c>
      <c r="AG44" s="1">
        <f t="shared" ca="1" si="28"/>
        <v>2026</v>
      </c>
      <c r="AH44" s="1">
        <f t="shared" si="29"/>
        <v>1</v>
      </c>
      <c r="AI44" s="1" t="str">
        <f t="shared" ca="1" si="30"/>
        <v>6</v>
      </c>
      <c r="AJ44" s="13" t="e">
        <f t="shared" ca="1" si="31"/>
        <v>#VALUE!</v>
      </c>
      <c r="AK44" s="1" t="e">
        <f>IF(ISBLANK(A44),"",IFERROR(MID(F44,SEARCH(", ",F44)+LEN(", "),SEARCH(" "&amp;'Exception Stores'!$A$2,F44)-SEARCH(", ",F44)-LEN(", ")),MID(F44,SEARCH(", ",F44)+LEN(", "),SEARCH(" "&amp;'Exception Stores'!$B$2,F44)-SEARCH(", ",F44)-LEN(", "))))</f>
        <v>#VALUE!</v>
      </c>
      <c r="AL44" s="1" t="e">
        <f t="shared" si="32"/>
        <v>#VALUE!</v>
      </c>
      <c r="AM44" s="15" t="e">
        <f t="shared" ca="1" si="33"/>
        <v>#VALUE!</v>
      </c>
      <c r="AN44" s="24" t="e">
        <f t="shared" ca="1" si="34"/>
        <v>#VALUE!</v>
      </c>
      <c r="AO44" s="1" t="e">
        <f t="shared" ca="1" si="35"/>
        <v>#VALUE!</v>
      </c>
      <c r="AP44" s="13" t="e">
        <f t="shared" ca="1" si="36"/>
        <v>#VALUE!</v>
      </c>
      <c r="AQ44" s="17" t="e">
        <f t="shared" ca="1" si="37"/>
        <v>#VALUE!</v>
      </c>
      <c r="AS44" s="15" t="e">
        <f t="shared" ca="1" si="38"/>
        <v>#VALUE!</v>
      </c>
      <c r="AT44" s="5">
        <f>'Exception Stores'!$D$2</f>
        <v>0.125</v>
      </c>
      <c r="AU44" s="15" t="e">
        <f t="shared" ca="1" si="39"/>
        <v>#VALUE!</v>
      </c>
      <c r="AV44" s="15" t="e">
        <f t="shared" ca="1" si="40"/>
        <v>#VALUE!</v>
      </c>
      <c r="AW44" s="15" t="e">
        <f t="shared" ca="1" si="41"/>
        <v>#VALUE!</v>
      </c>
      <c r="AX44" s="15" t="e">
        <f t="shared" ca="1" si="42"/>
        <v>#VALUE!</v>
      </c>
      <c r="AY44" s="15" t="e">
        <f t="shared" ca="1" si="43"/>
        <v>#VALUE!</v>
      </c>
      <c r="AZ44" s="1" t="e">
        <f t="shared" ca="1" si="44"/>
        <v>#VALUE!</v>
      </c>
      <c r="BA44" s="15" t="e">
        <f t="shared" ca="1" si="45"/>
        <v>#VALUE!</v>
      </c>
      <c r="BB44" s="15" t="e">
        <f t="shared" ca="1" si="46"/>
        <v>#VALUE!</v>
      </c>
      <c r="BC44" s="1" t="e">
        <f t="shared" ca="1" si="47"/>
        <v>#VALUE!</v>
      </c>
      <c r="BE44" s="15" t="str">
        <f>IF(ISBLANK('Exception Stores'!$A$6),"",'Exception Stores'!$A$6)</f>
        <v/>
      </c>
      <c r="BF44" s="15" t="str">
        <f>IF(ISBLANK('Exception Stores'!$B$6),"",'Exception Stores'!$B$6)</f>
        <v/>
      </c>
      <c r="BG44" s="1">
        <f>IF(ISBLANK('Exception Stores'!$A$6),0,IF($AN$2&gt;$BF$2,($AN$2-$BF$2)*24,0))</f>
        <v>0</v>
      </c>
      <c r="BH44" s="11">
        <f>IF(ISBLANK('Exception Stores'!$A$6),0,($BF$2-$BE$2)*24)</f>
        <v>0</v>
      </c>
      <c r="BI4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44" s="1">
        <f>IF(ISBLANK('Exception Stores'!$A$6),0,IF($AN$2&gt;$BF$2,0,IF(AND($AN$2&lt;$BF$2,$BT$2="B"),(($BF$2-$AN$2)*24)-$BS$2,($BF$2-$AN$2)*24)))</f>
        <v>0</v>
      </c>
      <c r="BL44" s="5"/>
      <c r="BM44" s="5"/>
      <c r="BN44" s="5"/>
      <c r="BO44" s="5"/>
      <c r="BP44" s="5"/>
      <c r="BV44" s="1" t="e">
        <f t="shared" ca="1" si="48"/>
        <v>#VALUE!</v>
      </c>
      <c r="BW44" s="1" t="e">
        <f t="shared" ca="1" si="49"/>
        <v>#VALUE!</v>
      </c>
      <c r="BX44" s="1" t="e">
        <f t="shared" ca="1" si="50"/>
        <v>#VALUE!</v>
      </c>
      <c r="BY44" s="1" t="e">
        <f t="shared" ca="1" si="51"/>
        <v>#VALUE!</v>
      </c>
      <c r="BZ44" s="1" t="e">
        <f t="shared" ca="1" si="52"/>
        <v>#VALUE!</v>
      </c>
      <c r="CB44" s="1" t="str">
        <f>IF(ISBLANK('Exception Stores'!$A$6),"",WEEKDAY($BF$2))</f>
        <v/>
      </c>
      <c r="CC44" s="1" t="str">
        <f>IF(ISBLANK('Exception Stores'!$A$6),"NO",IF('Exception Stores'!$A$6&lt;$AU$2,"YES","NO"))</f>
        <v>NO</v>
      </c>
      <c r="CD44" s="1" t="str">
        <f>IF(ISBLANK('Exception Stores'!$A$6),"NO",IF('Exception Stores'!$A$6&lt;$AV$2,"YES","NO"))</f>
        <v>NO</v>
      </c>
      <c r="CE44" s="1" t="str">
        <f>IF(ISBLANK('Exception Stores'!$A$6),"NO",IF('Exception Stores'!$A$6&lt;$AW$2,"YES","NO"))</f>
        <v>NO</v>
      </c>
      <c r="CF44" s="1" t="str">
        <f>IF(ISBLANK('Exception Stores'!$A$6),"NO",IF('Exception Stores'!$A$6&lt;$AX$2,"YES","NO"))</f>
        <v>NO</v>
      </c>
      <c r="CG44" s="1" t="str">
        <f>IF(ISBLANK('Exception Stores'!$A$6),"NO",IF('Exception Stores'!$A$6&lt;$AY$2,"YES","NO"))</f>
        <v>NO</v>
      </c>
      <c r="CI44" s="42" t="str">
        <f>IF(ISBLANK('Exception Stores'!$B$6),"NO",IF('Exception Stores'!$B$6&lt;=$AU$2,"YES","NO"))</f>
        <v>NO</v>
      </c>
      <c r="CJ44" s="42" t="str">
        <f>IF(ISBLANK('Exception Stores'!$B$6),"NO",IF('Exception Stores'!$B$6&lt;=$AV$2,"YES","NO"))</f>
        <v>NO</v>
      </c>
      <c r="CK44" s="1" t="str">
        <f>IF(ISBLANK('Exception Stores'!$B$6),"NO",IF('Exception Stores'!$B$6&lt;=$AW$2,"YES","NO"))</f>
        <v>NO</v>
      </c>
      <c r="CL44" s="1" t="str">
        <f>IF(ISBLANK('Exception Stores'!$B$6),"NO",IF('Exception Stores'!$B$6&lt;=$AX$2,"YES","NO"))</f>
        <v>NO</v>
      </c>
      <c r="CM44" s="1" t="str">
        <f>IF(ISBLANK('Exception Stores'!$B$6),"NO",IF('Exception Stores'!$B$6&lt;=$AY$2,"YES","NO"))</f>
        <v>NO</v>
      </c>
      <c r="CO44" s="1" t="e">
        <f ca="1">IF(AM44&lt;'Exception Stores'!$A$6,"YES","NO")</f>
        <v>#VALUE!</v>
      </c>
      <c r="CP44" s="1">
        <f t="shared" si="53"/>
        <v>0</v>
      </c>
      <c r="CQ44" s="1">
        <f t="shared" si="54"/>
        <v>0</v>
      </c>
      <c r="CR44" s="1">
        <f t="shared" si="55"/>
        <v>0</v>
      </c>
      <c r="CS44" s="1">
        <f t="shared" si="56"/>
        <v>0</v>
      </c>
      <c r="CT44" s="1">
        <f t="shared" si="57"/>
        <v>0</v>
      </c>
      <c r="CU44" s="1">
        <f t="shared" si="58"/>
        <v>0</v>
      </c>
      <c r="CW44" s="1" t="e">
        <f t="shared" ca="1" si="64"/>
        <v>#VALUE!</v>
      </c>
      <c r="CX44" s="1" t="e">
        <f t="shared" ca="1" si="65"/>
        <v>#VALUE!</v>
      </c>
      <c r="CY44" s="1" t="e">
        <f t="shared" ca="1" si="66"/>
        <v>#VALUE!</v>
      </c>
      <c r="CZ44" s="1" t="e">
        <f t="shared" ca="1" si="67"/>
        <v>#VALUE!</v>
      </c>
      <c r="DA44" s="1" t="e">
        <f t="shared" ca="1" si="68"/>
        <v>#VALUE!</v>
      </c>
      <c r="DB44" s="26" t="e">
        <f t="shared" ca="1" si="60"/>
        <v>#VALUE!</v>
      </c>
      <c r="DC44" s="1">
        <f t="shared" si="69"/>
        <v>0</v>
      </c>
      <c r="DD44" s="1">
        <f t="shared" si="70"/>
        <v>0</v>
      </c>
      <c r="DE44" s="1">
        <f t="shared" si="71"/>
        <v>0</v>
      </c>
      <c r="DF44" s="1">
        <f t="shared" si="72"/>
        <v>0</v>
      </c>
      <c r="DG44" s="1">
        <f t="shared" si="73"/>
        <v>0</v>
      </c>
      <c r="DH44" s="26">
        <f t="shared" si="61"/>
        <v>0</v>
      </c>
      <c r="DI44" s="1" t="e">
        <f t="shared" ca="1" si="62"/>
        <v>#VALUE!</v>
      </c>
      <c r="DK44" s="11" t="str">
        <f t="shared" si="74"/>
        <v/>
      </c>
      <c r="DL44" s="11" t="e">
        <f ca="1">IF(AND(NOT(ISBLANK('Exception Stores'!$A$6)),CO44="YES"),S44-$BH$2-(DI44*$BS$2)-(CU44*$BS$2),S44-(DB44*$BS$2))</f>
        <v>#VALUE!</v>
      </c>
      <c r="DM44" s="11" t="str">
        <f>IF(ISBLANK(A44),"",IF(COUNTIF(Remaps!$A$2:$A$200,B44)&gt;0,"YES",""))</f>
        <v>YES</v>
      </c>
      <c r="DN44" s="29">
        <f>IFERROR(INDEX(Remaps!$B$2:$B$200,MATCH(B44,Remaps!$A$2:$A$200,0),1),0)</f>
        <v>0</v>
      </c>
      <c r="DO44" s="11" t="e">
        <f t="shared" ca="1" si="75"/>
        <v>#VALUE!</v>
      </c>
      <c r="DP44" s="29" t="e">
        <f t="shared" si="76"/>
        <v>#VALUE!</v>
      </c>
      <c r="DQ44" s="11" t="e">
        <f ca="1">('Apollo Dock Status'!$Z$1-DP44)/DO44</f>
        <v>#VALUE!</v>
      </c>
      <c r="DR44" s="15" t="e">
        <f t="shared" ca="1" si="63"/>
        <v>#VALUE!</v>
      </c>
    </row>
    <row r="45" spans="1:122">
      <c r="A45" s="1" t="str">
        <f>IF(ISBLANK('Apollo Dock Status'!A45),"",'Apollo Dock Status'!A45)</f>
        <v/>
      </c>
      <c r="B45" s="1" t="str">
        <f>IF(ISBLANK('Apollo Dock Status'!B45),"",'Apollo Dock Status'!B45)</f>
        <v/>
      </c>
      <c r="C45" s="1" t="str">
        <f>IF(ISBLANK('Apollo Dock Status'!C45),"",'Apollo Dock Status'!C45)</f>
        <v/>
      </c>
      <c r="D45" s="1" t="str">
        <f>IF(ISBLANK('Apollo Dock Status'!D45),"",'Apollo Dock Status'!D45)</f>
        <v/>
      </c>
      <c r="E45" s="1" t="str">
        <f>IF(ISBLANK('Apollo Dock Status'!E45),"",'Apollo Dock Status'!E45)</f>
        <v/>
      </c>
      <c r="F45" s="1" t="str">
        <f>IF(ISBLANK('Apollo Dock Status'!F45),"",'Apollo Dock Status'!F45)</f>
        <v/>
      </c>
      <c r="G45" s="1" t="str">
        <f>IF(ISBLANK('Apollo Dock Status'!G45),"",'Apollo Dock Status'!G45)</f>
        <v/>
      </c>
      <c r="H45" s="1" t="str">
        <f>IF(ISBLANK('Apollo Dock Status'!H45),"",'Apollo Dock Status'!H45)</f>
        <v/>
      </c>
      <c r="I45" s="1" t="str">
        <f>IF(ISBLANK('Apollo Dock Status'!I45),"",'Apollo Dock Status'!I45)</f>
        <v/>
      </c>
      <c r="J45" s="1" t="str">
        <f>IF(ISBLANK('Apollo Dock Status'!J45),"",'Apollo Dock Status'!J45)</f>
        <v/>
      </c>
      <c r="K45" s="1" t="str">
        <f>IF(ISBLANK('Apollo Dock Status'!K45),"",'Apollo Dock Status'!K45)</f>
        <v/>
      </c>
      <c r="L45" s="1" t="str">
        <f>IF(ISBLANK('Apollo Dock Status'!L45),"",'Apollo Dock Status'!L45)</f>
        <v/>
      </c>
      <c r="M45" s="1" t="str">
        <f>IF(ISBLANK('Apollo Dock Status'!M45),"",'Apollo Dock Status'!M45)</f>
        <v/>
      </c>
      <c r="N45" s="1" t="str">
        <f>IF(ISBLANK('Apollo Dock Status'!N45),"",'Apollo Dock Status'!N45)</f>
        <v/>
      </c>
      <c r="O45" s="1" t="str">
        <f t="shared" si="12"/>
        <v/>
      </c>
      <c r="P45" s="1" t="str">
        <f t="shared" si="13"/>
        <v/>
      </c>
      <c r="Q45" s="1" t="str">
        <f t="shared" si="14"/>
        <v/>
      </c>
      <c r="R45" s="1" t="str">
        <f t="shared" si="15"/>
        <v/>
      </c>
      <c r="S45" s="11" t="str">
        <f t="shared" si="16"/>
        <v/>
      </c>
      <c r="T45" s="1" t="str">
        <f t="shared" si="17"/>
        <v/>
      </c>
      <c r="U45" s="11" t="str">
        <f t="shared" si="18"/>
        <v/>
      </c>
      <c r="V45" s="11" t="str">
        <f t="shared" si="19"/>
        <v/>
      </c>
      <c r="X45" s="1" t="str">
        <f t="shared" si="20"/>
        <v/>
      </c>
      <c r="Y45" s="1" t="str">
        <f t="shared" si="21"/>
        <v/>
      </c>
      <c r="Z45" s="1" t="str">
        <f t="shared" si="22"/>
        <v/>
      </c>
      <c r="AB45" s="13">
        <f t="shared" ca="1" si="23"/>
        <v>46176</v>
      </c>
      <c r="AC45" s="1">
        <f t="shared" ca="1" si="24"/>
        <v>2026</v>
      </c>
      <c r="AD45" s="1" t="str">
        <f t="shared" ca="1" si="25"/>
        <v>6</v>
      </c>
      <c r="AE45" s="1">
        <f t="shared" si="26"/>
        <v>1</v>
      </c>
      <c r="AF45" s="1" t="str">
        <f t="shared" si="27"/>
        <v/>
      </c>
      <c r="AG45" s="1">
        <f t="shared" ca="1" si="28"/>
        <v>2026</v>
      </c>
      <c r="AH45" s="1">
        <f t="shared" si="29"/>
        <v>1</v>
      </c>
      <c r="AI45" s="1" t="str">
        <f t="shared" ca="1" si="30"/>
        <v>6</v>
      </c>
      <c r="AJ45" s="13" t="e">
        <f t="shared" ca="1" si="31"/>
        <v>#VALUE!</v>
      </c>
      <c r="AK45" s="1" t="e">
        <f>IF(ISBLANK(A45),"",IFERROR(MID(F45,SEARCH(", ",F45)+LEN(", "),SEARCH(" "&amp;'Exception Stores'!$A$2,F45)-SEARCH(", ",F45)-LEN(", ")),MID(F45,SEARCH(", ",F45)+LEN(", "),SEARCH(" "&amp;'Exception Stores'!$B$2,F45)-SEARCH(", ",F45)-LEN(", "))))</f>
        <v>#VALUE!</v>
      </c>
      <c r="AL45" s="1" t="e">
        <f t="shared" si="32"/>
        <v>#VALUE!</v>
      </c>
      <c r="AM45" s="15" t="e">
        <f t="shared" ca="1" si="33"/>
        <v>#VALUE!</v>
      </c>
      <c r="AN45" s="24" t="e">
        <f t="shared" ca="1" si="34"/>
        <v>#VALUE!</v>
      </c>
      <c r="AO45" s="1" t="e">
        <f t="shared" ca="1" si="35"/>
        <v>#VALUE!</v>
      </c>
      <c r="AP45" s="13" t="e">
        <f t="shared" ca="1" si="36"/>
        <v>#VALUE!</v>
      </c>
      <c r="AQ45" s="17" t="e">
        <f t="shared" ca="1" si="37"/>
        <v>#VALUE!</v>
      </c>
      <c r="AS45" s="15" t="e">
        <f t="shared" ca="1" si="38"/>
        <v>#VALUE!</v>
      </c>
      <c r="AT45" s="5">
        <f>'Exception Stores'!$D$2</f>
        <v>0.125</v>
      </c>
      <c r="AU45" s="15" t="e">
        <f t="shared" ca="1" si="39"/>
        <v>#VALUE!</v>
      </c>
      <c r="AV45" s="15" t="e">
        <f t="shared" ca="1" si="40"/>
        <v>#VALUE!</v>
      </c>
      <c r="AW45" s="15" t="e">
        <f t="shared" ca="1" si="41"/>
        <v>#VALUE!</v>
      </c>
      <c r="AX45" s="15" t="e">
        <f t="shared" ca="1" si="42"/>
        <v>#VALUE!</v>
      </c>
      <c r="AY45" s="15" t="e">
        <f t="shared" ca="1" si="43"/>
        <v>#VALUE!</v>
      </c>
      <c r="AZ45" s="1" t="e">
        <f t="shared" ca="1" si="44"/>
        <v>#VALUE!</v>
      </c>
      <c r="BA45" s="15" t="e">
        <f t="shared" ca="1" si="45"/>
        <v>#VALUE!</v>
      </c>
      <c r="BB45" s="15" t="e">
        <f t="shared" ca="1" si="46"/>
        <v>#VALUE!</v>
      </c>
      <c r="BC45" s="1" t="e">
        <f t="shared" ca="1" si="47"/>
        <v>#VALUE!</v>
      </c>
      <c r="BE45" s="15" t="str">
        <f>IF(ISBLANK('Exception Stores'!$A$6),"",'Exception Stores'!$A$6)</f>
        <v/>
      </c>
      <c r="BF45" s="15" t="str">
        <f>IF(ISBLANK('Exception Stores'!$B$6),"",'Exception Stores'!$B$6)</f>
        <v/>
      </c>
      <c r="BG45" s="1">
        <f>IF(ISBLANK('Exception Stores'!$A$6),0,IF($AN$2&gt;$BF$2,($AN$2-$BF$2)*24,0))</f>
        <v>0</v>
      </c>
      <c r="BH45" s="11">
        <f>IF(ISBLANK('Exception Stores'!$A$6),0,($BF$2-$BE$2)*24)</f>
        <v>0</v>
      </c>
      <c r="BI4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45" s="1">
        <f>IF(ISBLANK('Exception Stores'!$A$6),0,IF($AN$2&gt;$BF$2,0,IF(AND($AN$2&lt;$BF$2,$BT$2="B"),(($BF$2-$AN$2)*24)-$BS$2,($BF$2-$AN$2)*24)))</f>
        <v>0</v>
      </c>
      <c r="BL45" s="5"/>
      <c r="BM45" s="5"/>
      <c r="BN45" s="5"/>
      <c r="BO45" s="5"/>
      <c r="BP45" s="5"/>
      <c r="BV45" s="1" t="e">
        <f t="shared" ca="1" si="48"/>
        <v>#VALUE!</v>
      </c>
      <c r="BW45" s="1" t="e">
        <f t="shared" ca="1" si="49"/>
        <v>#VALUE!</v>
      </c>
      <c r="BX45" s="1" t="e">
        <f t="shared" ca="1" si="50"/>
        <v>#VALUE!</v>
      </c>
      <c r="BY45" s="1" t="e">
        <f t="shared" ca="1" si="51"/>
        <v>#VALUE!</v>
      </c>
      <c r="BZ45" s="1" t="e">
        <f t="shared" ca="1" si="52"/>
        <v>#VALUE!</v>
      </c>
      <c r="CB45" s="1" t="str">
        <f>IF(ISBLANK('Exception Stores'!$A$6),"",WEEKDAY($BF$2))</f>
        <v/>
      </c>
      <c r="CC45" s="1" t="str">
        <f>IF(ISBLANK('Exception Stores'!$A$6),"NO",IF('Exception Stores'!$A$6&lt;$AU$2,"YES","NO"))</f>
        <v>NO</v>
      </c>
      <c r="CD45" s="1" t="str">
        <f>IF(ISBLANK('Exception Stores'!$A$6),"NO",IF('Exception Stores'!$A$6&lt;$AV$2,"YES","NO"))</f>
        <v>NO</v>
      </c>
      <c r="CE45" s="1" t="str">
        <f>IF(ISBLANK('Exception Stores'!$A$6),"NO",IF('Exception Stores'!$A$6&lt;$AW$2,"YES","NO"))</f>
        <v>NO</v>
      </c>
      <c r="CF45" s="1" t="str">
        <f>IF(ISBLANK('Exception Stores'!$A$6),"NO",IF('Exception Stores'!$A$6&lt;$AX$2,"YES","NO"))</f>
        <v>NO</v>
      </c>
      <c r="CG45" s="1" t="str">
        <f>IF(ISBLANK('Exception Stores'!$A$6),"NO",IF('Exception Stores'!$A$6&lt;$AY$2,"YES","NO"))</f>
        <v>NO</v>
      </c>
      <c r="CI45" s="42" t="str">
        <f>IF(ISBLANK('Exception Stores'!$B$6),"NO",IF('Exception Stores'!$B$6&lt;=$AU$2,"YES","NO"))</f>
        <v>NO</v>
      </c>
      <c r="CJ45" s="42" t="str">
        <f>IF(ISBLANK('Exception Stores'!$B$6),"NO",IF('Exception Stores'!$B$6&lt;=$AV$2,"YES","NO"))</f>
        <v>NO</v>
      </c>
      <c r="CK45" s="1" t="str">
        <f>IF(ISBLANK('Exception Stores'!$B$6),"NO",IF('Exception Stores'!$B$6&lt;=$AW$2,"YES","NO"))</f>
        <v>NO</v>
      </c>
      <c r="CL45" s="1" t="str">
        <f>IF(ISBLANK('Exception Stores'!$B$6),"NO",IF('Exception Stores'!$B$6&lt;=$AX$2,"YES","NO"))</f>
        <v>NO</v>
      </c>
      <c r="CM45" s="1" t="str">
        <f>IF(ISBLANK('Exception Stores'!$B$6),"NO",IF('Exception Stores'!$B$6&lt;=$AY$2,"YES","NO"))</f>
        <v>NO</v>
      </c>
      <c r="CO45" s="1" t="e">
        <f ca="1">IF(AM45&lt;'Exception Stores'!$A$6,"YES","NO")</f>
        <v>#VALUE!</v>
      </c>
      <c r="CP45" s="1">
        <f t="shared" si="53"/>
        <v>0</v>
      </c>
      <c r="CQ45" s="1">
        <f t="shared" si="54"/>
        <v>0</v>
      </c>
      <c r="CR45" s="1">
        <f t="shared" si="55"/>
        <v>0</v>
      </c>
      <c r="CS45" s="1">
        <f t="shared" si="56"/>
        <v>0</v>
      </c>
      <c r="CT45" s="1">
        <f t="shared" si="57"/>
        <v>0</v>
      </c>
      <c r="CU45" s="1">
        <f t="shared" si="58"/>
        <v>0</v>
      </c>
      <c r="CW45" s="1" t="e">
        <f t="shared" ca="1" si="64"/>
        <v>#VALUE!</v>
      </c>
      <c r="CX45" s="1" t="e">
        <f t="shared" ca="1" si="65"/>
        <v>#VALUE!</v>
      </c>
      <c r="CY45" s="1" t="e">
        <f t="shared" ca="1" si="66"/>
        <v>#VALUE!</v>
      </c>
      <c r="CZ45" s="1" t="e">
        <f t="shared" ca="1" si="67"/>
        <v>#VALUE!</v>
      </c>
      <c r="DA45" s="1" t="e">
        <f t="shared" ca="1" si="68"/>
        <v>#VALUE!</v>
      </c>
      <c r="DB45" s="26" t="e">
        <f t="shared" ca="1" si="60"/>
        <v>#VALUE!</v>
      </c>
      <c r="DC45" s="1">
        <f t="shared" si="69"/>
        <v>0</v>
      </c>
      <c r="DD45" s="1">
        <f t="shared" si="70"/>
        <v>0</v>
      </c>
      <c r="DE45" s="1">
        <f t="shared" si="71"/>
        <v>0</v>
      </c>
      <c r="DF45" s="1">
        <f t="shared" si="72"/>
        <v>0</v>
      </c>
      <c r="DG45" s="1">
        <f t="shared" si="73"/>
        <v>0</v>
      </c>
      <c r="DH45" s="26">
        <f t="shared" si="61"/>
        <v>0</v>
      </c>
      <c r="DI45" s="1" t="e">
        <f t="shared" ca="1" si="62"/>
        <v>#VALUE!</v>
      </c>
      <c r="DK45" s="11" t="str">
        <f t="shared" si="74"/>
        <v/>
      </c>
      <c r="DL45" s="11" t="e">
        <f ca="1">IF(AND(NOT(ISBLANK('Exception Stores'!$A$6)),CO45="YES"),S45-$BH$2-(DI45*$BS$2)-(CU45*$BS$2),S45-(DB45*$BS$2))</f>
        <v>#VALUE!</v>
      </c>
      <c r="DM45" s="11" t="str">
        <f>IF(ISBLANK(A45),"",IF(COUNTIF(Remaps!$A$2:$A$200,B45)&gt;0,"YES",""))</f>
        <v>YES</v>
      </c>
      <c r="DN45" s="29">
        <f>IFERROR(INDEX(Remaps!$B$2:$B$200,MATCH(B45,Remaps!$A$2:$A$200,0),1),0)</f>
        <v>0</v>
      </c>
      <c r="DO45" s="11" t="e">
        <f t="shared" ca="1" si="75"/>
        <v>#VALUE!</v>
      </c>
      <c r="DP45" s="29" t="e">
        <f t="shared" si="76"/>
        <v>#VALUE!</v>
      </c>
      <c r="DQ45" s="11" t="e">
        <f ca="1">('Apollo Dock Status'!$Z$1-DP45)/DO45</f>
        <v>#VALUE!</v>
      </c>
      <c r="DR45" s="15" t="e">
        <f t="shared" ca="1" si="63"/>
        <v>#VALUE!</v>
      </c>
    </row>
    <row r="46" spans="1:122">
      <c r="A46" s="1" t="str">
        <f>IF(ISBLANK('Apollo Dock Status'!A46),"",'Apollo Dock Status'!A46)</f>
        <v/>
      </c>
      <c r="B46" s="1" t="str">
        <f>IF(ISBLANK('Apollo Dock Status'!B46),"",'Apollo Dock Status'!B46)</f>
        <v/>
      </c>
      <c r="C46" s="1" t="str">
        <f>IF(ISBLANK('Apollo Dock Status'!C46),"",'Apollo Dock Status'!C46)</f>
        <v/>
      </c>
      <c r="D46" s="1" t="str">
        <f>IF(ISBLANK('Apollo Dock Status'!D46),"",'Apollo Dock Status'!D46)</f>
        <v/>
      </c>
      <c r="E46" s="1" t="str">
        <f>IF(ISBLANK('Apollo Dock Status'!E46),"",'Apollo Dock Status'!E46)</f>
        <v/>
      </c>
      <c r="F46" s="1" t="str">
        <f>IF(ISBLANK('Apollo Dock Status'!F46),"",'Apollo Dock Status'!F46)</f>
        <v/>
      </c>
      <c r="G46" s="1" t="str">
        <f>IF(ISBLANK('Apollo Dock Status'!G46),"",'Apollo Dock Status'!G46)</f>
        <v/>
      </c>
      <c r="H46" s="1" t="str">
        <f>IF(ISBLANK('Apollo Dock Status'!H46),"",'Apollo Dock Status'!H46)</f>
        <v/>
      </c>
      <c r="I46" s="1" t="str">
        <f>IF(ISBLANK('Apollo Dock Status'!I46),"",'Apollo Dock Status'!I46)</f>
        <v/>
      </c>
      <c r="J46" s="1" t="str">
        <f>IF(ISBLANK('Apollo Dock Status'!J46),"",'Apollo Dock Status'!J46)</f>
        <v/>
      </c>
      <c r="K46" s="1" t="str">
        <f>IF(ISBLANK('Apollo Dock Status'!K46),"",'Apollo Dock Status'!K46)</f>
        <v/>
      </c>
      <c r="L46" s="1" t="str">
        <f>IF(ISBLANK('Apollo Dock Status'!L46),"",'Apollo Dock Status'!L46)</f>
        <v/>
      </c>
      <c r="M46" s="1" t="str">
        <f>IF(ISBLANK('Apollo Dock Status'!M46),"",'Apollo Dock Status'!M46)</f>
        <v/>
      </c>
      <c r="N46" s="1" t="str">
        <f>IF(ISBLANK('Apollo Dock Status'!N46),"",'Apollo Dock Status'!N46)</f>
        <v/>
      </c>
      <c r="O46" s="1" t="str">
        <f t="shared" si="12"/>
        <v/>
      </c>
      <c r="P46" s="1" t="str">
        <f t="shared" si="13"/>
        <v/>
      </c>
      <c r="Q46" s="1" t="str">
        <f t="shared" si="14"/>
        <v/>
      </c>
      <c r="R46" s="1" t="str">
        <f t="shared" si="15"/>
        <v/>
      </c>
      <c r="S46" s="11" t="str">
        <f t="shared" si="16"/>
        <v/>
      </c>
      <c r="T46" s="1" t="str">
        <f t="shared" si="17"/>
        <v/>
      </c>
      <c r="U46" s="11" t="str">
        <f t="shared" si="18"/>
        <v/>
      </c>
      <c r="V46" s="11" t="str">
        <f t="shared" si="19"/>
        <v/>
      </c>
      <c r="X46" s="1" t="str">
        <f t="shared" si="20"/>
        <v/>
      </c>
      <c r="Y46" s="1" t="str">
        <f t="shared" si="21"/>
        <v/>
      </c>
      <c r="Z46" s="1" t="str">
        <f t="shared" si="22"/>
        <v/>
      </c>
      <c r="AB46" s="13">
        <f t="shared" ca="1" si="23"/>
        <v>46176</v>
      </c>
      <c r="AC46" s="1">
        <f t="shared" ca="1" si="24"/>
        <v>2026</v>
      </c>
      <c r="AD46" s="1" t="str">
        <f t="shared" ca="1" si="25"/>
        <v>6</v>
      </c>
      <c r="AE46" s="1">
        <f t="shared" si="26"/>
        <v>1</v>
      </c>
      <c r="AF46" s="1" t="str">
        <f t="shared" si="27"/>
        <v/>
      </c>
      <c r="AG46" s="1">
        <f t="shared" ca="1" si="28"/>
        <v>2026</v>
      </c>
      <c r="AH46" s="1">
        <f t="shared" si="29"/>
        <v>1</v>
      </c>
      <c r="AI46" s="1" t="str">
        <f t="shared" ca="1" si="30"/>
        <v>6</v>
      </c>
      <c r="AJ46" s="13" t="e">
        <f t="shared" ca="1" si="31"/>
        <v>#VALUE!</v>
      </c>
      <c r="AK46" s="1" t="e">
        <f>IF(ISBLANK(A46),"",IFERROR(MID(F46,SEARCH(", ",F46)+LEN(", "),SEARCH(" "&amp;'Exception Stores'!$A$2,F46)-SEARCH(", ",F46)-LEN(", ")),MID(F46,SEARCH(", ",F46)+LEN(", "),SEARCH(" "&amp;'Exception Stores'!$B$2,F46)-SEARCH(", ",F46)-LEN(", "))))</f>
        <v>#VALUE!</v>
      </c>
      <c r="AL46" s="1" t="e">
        <f t="shared" si="32"/>
        <v>#VALUE!</v>
      </c>
      <c r="AM46" s="15" t="e">
        <f t="shared" ca="1" si="33"/>
        <v>#VALUE!</v>
      </c>
      <c r="AN46" s="24" t="e">
        <f t="shared" ca="1" si="34"/>
        <v>#VALUE!</v>
      </c>
      <c r="AO46" s="1" t="e">
        <f t="shared" ca="1" si="35"/>
        <v>#VALUE!</v>
      </c>
      <c r="AP46" s="13" t="e">
        <f t="shared" ca="1" si="36"/>
        <v>#VALUE!</v>
      </c>
      <c r="AQ46" s="17" t="e">
        <f t="shared" ca="1" si="37"/>
        <v>#VALUE!</v>
      </c>
      <c r="AS46" s="15" t="e">
        <f t="shared" ca="1" si="38"/>
        <v>#VALUE!</v>
      </c>
      <c r="AT46" s="5">
        <f>'Exception Stores'!$D$2</f>
        <v>0.125</v>
      </c>
      <c r="AU46" s="15" t="e">
        <f t="shared" ca="1" si="39"/>
        <v>#VALUE!</v>
      </c>
      <c r="AV46" s="15" t="e">
        <f t="shared" ca="1" si="40"/>
        <v>#VALUE!</v>
      </c>
      <c r="AW46" s="15" t="e">
        <f t="shared" ca="1" si="41"/>
        <v>#VALUE!</v>
      </c>
      <c r="AX46" s="15" t="e">
        <f t="shared" ca="1" si="42"/>
        <v>#VALUE!</v>
      </c>
      <c r="AY46" s="15" t="e">
        <f t="shared" ca="1" si="43"/>
        <v>#VALUE!</v>
      </c>
      <c r="AZ46" s="1" t="e">
        <f t="shared" ca="1" si="44"/>
        <v>#VALUE!</v>
      </c>
      <c r="BA46" s="15" t="e">
        <f t="shared" ca="1" si="45"/>
        <v>#VALUE!</v>
      </c>
      <c r="BB46" s="15" t="e">
        <f t="shared" ca="1" si="46"/>
        <v>#VALUE!</v>
      </c>
      <c r="BC46" s="1" t="e">
        <f t="shared" ca="1" si="47"/>
        <v>#VALUE!</v>
      </c>
      <c r="BE46" s="15" t="str">
        <f>IF(ISBLANK('Exception Stores'!$A$6),"",'Exception Stores'!$A$6)</f>
        <v/>
      </c>
      <c r="BF46" s="15" t="str">
        <f>IF(ISBLANK('Exception Stores'!$B$6),"",'Exception Stores'!$B$6)</f>
        <v/>
      </c>
      <c r="BG46" s="1">
        <f>IF(ISBLANK('Exception Stores'!$A$6),0,IF($AN$2&gt;$BF$2,($AN$2-$BF$2)*24,0))</f>
        <v>0</v>
      </c>
      <c r="BH46" s="11">
        <f>IF(ISBLANK('Exception Stores'!$A$6),0,($BF$2-$BE$2)*24)</f>
        <v>0</v>
      </c>
      <c r="BI4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46" s="1">
        <f>IF(ISBLANK('Exception Stores'!$A$6),0,IF($AN$2&gt;$BF$2,0,IF(AND($AN$2&lt;$BF$2,$BT$2="B"),(($BF$2-$AN$2)*24)-$BS$2,($BF$2-$AN$2)*24)))</f>
        <v>0</v>
      </c>
      <c r="BL46" s="5"/>
      <c r="BM46" s="5"/>
      <c r="BN46" s="5"/>
      <c r="BO46" s="5"/>
      <c r="BP46" s="5"/>
      <c r="BV46" s="1" t="e">
        <f t="shared" ca="1" si="48"/>
        <v>#VALUE!</v>
      </c>
      <c r="BW46" s="1" t="e">
        <f t="shared" ca="1" si="49"/>
        <v>#VALUE!</v>
      </c>
      <c r="BX46" s="1" t="e">
        <f t="shared" ca="1" si="50"/>
        <v>#VALUE!</v>
      </c>
      <c r="BY46" s="1" t="e">
        <f t="shared" ca="1" si="51"/>
        <v>#VALUE!</v>
      </c>
      <c r="BZ46" s="1" t="e">
        <f t="shared" ca="1" si="52"/>
        <v>#VALUE!</v>
      </c>
      <c r="CB46" s="1" t="str">
        <f>IF(ISBLANK('Exception Stores'!$A$6),"",WEEKDAY($BF$2))</f>
        <v/>
      </c>
      <c r="CC46" s="1" t="str">
        <f>IF(ISBLANK('Exception Stores'!$A$6),"NO",IF('Exception Stores'!$A$6&lt;$AU$2,"YES","NO"))</f>
        <v>NO</v>
      </c>
      <c r="CD46" s="1" t="str">
        <f>IF(ISBLANK('Exception Stores'!$A$6),"NO",IF('Exception Stores'!$A$6&lt;$AV$2,"YES","NO"))</f>
        <v>NO</v>
      </c>
      <c r="CE46" s="1" t="str">
        <f>IF(ISBLANK('Exception Stores'!$A$6),"NO",IF('Exception Stores'!$A$6&lt;$AW$2,"YES","NO"))</f>
        <v>NO</v>
      </c>
      <c r="CF46" s="1" t="str">
        <f>IF(ISBLANK('Exception Stores'!$A$6),"NO",IF('Exception Stores'!$A$6&lt;$AX$2,"YES","NO"))</f>
        <v>NO</v>
      </c>
      <c r="CG46" s="1" t="str">
        <f>IF(ISBLANK('Exception Stores'!$A$6),"NO",IF('Exception Stores'!$A$6&lt;$AY$2,"YES","NO"))</f>
        <v>NO</v>
      </c>
      <c r="CI46" s="42" t="str">
        <f>IF(ISBLANK('Exception Stores'!$B$6),"NO",IF('Exception Stores'!$B$6&lt;=$AU$2,"YES","NO"))</f>
        <v>NO</v>
      </c>
      <c r="CJ46" s="42" t="str">
        <f>IF(ISBLANK('Exception Stores'!$B$6),"NO",IF('Exception Stores'!$B$6&lt;=$AV$2,"YES","NO"))</f>
        <v>NO</v>
      </c>
      <c r="CK46" s="1" t="str">
        <f>IF(ISBLANK('Exception Stores'!$B$6),"NO",IF('Exception Stores'!$B$6&lt;=$AW$2,"YES","NO"))</f>
        <v>NO</v>
      </c>
      <c r="CL46" s="1" t="str">
        <f>IF(ISBLANK('Exception Stores'!$B$6),"NO",IF('Exception Stores'!$B$6&lt;=$AX$2,"YES","NO"))</f>
        <v>NO</v>
      </c>
      <c r="CM46" s="1" t="str">
        <f>IF(ISBLANK('Exception Stores'!$B$6),"NO",IF('Exception Stores'!$B$6&lt;=$AY$2,"YES","NO"))</f>
        <v>NO</v>
      </c>
      <c r="CO46" s="1" t="e">
        <f ca="1">IF(AM46&lt;'Exception Stores'!$A$6,"YES","NO")</f>
        <v>#VALUE!</v>
      </c>
      <c r="CP46" s="1">
        <f t="shared" si="53"/>
        <v>0</v>
      </c>
      <c r="CQ46" s="1">
        <f t="shared" si="54"/>
        <v>0</v>
      </c>
      <c r="CR46" s="1">
        <f t="shared" si="55"/>
        <v>0</v>
      </c>
      <c r="CS46" s="1">
        <f t="shared" si="56"/>
        <v>0</v>
      </c>
      <c r="CT46" s="1">
        <f t="shared" si="57"/>
        <v>0</v>
      </c>
      <c r="CU46" s="1">
        <f t="shared" si="58"/>
        <v>0</v>
      </c>
      <c r="CW46" s="1" t="e">
        <f t="shared" ca="1" si="64"/>
        <v>#VALUE!</v>
      </c>
      <c r="CX46" s="1" t="e">
        <f t="shared" ca="1" si="65"/>
        <v>#VALUE!</v>
      </c>
      <c r="CY46" s="1" t="e">
        <f t="shared" ca="1" si="66"/>
        <v>#VALUE!</v>
      </c>
      <c r="CZ46" s="1" t="e">
        <f t="shared" ca="1" si="67"/>
        <v>#VALUE!</v>
      </c>
      <c r="DA46" s="1" t="e">
        <f t="shared" ca="1" si="68"/>
        <v>#VALUE!</v>
      </c>
      <c r="DB46" s="26" t="e">
        <f t="shared" ca="1" si="60"/>
        <v>#VALUE!</v>
      </c>
      <c r="DC46" s="1">
        <f t="shared" si="69"/>
        <v>0</v>
      </c>
      <c r="DD46" s="1">
        <f t="shared" si="70"/>
        <v>0</v>
      </c>
      <c r="DE46" s="1">
        <f t="shared" si="71"/>
        <v>0</v>
      </c>
      <c r="DF46" s="1">
        <f t="shared" si="72"/>
        <v>0</v>
      </c>
      <c r="DG46" s="1">
        <f t="shared" si="73"/>
        <v>0</v>
      </c>
      <c r="DH46" s="26">
        <f t="shared" si="61"/>
        <v>0</v>
      </c>
      <c r="DI46" s="1" t="e">
        <f t="shared" ca="1" si="62"/>
        <v>#VALUE!</v>
      </c>
      <c r="DK46" s="11" t="str">
        <f t="shared" si="74"/>
        <v/>
      </c>
      <c r="DL46" s="11" t="e">
        <f ca="1">IF(AND(NOT(ISBLANK('Exception Stores'!$A$6)),CO46="YES"),S46-$BH$2-(DI46*$BS$2)-(CU46*$BS$2),S46-(DB46*$BS$2))</f>
        <v>#VALUE!</v>
      </c>
      <c r="DM46" s="11" t="str">
        <f>IF(ISBLANK(A46),"",IF(COUNTIF(Remaps!$A$2:$A$200,B46)&gt;0,"YES",""))</f>
        <v>YES</v>
      </c>
      <c r="DN46" s="29">
        <f>IFERROR(INDEX(Remaps!$B$2:$B$200,MATCH(B46,Remaps!$A$2:$A$200,0),1),0)</f>
        <v>0</v>
      </c>
      <c r="DO46" s="11" t="e">
        <f t="shared" ca="1" si="75"/>
        <v>#VALUE!</v>
      </c>
      <c r="DP46" s="29" t="e">
        <f t="shared" si="76"/>
        <v>#VALUE!</v>
      </c>
      <c r="DQ46" s="11" t="e">
        <f ca="1">('Apollo Dock Status'!$Z$1-DP46)/DO46</f>
        <v>#VALUE!</v>
      </c>
      <c r="DR46" s="15" t="e">
        <f t="shared" ca="1" si="63"/>
        <v>#VALUE!</v>
      </c>
    </row>
    <row r="47" spans="1:122">
      <c r="A47" s="1" t="str">
        <f>IF(ISBLANK('Apollo Dock Status'!A47),"",'Apollo Dock Status'!A47)</f>
        <v/>
      </c>
      <c r="B47" s="1" t="str">
        <f>IF(ISBLANK('Apollo Dock Status'!B47),"",'Apollo Dock Status'!B47)</f>
        <v/>
      </c>
      <c r="C47" s="1" t="str">
        <f>IF(ISBLANK('Apollo Dock Status'!C47),"",'Apollo Dock Status'!C47)</f>
        <v/>
      </c>
      <c r="D47" s="1" t="str">
        <f>IF(ISBLANK('Apollo Dock Status'!D47),"",'Apollo Dock Status'!D47)</f>
        <v/>
      </c>
      <c r="E47" s="1" t="str">
        <f>IF(ISBLANK('Apollo Dock Status'!E47),"",'Apollo Dock Status'!E47)</f>
        <v/>
      </c>
      <c r="F47" s="1" t="str">
        <f>IF(ISBLANK('Apollo Dock Status'!F47),"",'Apollo Dock Status'!F47)</f>
        <v/>
      </c>
      <c r="G47" s="1" t="str">
        <f>IF(ISBLANK('Apollo Dock Status'!G47),"",'Apollo Dock Status'!G47)</f>
        <v/>
      </c>
      <c r="H47" s="1" t="str">
        <f>IF(ISBLANK('Apollo Dock Status'!H47),"",'Apollo Dock Status'!H47)</f>
        <v/>
      </c>
      <c r="I47" s="1" t="str">
        <f>IF(ISBLANK('Apollo Dock Status'!I47),"",'Apollo Dock Status'!I47)</f>
        <v/>
      </c>
      <c r="J47" s="1" t="str">
        <f>IF(ISBLANK('Apollo Dock Status'!J47),"",'Apollo Dock Status'!J47)</f>
        <v/>
      </c>
      <c r="K47" s="1" t="str">
        <f>IF(ISBLANK('Apollo Dock Status'!K47),"",'Apollo Dock Status'!K47)</f>
        <v/>
      </c>
      <c r="L47" s="1" t="str">
        <f>IF(ISBLANK('Apollo Dock Status'!L47),"",'Apollo Dock Status'!L47)</f>
        <v/>
      </c>
      <c r="M47" s="1" t="str">
        <f>IF(ISBLANK('Apollo Dock Status'!M47),"",'Apollo Dock Status'!M47)</f>
        <v/>
      </c>
      <c r="N47" s="1" t="str">
        <f>IF(ISBLANK('Apollo Dock Status'!N47),"",'Apollo Dock Status'!N47)</f>
        <v/>
      </c>
      <c r="O47" s="1" t="str">
        <f t="shared" si="12"/>
        <v/>
      </c>
      <c r="P47" s="1" t="str">
        <f t="shared" si="13"/>
        <v/>
      </c>
      <c r="Q47" s="1" t="str">
        <f t="shared" si="14"/>
        <v/>
      </c>
      <c r="R47" s="1" t="str">
        <f t="shared" si="15"/>
        <v/>
      </c>
      <c r="S47" s="11" t="str">
        <f t="shared" si="16"/>
        <v/>
      </c>
      <c r="T47" s="1" t="str">
        <f t="shared" si="17"/>
        <v/>
      </c>
      <c r="U47" s="11" t="str">
        <f t="shared" si="18"/>
        <v/>
      </c>
      <c r="V47" s="11" t="str">
        <f t="shared" si="19"/>
        <v/>
      </c>
      <c r="X47" s="1" t="str">
        <f t="shared" si="20"/>
        <v/>
      </c>
      <c r="Y47" s="1" t="str">
        <f t="shared" si="21"/>
        <v/>
      </c>
      <c r="Z47" s="1" t="str">
        <f t="shared" si="22"/>
        <v/>
      </c>
      <c r="AB47" s="13">
        <f t="shared" ca="1" si="23"/>
        <v>46176</v>
      </c>
      <c r="AC47" s="1">
        <f t="shared" ca="1" si="24"/>
        <v>2026</v>
      </c>
      <c r="AD47" s="1" t="str">
        <f t="shared" ca="1" si="25"/>
        <v>6</v>
      </c>
      <c r="AE47" s="1">
        <f t="shared" si="26"/>
        <v>1</v>
      </c>
      <c r="AF47" s="1" t="str">
        <f t="shared" si="27"/>
        <v/>
      </c>
      <c r="AG47" s="1">
        <f t="shared" ca="1" si="28"/>
        <v>2026</v>
      </c>
      <c r="AH47" s="1">
        <f t="shared" si="29"/>
        <v>1</v>
      </c>
      <c r="AI47" s="1" t="str">
        <f t="shared" ca="1" si="30"/>
        <v>6</v>
      </c>
      <c r="AJ47" s="13" t="e">
        <f t="shared" ca="1" si="31"/>
        <v>#VALUE!</v>
      </c>
      <c r="AK47" s="1" t="e">
        <f>IF(ISBLANK(A47),"",IFERROR(MID(F47,SEARCH(", ",F47)+LEN(", "),SEARCH(" "&amp;'Exception Stores'!$A$2,F47)-SEARCH(", ",F47)-LEN(", ")),MID(F47,SEARCH(", ",F47)+LEN(", "),SEARCH(" "&amp;'Exception Stores'!$B$2,F47)-SEARCH(", ",F47)-LEN(", "))))</f>
        <v>#VALUE!</v>
      </c>
      <c r="AL47" s="1" t="e">
        <f t="shared" si="32"/>
        <v>#VALUE!</v>
      </c>
      <c r="AM47" s="15" t="e">
        <f t="shared" ca="1" si="33"/>
        <v>#VALUE!</v>
      </c>
      <c r="AN47" s="24" t="e">
        <f t="shared" ca="1" si="34"/>
        <v>#VALUE!</v>
      </c>
      <c r="AO47" s="1" t="e">
        <f t="shared" ca="1" si="35"/>
        <v>#VALUE!</v>
      </c>
      <c r="AP47" s="13" t="e">
        <f t="shared" ca="1" si="36"/>
        <v>#VALUE!</v>
      </c>
      <c r="AQ47" s="17" t="e">
        <f t="shared" ca="1" si="37"/>
        <v>#VALUE!</v>
      </c>
      <c r="AS47" s="15" t="e">
        <f t="shared" ca="1" si="38"/>
        <v>#VALUE!</v>
      </c>
      <c r="AT47" s="5">
        <f>'Exception Stores'!$D$2</f>
        <v>0.125</v>
      </c>
      <c r="AU47" s="15" t="e">
        <f t="shared" ca="1" si="39"/>
        <v>#VALUE!</v>
      </c>
      <c r="AV47" s="15" t="e">
        <f t="shared" ca="1" si="40"/>
        <v>#VALUE!</v>
      </c>
      <c r="AW47" s="15" t="e">
        <f t="shared" ca="1" si="41"/>
        <v>#VALUE!</v>
      </c>
      <c r="AX47" s="15" t="e">
        <f t="shared" ca="1" si="42"/>
        <v>#VALUE!</v>
      </c>
      <c r="AY47" s="15" t="e">
        <f t="shared" ca="1" si="43"/>
        <v>#VALUE!</v>
      </c>
      <c r="AZ47" s="1" t="e">
        <f t="shared" ca="1" si="44"/>
        <v>#VALUE!</v>
      </c>
      <c r="BA47" s="15" t="e">
        <f t="shared" ca="1" si="45"/>
        <v>#VALUE!</v>
      </c>
      <c r="BB47" s="15" t="e">
        <f t="shared" ca="1" si="46"/>
        <v>#VALUE!</v>
      </c>
      <c r="BC47" s="1" t="e">
        <f t="shared" ca="1" si="47"/>
        <v>#VALUE!</v>
      </c>
      <c r="BE47" s="15" t="str">
        <f>IF(ISBLANK('Exception Stores'!$A$6),"",'Exception Stores'!$A$6)</f>
        <v/>
      </c>
      <c r="BF47" s="15" t="str">
        <f>IF(ISBLANK('Exception Stores'!$B$6),"",'Exception Stores'!$B$6)</f>
        <v/>
      </c>
      <c r="BG47" s="1">
        <f>IF(ISBLANK('Exception Stores'!$A$6),0,IF($AN$2&gt;$BF$2,($AN$2-$BF$2)*24,0))</f>
        <v>0</v>
      </c>
      <c r="BH47" s="11">
        <f>IF(ISBLANK('Exception Stores'!$A$6),0,($BF$2-$BE$2)*24)</f>
        <v>0</v>
      </c>
      <c r="BI4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47" s="1">
        <f>IF(ISBLANK('Exception Stores'!$A$6),0,IF($AN$2&gt;$BF$2,0,IF(AND($AN$2&lt;$BF$2,$BT$2="B"),(($BF$2-$AN$2)*24)-$BS$2,($BF$2-$AN$2)*24)))</f>
        <v>0</v>
      </c>
      <c r="BL47" s="5"/>
      <c r="BM47" s="5"/>
      <c r="BN47" s="5"/>
      <c r="BO47" s="5"/>
      <c r="BP47" s="5"/>
      <c r="BV47" s="1" t="e">
        <f t="shared" ca="1" si="48"/>
        <v>#VALUE!</v>
      </c>
      <c r="BW47" s="1" t="e">
        <f t="shared" ca="1" si="49"/>
        <v>#VALUE!</v>
      </c>
      <c r="BX47" s="1" t="e">
        <f t="shared" ca="1" si="50"/>
        <v>#VALUE!</v>
      </c>
      <c r="BY47" s="1" t="e">
        <f t="shared" ca="1" si="51"/>
        <v>#VALUE!</v>
      </c>
      <c r="BZ47" s="1" t="e">
        <f t="shared" ca="1" si="52"/>
        <v>#VALUE!</v>
      </c>
      <c r="CB47" s="1" t="str">
        <f>IF(ISBLANK('Exception Stores'!$A$6),"",WEEKDAY($BF$2))</f>
        <v/>
      </c>
      <c r="CC47" s="1" t="str">
        <f>IF(ISBLANK('Exception Stores'!$A$6),"NO",IF('Exception Stores'!$A$6&lt;$AU$2,"YES","NO"))</f>
        <v>NO</v>
      </c>
      <c r="CD47" s="1" t="str">
        <f>IF(ISBLANK('Exception Stores'!$A$6),"NO",IF('Exception Stores'!$A$6&lt;$AV$2,"YES","NO"))</f>
        <v>NO</v>
      </c>
      <c r="CE47" s="1" t="str">
        <f>IF(ISBLANK('Exception Stores'!$A$6),"NO",IF('Exception Stores'!$A$6&lt;$AW$2,"YES","NO"))</f>
        <v>NO</v>
      </c>
      <c r="CF47" s="1" t="str">
        <f>IF(ISBLANK('Exception Stores'!$A$6),"NO",IF('Exception Stores'!$A$6&lt;$AX$2,"YES","NO"))</f>
        <v>NO</v>
      </c>
      <c r="CG47" s="1" t="str">
        <f>IF(ISBLANK('Exception Stores'!$A$6),"NO",IF('Exception Stores'!$A$6&lt;$AY$2,"YES","NO"))</f>
        <v>NO</v>
      </c>
      <c r="CI47" s="42" t="str">
        <f>IF(ISBLANK('Exception Stores'!$B$6),"NO",IF('Exception Stores'!$B$6&lt;=$AU$2,"YES","NO"))</f>
        <v>NO</v>
      </c>
      <c r="CJ47" s="42" t="str">
        <f>IF(ISBLANK('Exception Stores'!$B$6),"NO",IF('Exception Stores'!$B$6&lt;=$AV$2,"YES","NO"))</f>
        <v>NO</v>
      </c>
      <c r="CK47" s="1" t="str">
        <f>IF(ISBLANK('Exception Stores'!$B$6),"NO",IF('Exception Stores'!$B$6&lt;=$AW$2,"YES","NO"))</f>
        <v>NO</v>
      </c>
      <c r="CL47" s="1" t="str">
        <f>IF(ISBLANK('Exception Stores'!$B$6),"NO",IF('Exception Stores'!$B$6&lt;=$AX$2,"YES","NO"))</f>
        <v>NO</v>
      </c>
      <c r="CM47" s="1" t="str">
        <f>IF(ISBLANK('Exception Stores'!$B$6),"NO",IF('Exception Stores'!$B$6&lt;=$AY$2,"YES","NO"))</f>
        <v>NO</v>
      </c>
      <c r="CO47" s="1" t="e">
        <f ca="1">IF(AM47&lt;'Exception Stores'!$A$6,"YES","NO")</f>
        <v>#VALUE!</v>
      </c>
      <c r="CP47" s="1">
        <f t="shared" si="53"/>
        <v>0</v>
      </c>
      <c r="CQ47" s="1">
        <f t="shared" si="54"/>
        <v>0</v>
      </c>
      <c r="CR47" s="1">
        <f t="shared" si="55"/>
        <v>0</v>
      </c>
      <c r="CS47" s="1">
        <f t="shared" si="56"/>
        <v>0</v>
      </c>
      <c r="CT47" s="1">
        <f t="shared" si="57"/>
        <v>0</v>
      </c>
      <c r="CU47" s="1">
        <f t="shared" si="58"/>
        <v>0</v>
      </c>
      <c r="CW47" s="1" t="e">
        <f t="shared" ca="1" si="64"/>
        <v>#VALUE!</v>
      </c>
      <c r="CX47" s="1" t="e">
        <f t="shared" ca="1" si="65"/>
        <v>#VALUE!</v>
      </c>
      <c r="CY47" s="1" t="e">
        <f t="shared" ca="1" si="66"/>
        <v>#VALUE!</v>
      </c>
      <c r="CZ47" s="1" t="e">
        <f t="shared" ca="1" si="67"/>
        <v>#VALUE!</v>
      </c>
      <c r="DA47" s="1" t="e">
        <f t="shared" ca="1" si="68"/>
        <v>#VALUE!</v>
      </c>
      <c r="DB47" s="26" t="e">
        <f t="shared" ca="1" si="60"/>
        <v>#VALUE!</v>
      </c>
      <c r="DC47" s="1">
        <f t="shared" si="69"/>
        <v>0</v>
      </c>
      <c r="DD47" s="1">
        <f t="shared" si="70"/>
        <v>0</v>
      </c>
      <c r="DE47" s="1">
        <f t="shared" si="71"/>
        <v>0</v>
      </c>
      <c r="DF47" s="1">
        <f t="shared" si="72"/>
        <v>0</v>
      </c>
      <c r="DG47" s="1">
        <f t="shared" si="73"/>
        <v>0</v>
      </c>
      <c r="DH47" s="26">
        <f t="shared" si="61"/>
        <v>0</v>
      </c>
      <c r="DI47" s="1" t="e">
        <f t="shared" ca="1" si="62"/>
        <v>#VALUE!</v>
      </c>
      <c r="DK47" s="11" t="str">
        <f t="shared" si="74"/>
        <v/>
      </c>
      <c r="DL47" s="11" t="e">
        <f ca="1">IF(AND(NOT(ISBLANK('Exception Stores'!$A$6)),CO47="YES"),S47-$BH$2-(DI47*$BS$2)-(CU47*$BS$2),S47-(DB47*$BS$2))</f>
        <v>#VALUE!</v>
      </c>
      <c r="DM47" s="11" t="str">
        <f>IF(ISBLANK(A47),"",IF(COUNTIF(Remaps!$A$2:$A$200,B47)&gt;0,"YES",""))</f>
        <v>YES</v>
      </c>
      <c r="DN47" s="29">
        <f>IFERROR(INDEX(Remaps!$B$2:$B$200,MATCH(B47,Remaps!$A$2:$A$200,0),1),0)</f>
        <v>0</v>
      </c>
      <c r="DO47" s="11" t="e">
        <f t="shared" ca="1" si="75"/>
        <v>#VALUE!</v>
      </c>
      <c r="DP47" s="29" t="e">
        <f t="shared" si="76"/>
        <v>#VALUE!</v>
      </c>
      <c r="DQ47" s="11" t="e">
        <f ca="1">('Apollo Dock Status'!$Z$1-DP47)/DO47</f>
        <v>#VALUE!</v>
      </c>
      <c r="DR47" s="15" t="e">
        <f t="shared" ca="1" si="63"/>
        <v>#VALUE!</v>
      </c>
    </row>
    <row r="48" spans="1:122">
      <c r="A48" s="1" t="str">
        <f>IF(ISBLANK('Apollo Dock Status'!A48),"",'Apollo Dock Status'!A48)</f>
        <v/>
      </c>
      <c r="B48" s="1" t="str">
        <f>IF(ISBLANK('Apollo Dock Status'!B48),"",'Apollo Dock Status'!B48)</f>
        <v/>
      </c>
      <c r="C48" s="1" t="str">
        <f>IF(ISBLANK('Apollo Dock Status'!C48),"",'Apollo Dock Status'!C48)</f>
        <v/>
      </c>
      <c r="D48" s="1" t="str">
        <f>IF(ISBLANK('Apollo Dock Status'!D48),"",'Apollo Dock Status'!D48)</f>
        <v/>
      </c>
      <c r="E48" s="1" t="str">
        <f>IF(ISBLANK('Apollo Dock Status'!E48),"",'Apollo Dock Status'!E48)</f>
        <v/>
      </c>
      <c r="F48" s="1" t="str">
        <f>IF(ISBLANK('Apollo Dock Status'!F48),"",'Apollo Dock Status'!F48)</f>
        <v/>
      </c>
      <c r="G48" s="1" t="str">
        <f>IF(ISBLANK('Apollo Dock Status'!G48),"",'Apollo Dock Status'!G48)</f>
        <v/>
      </c>
      <c r="H48" s="1" t="str">
        <f>IF(ISBLANK('Apollo Dock Status'!H48),"",'Apollo Dock Status'!H48)</f>
        <v/>
      </c>
      <c r="I48" s="1" t="str">
        <f>IF(ISBLANK('Apollo Dock Status'!I48),"",'Apollo Dock Status'!I48)</f>
        <v/>
      </c>
      <c r="J48" s="1" t="str">
        <f>IF(ISBLANK('Apollo Dock Status'!J48),"",'Apollo Dock Status'!J48)</f>
        <v/>
      </c>
      <c r="K48" s="1" t="str">
        <f>IF(ISBLANK('Apollo Dock Status'!K48),"",'Apollo Dock Status'!K48)</f>
        <v/>
      </c>
      <c r="L48" s="1" t="str">
        <f>IF(ISBLANK('Apollo Dock Status'!L48),"",'Apollo Dock Status'!L48)</f>
        <v/>
      </c>
      <c r="M48" s="1" t="str">
        <f>IF(ISBLANK('Apollo Dock Status'!M48),"",'Apollo Dock Status'!M48)</f>
        <v/>
      </c>
      <c r="N48" s="1" t="str">
        <f>IF(ISBLANK('Apollo Dock Status'!N48),"",'Apollo Dock Status'!N48)</f>
        <v/>
      </c>
      <c r="O48" s="1" t="str">
        <f t="shared" si="12"/>
        <v/>
      </c>
      <c r="P48" s="1" t="str">
        <f t="shared" si="13"/>
        <v/>
      </c>
      <c r="Q48" s="1" t="str">
        <f t="shared" si="14"/>
        <v/>
      </c>
      <c r="R48" s="1" t="str">
        <f t="shared" si="15"/>
        <v/>
      </c>
      <c r="S48" s="11" t="str">
        <f t="shared" si="16"/>
        <v/>
      </c>
      <c r="T48" s="1" t="str">
        <f t="shared" si="17"/>
        <v/>
      </c>
      <c r="U48" s="11" t="str">
        <f t="shared" si="18"/>
        <v/>
      </c>
      <c r="V48" s="11" t="str">
        <f t="shared" si="19"/>
        <v/>
      </c>
      <c r="X48" s="1" t="str">
        <f t="shared" si="20"/>
        <v/>
      </c>
      <c r="Y48" s="1" t="str">
        <f t="shared" si="21"/>
        <v/>
      </c>
      <c r="Z48" s="1" t="str">
        <f t="shared" si="22"/>
        <v/>
      </c>
      <c r="AB48" s="13">
        <f t="shared" ca="1" si="23"/>
        <v>46176</v>
      </c>
      <c r="AC48" s="1">
        <f t="shared" ca="1" si="24"/>
        <v>2026</v>
      </c>
      <c r="AD48" s="1" t="str">
        <f t="shared" ca="1" si="25"/>
        <v>6</v>
      </c>
      <c r="AE48" s="1">
        <f t="shared" si="26"/>
        <v>1</v>
      </c>
      <c r="AF48" s="1" t="str">
        <f t="shared" si="27"/>
        <v/>
      </c>
      <c r="AG48" s="1">
        <f t="shared" ca="1" si="28"/>
        <v>2026</v>
      </c>
      <c r="AH48" s="1">
        <f t="shared" si="29"/>
        <v>1</v>
      </c>
      <c r="AI48" s="1" t="str">
        <f t="shared" ca="1" si="30"/>
        <v>6</v>
      </c>
      <c r="AJ48" s="13" t="e">
        <f t="shared" ca="1" si="31"/>
        <v>#VALUE!</v>
      </c>
      <c r="AK48" s="1" t="e">
        <f>IF(ISBLANK(A48),"",IFERROR(MID(F48,SEARCH(", ",F48)+LEN(", "),SEARCH(" "&amp;'Exception Stores'!$A$2,F48)-SEARCH(", ",F48)-LEN(", ")),MID(F48,SEARCH(", ",F48)+LEN(", "),SEARCH(" "&amp;'Exception Stores'!$B$2,F48)-SEARCH(", ",F48)-LEN(", "))))</f>
        <v>#VALUE!</v>
      </c>
      <c r="AL48" s="1" t="e">
        <f t="shared" si="32"/>
        <v>#VALUE!</v>
      </c>
      <c r="AM48" s="15" t="e">
        <f t="shared" ca="1" si="33"/>
        <v>#VALUE!</v>
      </c>
      <c r="AN48" s="24" t="e">
        <f t="shared" ca="1" si="34"/>
        <v>#VALUE!</v>
      </c>
      <c r="AO48" s="1" t="e">
        <f t="shared" ca="1" si="35"/>
        <v>#VALUE!</v>
      </c>
      <c r="AP48" s="13" t="e">
        <f t="shared" ca="1" si="36"/>
        <v>#VALUE!</v>
      </c>
      <c r="AQ48" s="17" t="e">
        <f t="shared" ca="1" si="37"/>
        <v>#VALUE!</v>
      </c>
      <c r="AS48" s="15" t="e">
        <f t="shared" ca="1" si="38"/>
        <v>#VALUE!</v>
      </c>
      <c r="AT48" s="5">
        <f>'Exception Stores'!$D$2</f>
        <v>0.125</v>
      </c>
      <c r="AU48" s="15" t="e">
        <f t="shared" ca="1" si="39"/>
        <v>#VALUE!</v>
      </c>
      <c r="AV48" s="15" t="e">
        <f t="shared" ca="1" si="40"/>
        <v>#VALUE!</v>
      </c>
      <c r="AW48" s="15" t="e">
        <f t="shared" ca="1" si="41"/>
        <v>#VALUE!</v>
      </c>
      <c r="AX48" s="15" t="e">
        <f t="shared" ca="1" si="42"/>
        <v>#VALUE!</v>
      </c>
      <c r="AY48" s="15" t="e">
        <f t="shared" ca="1" si="43"/>
        <v>#VALUE!</v>
      </c>
      <c r="AZ48" s="1" t="e">
        <f t="shared" ca="1" si="44"/>
        <v>#VALUE!</v>
      </c>
      <c r="BA48" s="15" t="e">
        <f t="shared" ca="1" si="45"/>
        <v>#VALUE!</v>
      </c>
      <c r="BB48" s="15" t="e">
        <f t="shared" ca="1" si="46"/>
        <v>#VALUE!</v>
      </c>
      <c r="BC48" s="1" t="e">
        <f t="shared" ca="1" si="47"/>
        <v>#VALUE!</v>
      </c>
      <c r="BE48" s="15" t="str">
        <f>IF(ISBLANK('Exception Stores'!$A$6),"",'Exception Stores'!$A$6)</f>
        <v/>
      </c>
      <c r="BF48" s="15" t="str">
        <f>IF(ISBLANK('Exception Stores'!$B$6),"",'Exception Stores'!$B$6)</f>
        <v/>
      </c>
      <c r="BG48" s="1">
        <f>IF(ISBLANK('Exception Stores'!$A$6),0,IF($AN$2&gt;$BF$2,($AN$2-$BF$2)*24,0))</f>
        <v>0</v>
      </c>
      <c r="BH48" s="11">
        <f>IF(ISBLANK('Exception Stores'!$A$6),0,($BF$2-$BE$2)*24)</f>
        <v>0</v>
      </c>
      <c r="BI4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48" s="1">
        <f>IF(ISBLANK('Exception Stores'!$A$6),0,IF($AN$2&gt;$BF$2,0,IF(AND($AN$2&lt;$BF$2,$BT$2="B"),(($BF$2-$AN$2)*24)-$BS$2,($BF$2-$AN$2)*24)))</f>
        <v>0</v>
      </c>
      <c r="BL48" s="5"/>
      <c r="BM48" s="5"/>
      <c r="BN48" s="5"/>
      <c r="BO48" s="5"/>
      <c r="BP48" s="5"/>
      <c r="BV48" s="1" t="e">
        <f t="shared" ca="1" si="48"/>
        <v>#VALUE!</v>
      </c>
      <c r="BW48" s="1" t="e">
        <f t="shared" ca="1" si="49"/>
        <v>#VALUE!</v>
      </c>
      <c r="BX48" s="1" t="e">
        <f t="shared" ca="1" si="50"/>
        <v>#VALUE!</v>
      </c>
      <c r="BY48" s="1" t="e">
        <f t="shared" ca="1" si="51"/>
        <v>#VALUE!</v>
      </c>
      <c r="BZ48" s="1" t="e">
        <f t="shared" ca="1" si="52"/>
        <v>#VALUE!</v>
      </c>
      <c r="CB48" s="1" t="str">
        <f>IF(ISBLANK('Exception Stores'!$A$6),"",WEEKDAY($BF$2))</f>
        <v/>
      </c>
      <c r="CC48" s="1" t="str">
        <f>IF(ISBLANK('Exception Stores'!$A$6),"NO",IF('Exception Stores'!$A$6&lt;$AU$2,"YES","NO"))</f>
        <v>NO</v>
      </c>
      <c r="CD48" s="1" t="str">
        <f>IF(ISBLANK('Exception Stores'!$A$6),"NO",IF('Exception Stores'!$A$6&lt;$AV$2,"YES","NO"))</f>
        <v>NO</v>
      </c>
      <c r="CE48" s="1" t="str">
        <f>IF(ISBLANK('Exception Stores'!$A$6),"NO",IF('Exception Stores'!$A$6&lt;$AW$2,"YES","NO"))</f>
        <v>NO</v>
      </c>
      <c r="CF48" s="1" t="str">
        <f>IF(ISBLANK('Exception Stores'!$A$6),"NO",IF('Exception Stores'!$A$6&lt;$AX$2,"YES","NO"))</f>
        <v>NO</v>
      </c>
      <c r="CG48" s="1" t="str">
        <f>IF(ISBLANK('Exception Stores'!$A$6),"NO",IF('Exception Stores'!$A$6&lt;$AY$2,"YES","NO"))</f>
        <v>NO</v>
      </c>
      <c r="CI48" s="42" t="str">
        <f>IF(ISBLANK('Exception Stores'!$B$6),"NO",IF('Exception Stores'!$B$6&lt;=$AU$2,"YES","NO"))</f>
        <v>NO</v>
      </c>
      <c r="CJ48" s="42" t="str">
        <f>IF(ISBLANK('Exception Stores'!$B$6),"NO",IF('Exception Stores'!$B$6&lt;=$AV$2,"YES","NO"))</f>
        <v>NO</v>
      </c>
      <c r="CK48" s="1" t="str">
        <f>IF(ISBLANK('Exception Stores'!$B$6),"NO",IF('Exception Stores'!$B$6&lt;=$AW$2,"YES","NO"))</f>
        <v>NO</v>
      </c>
      <c r="CL48" s="1" t="str">
        <f>IF(ISBLANK('Exception Stores'!$B$6),"NO",IF('Exception Stores'!$B$6&lt;=$AX$2,"YES","NO"))</f>
        <v>NO</v>
      </c>
      <c r="CM48" s="1" t="str">
        <f>IF(ISBLANK('Exception Stores'!$B$6),"NO",IF('Exception Stores'!$B$6&lt;=$AY$2,"YES","NO"))</f>
        <v>NO</v>
      </c>
      <c r="CO48" s="1" t="e">
        <f ca="1">IF(AM48&lt;'Exception Stores'!$A$6,"YES","NO")</f>
        <v>#VALUE!</v>
      </c>
      <c r="CP48" s="1">
        <f t="shared" si="53"/>
        <v>0</v>
      </c>
      <c r="CQ48" s="1">
        <f t="shared" si="54"/>
        <v>0</v>
      </c>
      <c r="CR48" s="1">
        <f t="shared" si="55"/>
        <v>0</v>
      </c>
      <c r="CS48" s="1">
        <f t="shared" si="56"/>
        <v>0</v>
      </c>
      <c r="CT48" s="1">
        <f t="shared" si="57"/>
        <v>0</v>
      </c>
      <c r="CU48" s="1">
        <f t="shared" si="58"/>
        <v>0</v>
      </c>
      <c r="CW48" s="1" t="e">
        <f t="shared" ca="1" si="64"/>
        <v>#VALUE!</v>
      </c>
      <c r="CX48" s="1" t="e">
        <f t="shared" ca="1" si="65"/>
        <v>#VALUE!</v>
      </c>
      <c r="CY48" s="1" t="e">
        <f t="shared" ca="1" si="66"/>
        <v>#VALUE!</v>
      </c>
      <c r="CZ48" s="1" t="e">
        <f t="shared" ca="1" si="67"/>
        <v>#VALUE!</v>
      </c>
      <c r="DA48" s="1" t="e">
        <f t="shared" ca="1" si="68"/>
        <v>#VALUE!</v>
      </c>
      <c r="DB48" s="26" t="e">
        <f t="shared" ca="1" si="60"/>
        <v>#VALUE!</v>
      </c>
      <c r="DC48" s="1">
        <f t="shared" si="69"/>
        <v>0</v>
      </c>
      <c r="DD48" s="1">
        <f t="shared" si="70"/>
        <v>0</v>
      </c>
      <c r="DE48" s="1">
        <f t="shared" si="71"/>
        <v>0</v>
      </c>
      <c r="DF48" s="1">
        <f t="shared" si="72"/>
        <v>0</v>
      </c>
      <c r="DG48" s="1">
        <f t="shared" si="73"/>
        <v>0</v>
      </c>
      <c r="DH48" s="26">
        <f t="shared" si="61"/>
        <v>0</v>
      </c>
      <c r="DI48" s="1" t="e">
        <f t="shared" ca="1" si="62"/>
        <v>#VALUE!</v>
      </c>
      <c r="DK48" s="11" t="str">
        <f t="shared" si="74"/>
        <v/>
      </c>
      <c r="DL48" s="11" t="e">
        <f ca="1">IF(AND(NOT(ISBLANK('Exception Stores'!$A$6)),CO48="YES"),S48-$BH$2-(DI48*$BS$2)-(CU48*$BS$2),S48-(DB48*$BS$2))</f>
        <v>#VALUE!</v>
      </c>
      <c r="DM48" s="11" t="str">
        <f>IF(ISBLANK(A48),"",IF(COUNTIF(Remaps!$A$2:$A$200,B48)&gt;0,"YES",""))</f>
        <v>YES</v>
      </c>
      <c r="DN48" s="29">
        <f>IFERROR(INDEX(Remaps!$B$2:$B$200,MATCH(B48,Remaps!$A$2:$A$200,0),1),0)</f>
        <v>0</v>
      </c>
      <c r="DO48" s="11" t="e">
        <f t="shared" ca="1" si="75"/>
        <v>#VALUE!</v>
      </c>
      <c r="DP48" s="29" t="e">
        <f t="shared" si="76"/>
        <v>#VALUE!</v>
      </c>
      <c r="DQ48" s="11" t="e">
        <f ca="1">('Apollo Dock Status'!$Z$1-DP48)/DO48</f>
        <v>#VALUE!</v>
      </c>
      <c r="DR48" s="15" t="e">
        <f t="shared" ca="1" si="63"/>
        <v>#VALUE!</v>
      </c>
    </row>
    <row r="49" spans="1:122">
      <c r="A49" s="1" t="str">
        <f>IF(ISBLANK('Apollo Dock Status'!A49),"",'Apollo Dock Status'!A49)</f>
        <v/>
      </c>
      <c r="B49" s="1" t="str">
        <f>IF(ISBLANK('Apollo Dock Status'!B49),"",'Apollo Dock Status'!B49)</f>
        <v/>
      </c>
      <c r="C49" s="1" t="str">
        <f>IF(ISBLANK('Apollo Dock Status'!C49),"",'Apollo Dock Status'!C49)</f>
        <v/>
      </c>
      <c r="D49" s="1" t="str">
        <f>IF(ISBLANK('Apollo Dock Status'!D49),"",'Apollo Dock Status'!D49)</f>
        <v/>
      </c>
      <c r="E49" s="1" t="str">
        <f>IF(ISBLANK('Apollo Dock Status'!E49),"",'Apollo Dock Status'!E49)</f>
        <v/>
      </c>
      <c r="F49" s="1" t="str">
        <f>IF(ISBLANK('Apollo Dock Status'!F49),"",'Apollo Dock Status'!F49)</f>
        <v/>
      </c>
      <c r="G49" s="1" t="str">
        <f>IF(ISBLANK('Apollo Dock Status'!G49),"",'Apollo Dock Status'!G49)</f>
        <v/>
      </c>
      <c r="H49" s="1" t="str">
        <f>IF(ISBLANK('Apollo Dock Status'!H49),"",'Apollo Dock Status'!H49)</f>
        <v/>
      </c>
      <c r="I49" s="1" t="str">
        <f>IF(ISBLANK('Apollo Dock Status'!I49),"",'Apollo Dock Status'!I49)</f>
        <v/>
      </c>
      <c r="J49" s="1" t="str">
        <f>IF(ISBLANK('Apollo Dock Status'!J49),"",'Apollo Dock Status'!J49)</f>
        <v/>
      </c>
      <c r="K49" s="1" t="str">
        <f>IF(ISBLANK('Apollo Dock Status'!K49),"",'Apollo Dock Status'!K49)</f>
        <v/>
      </c>
      <c r="L49" s="1" t="str">
        <f>IF(ISBLANK('Apollo Dock Status'!L49),"",'Apollo Dock Status'!L49)</f>
        <v/>
      </c>
      <c r="M49" s="1" t="str">
        <f>IF(ISBLANK('Apollo Dock Status'!M49),"",'Apollo Dock Status'!M49)</f>
        <v/>
      </c>
      <c r="N49" s="1" t="str">
        <f>IF(ISBLANK('Apollo Dock Status'!N49),"",'Apollo Dock Status'!N49)</f>
        <v/>
      </c>
      <c r="O49" s="1" t="str">
        <f t="shared" si="12"/>
        <v/>
      </c>
      <c r="P49" s="1" t="str">
        <f t="shared" si="13"/>
        <v/>
      </c>
      <c r="Q49" s="1" t="str">
        <f t="shared" si="14"/>
        <v/>
      </c>
      <c r="R49" s="1" t="str">
        <f t="shared" si="15"/>
        <v/>
      </c>
      <c r="S49" s="11" t="str">
        <f t="shared" si="16"/>
        <v/>
      </c>
      <c r="T49" s="1" t="str">
        <f t="shared" si="17"/>
        <v/>
      </c>
      <c r="U49" s="11" t="str">
        <f t="shared" si="18"/>
        <v/>
      </c>
      <c r="V49" s="11" t="str">
        <f t="shared" si="19"/>
        <v/>
      </c>
      <c r="X49" s="1" t="str">
        <f t="shared" si="20"/>
        <v/>
      </c>
      <c r="Y49" s="1" t="str">
        <f t="shared" si="21"/>
        <v/>
      </c>
      <c r="Z49" s="1" t="str">
        <f t="shared" si="22"/>
        <v/>
      </c>
      <c r="AB49" s="13">
        <f t="shared" ca="1" si="23"/>
        <v>46176</v>
      </c>
      <c r="AC49" s="1">
        <f t="shared" ca="1" si="24"/>
        <v>2026</v>
      </c>
      <c r="AD49" s="1" t="str">
        <f t="shared" ca="1" si="25"/>
        <v>6</v>
      </c>
      <c r="AE49" s="1">
        <f t="shared" si="26"/>
        <v>1</v>
      </c>
      <c r="AF49" s="1" t="str">
        <f t="shared" si="27"/>
        <v/>
      </c>
      <c r="AG49" s="1">
        <f t="shared" ca="1" si="28"/>
        <v>2026</v>
      </c>
      <c r="AH49" s="1">
        <f t="shared" si="29"/>
        <v>1</v>
      </c>
      <c r="AI49" s="1" t="str">
        <f t="shared" ca="1" si="30"/>
        <v>6</v>
      </c>
      <c r="AJ49" s="13" t="e">
        <f t="shared" ca="1" si="31"/>
        <v>#VALUE!</v>
      </c>
      <c r="AK49" s="1" t="e">
        <f>IF(ISBLANK(A49),"",IFERROR(MID(F49,SEARCH(", ",F49)+LEN(", "),SEARCH(" "&amp;'Exception Stores'!$A$2,F49)-SEARCH(", ",F49)-LEN(", ")),MID(F49,SEARCH(", ",F49)+LEN(", "),SEARCH(" "&amp;'Exception Stores'!$B$2,F49)-SEARCH(", ",F49)-LEN(", "))))</f>
        <v>#VALUE!</v>
      </c>
      <c r="AL49" s="1" t="e">
        <f t="shared" si="32"/>
        <v>#VALUE!</v>
      </c>
      <c r="AM49" s="15" t="e">
        <f t="shared" ca="1" si="33"/>
        <v>#VALUE!</v>
      </c>
      <c r="AN49" s="24" t="e">
        <f t="shared" ca="1" si="34"/>
        <v>#VALUE!</v>
      </c>
      <c r="AO49" s="1" t="e">
        <f t="shared" ca="1" si="35"/>
        <v>#VALUE!</v>
      </c>
      <c r="AP49" s="13" t="e">
        <f t="shared" ca="1" si="36"/>
        <v>#VALUE!</v>
      </c>
      <c r="AQ49" s="17" t="e">
        <f t="shared" ca="1" si="37"/>
        <v>#VALUE!</v>
      </c>
      <c r="AS49" s="15" t="e">
        <f t="shared" ca="1" si="38"/>
        <v>#VALUE!</v>
      </c>
      <c r="AT49" s="5">
        <f>'Exception Stores'!$D$2</f>
        <v>0.125</v>
      </c>
      <c r="AU49" s="15" t="e">
        <f t="shared" ca="1" si="39"/>
        <v>#VALUE!</v>
      </c>
      <c r="AV49" s="15" t="e">
        <f t="shared" ca="1" si="40"/>
        <v>#VALUE!</v>
      </c>
      <c r="AW49" s="15" t="e">
        <f t="shared" ca="1" si="41"/>
        <v>#VALUE!</v>
      </c>
      <c r="AX49" s="15" t="e">
        <f t="shared" ca="1" si="42"/>
        <v>#VALUE!</v>
      </c>
      <c r="AY49" s="15" t="e">
        <f t="shared" ca="1" si="43"/>
        <v>#VALUE!</v>
      </c>
      <c r="AZ49" s="1" t="e">
        <f t="shared" ca="1" si="44"/>
        <v>#VALUE!</v>
      </c>
      <c r="BA49" s="15" t="e">
        <f t="shared" ca="1" si="45"/>
        <v>#VALUE!</v>
      </c>
      <c r="BB49" s="15" t="e">
        <f t="shared" ca="1" si="46"/>
        <v>#VALUE!</v>
      </c>
      <c r="BC49" s="1" t="e">
        <f t="shared" ca="1" si="47"/>
        <v>#VALUE!</v>
      </c>
      <c r="BE49" s="15" t="str">
        <f>IF(ISBLANK('Exception Stores'!$A$6),"",'Exception Stores'!$A$6)</f>
        <v/>
      </c>
      <c r="BF49" s="15" t="str">
        <f>IF(ISBLANK('Exception Stores'!$B$6),"",'Exception Stores'!$B$6)</f>
        <v/>
      </c>
      <c r="BG49" s="1">
        <f>IF(ISBLANK('Exception Stores'!$A$6),0,IF($AN$2&gt;$BF$2,($AN$2-$BF$2)*24,0))</f>
        <v>0</v>
      </c>
      <c r="BH49" s="11">
        <f>IF(ISBLANK('Exception Stores'!$A$6),0,($BF$2-$BE$2)*24)</f>
        <v>0</v>
      </c>
      <c r="BI4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49" s="1">
        <f>IF(ISBLANK('Exception Stores'!$A$6),0,IF($AN$2&gt;$BF$2,0,IF(AND($AN$2&lt;$BF$2,$BT$2="B"),(($BF$2-$AN$2)*24)-$BS$2,($BF$2-$AN$2)*24)))</f>
        <v>0</v>
      </c>
      <c r="BL49" s="5"/>
      <c r="BM49" s="5"/>
      <c r="BN49" s="5"/>
      <c r="BO49" s="5"/>
      <c r="BP49" s="5"/>
      <c r="BV49" s="1" t="e">
        <f t="shared" ca="1" si="48"/>
        <v>#VALUE!</v>
      </c>
      <c r="BW49" s="1" t="e">
        <f t="shared" ca="1" si="49"/>
        <v>#VALUE!</v>
      </c>
      <c r="BX49" s="1" t="e">
        <f t="shared" ca="1" si="50"/>
        <v>#VALUE!</v>
      </c>
      <c r="BY49" s="1" t="e">
        <f t="shared" ca="1" si="51"/>
        <v>#VALUE!</v>
      </c>
      <c r="BZ49" s="1" t="e">
        <f t="shared" ca="1" si="52"/>
        <v>#VALUE!</v>
      </c>
      <c r="CB49" s="1" t="str">
        <f>IF(ISBLANK('Exception Stores'!$A$6),"",WEEKDAY($BF$2))</f>
        <v/>
      </c>
      <c r="CC49" s="1" t="str">
        <f>IF(ISBLANK('Exception Stores'!$A$6),"NO",IF('Exception Stores'!$A$6&lt;$AU$2,"YES","NO"))</f>
        <v>NO</v>
      </c>
      <c r="CD49" s="1" t="str">
        <f>IF(ISBLANK('Exception Stores'!$A$6),"NO",IF('Exception Stores'!$A$6&lt;$AV$2,"YES","NO"))</f>
        <v>NO</v>
      </c>
      <c r="CE49" s="1" t="str">
        <f>IF(ISBLANK('Exception Stores'!$A$6),"NO",IF('Exception Stores'!$A$6&lt;$AW$2,"YES","NO"))</f>
        <v>NO</v>
      </c>
      <c r="CF49" s="1" t="str">
        <f>IF(ISBLANK('Exception Stores'!$A$6),"NO",IF('Exception Stores'!$A$6&lt;$AX$2,"YES","NO"))</f>
        <v>NO</v>
      </c>
      <c r="CG49" s="1" t="str">
        <f>IF(ISBLANK('Exception Stores'!$A$6),"NO",IF('Exception Stores'!$A$6&lt;$AY$2,"YES","NO"))</f>
        <v>NO</v>
      </c>
      <c r="CI49" s="42" t="str">
        <f>IF(ISBLANK('Exception Stores'!$B$6),"NO",IF('Exception Stores'!$B$6&lt;=$AU$2,"YES","NO"))</f>
        <v>NO</v>
      </c>
      <c r="CJ49" s="42" t="str">
        <f>IF(ISBLANK('Exception Stores'!$B$6),"NO",IF('Exception Stores'!$B$6&lt;=$AV$2,"YES","NO"))</f>
        <v>NO</v>
      </c>
      <c r="CK49" s="1" t="str">
        <f>IF(ISBLANK('Exception Stores'!$B$6),"NO",IF('Exception Stores'!$B$6&lt;=$AW$2,"YES","NO"))</f>
        <v>NO</v>
      </c>
      <c r="CL49" s="1" t="str">
        <f>IF(ISBLANK('Exception Stores'!$B$6),"NO",IF('Exception Stores'!$B$6&lt;=$AX$2,"YES","NO"))</f>
        <v>NO</v>
      </c>
      <c r="CM49" s="1" t="str">
        <f>IF(ISBLANK('Exception Stores'!$B$6),"NO",IF('Exception Stores'!$B$6&lt;=$AY$2,"YES","NO"))</f>
        <v>NO</v>
      </c>
      <c r="CO49" s="1" t="e">
        <f ca="1">IF(AM49&lt;'Exception Stores'!$A$6,"YES","NO")</f>
        <v>#VALUE!</v>
      </c>
      <c r="CP49" s="1">
        <f t="shared" si="53"/>
        <v>0</v>
      </c>
      <c r="CQ49" s="1">
        <f t="shared" si="54"/>
        <v>0</v>
      </c>
      <c r="CR49" s="1">
        <f t="shared" si="55"/>
        <v>0</v>
      </c>
      <c r="CS49" s="1">
        <f t="shared" si="56"/>
        <v>0</v>
      </c>
      <c r="CT49" s="1">
        <f t="shared" si="57"/>
        <v>0</v>
      </c>
      <c r="CU49" s="1">
        <f t="shared" si="58"/>
        <v>0</v>
      </c>
      <c r="CW49" s="1" t="e">
        <f t="shared" ca="1" si="64"/>
        <v>#VALUE!</v>
      </c>
      <c r="CX49" s="1" t="e">
        <f t="shared" ca="1" si="65"/>
        <v>#VALUE!</v>
      </c>
      <c r="CY49" s="1" t="e">
        <f t="shared" ca="1" si="66"/>
        <v>#VALUE!</v>
      </c>
      <c r="CZ49" s="1" t="e">
        <f t="shared" ca="1" si="67"/>
        <v>#VALUE!</v>
      </c>
      <c r="DA49" s="1" t="e">
        <f t="shared" ca="1" si="68"/>
        <v>#VALUE!</v>
      </c>
      <c r="DB49" s="26" t="e">
        <f t="shared" ca="1" si="60"/>
        <v>#VALUE!</v>
      </c>
      <c r="DC49" s="1">
        <f t="shared" si="69"/>
        <v>0</v>
      </c>
      <c r="DD49" s="1">
        <f t="shared" si="70"/>
        <v>0</v>
      </c>
      <c r="DE49" s="1">
        <f t="shared" si="71"/>
        <v>0</v>
      </c>
      <c r="DF49" s="1">
        <f t="shared" si="72"/>
        <v>0</v>
      </c>
      <c r="DG49" s="1">
        <f t="shared" si="73"/>
        <v>0</v>
      </c>
      <c r="DH49" s="26">
        <f t="shared" si="61"/>
        <v>0</v>
      </c>
      <c r="DI49" s="1" t="e">
        <f t="shared" ca="1" si="62"/>
        <v>#VALUE!</v>
      </c>
      <c r="DK49" s="11" t="str">
        <f t="shared" si="74"/>
        <v/>
      </c>
      <c r="DL49" s="11" t="e">
        <f ca="1">IF(AND(NOT(ISBLANK('Exception Stores'!$A$6)),CO49="YES"),S49-$BH$2-(DI49*$BS$2)-(CU49*$BS$2),S49-(DB49*$BS$2))</f>
        <v>#VALUE!</v>
      </c>
      <c r="DM49" s="11" t="str">
        <f>IF(ISBLANK(A49),"",IF(COUNTIF(Remaps!$A$2:$A$200,B49)&gt;0,"YES",""))</f>
        <v>YES</v>
      </c>
      <c r="DN49" s="29">
        <f>IFERROR(INDEX(Remaps!$B$2:$B$200,MATCH(B49,Remaps!$A$2:$A$200,0),1),0)</f>
        <v>0</v>
      </c>
      <c r="DO49" s="11" t="e">
        <f t="shared" ca="1" si="75"/>
        <v>#VALUE!</v>
      </c>
      <c r="DP49" s="29" t="e">
        <f t="shared" si="76"/>
        <v>#VALUE!</v>
      </c>
      <c r="DQ49" s="11" t="e">
        <f ca="1">('Apollo Dock Status'!$Z$1-DP49)/DO49</f>
        <v>#VALUE!</v>
      </c>
      <c r="DR49" s="15" t="e">
        <f t="shared" ca="1" si="63"/>
        <v>#VALUE!</v>
      </c>
    </row>
    <row r="50" spans="1:122">
      <c r="A50" s="1" t="str">
        <f>IF(ISBLANK('Apollo Dock Status'!A50),"",'Apollo Dock Status'!A50)</f>
        <v/>
      </c>
      <c r="B50" s="1" t="str">
        <f>IF(ISBLANK('Apollo Dock Status'!B50),"",'Apollo Dock Status'!B50)</f>
        <v/>
      </c>
      <c r="C50" s="1" t="str">
        <f>IF(ISBLANK('Apollo Dock Status'!C50),"",'Apollo Dock Status'!C50)</f>
        <v/>
      </c>
      <c r="D50" s="1" t="str">
        <f>IF(ISBLANK('Apollo Dock Status'!D50),"",'Apollo Dock Status'!D50)</f>
        <v/>
      </c>
      <c r="E50" s="1" t="str">
        <f>IF(ISBLANK('Apollo Dock Status'!E50),"",'Apollo Dock Status'!E50)</f>
        <v/>
      </c>
      <c r="F50" s="1" t="str">
        <f>IF(ISBLANK('Apollo Dock Status'!F50),"",'Apollo Dock Status'!F50)</f>
        <v/>
      </c>
      <c r="G50" s="1" t="str">
        <f>IF(ISBLANK('Apollo Dock Status'!G50),"",'Apollo Dock Status'!G50)</f>
        <v/>
      </c>
      <c r="H50" s="1" t="str">
        <f>IF(ISBLANK('Apollo Dock Status'!H50),"",'Apollo Dock Status'!H50)</f>
        <v/>
      </c>
      <c r="I50" s="1" t="str">
        <f>IF(ISBLANK('Apollo Dock Status'!I50),"",'Apollo Dock Status'!I50)</f>
        <v/>
      </c>
      <c r="J50" s="1" t="str">
        <f>IF(ISBLANK('Apollo Dock Status'!J50),"",'Apollo Dock Status'!J50)</f>
        <v/>
      </c>
      <c r="K50" s="1" t="str">
        <f>IF(ISBLANK('Apollo Dock Status'!K50),"",'Apollo Dock Status'!K50)</f>
        <v/>
      </c>
      <c r="L50" s="1" t="str">
        <f>IF(ISBLANK('Apollo Dock Status'!L50),"",'Apollo Dock Status'!L50)</f>
        <v/>
      </c>
      <c r="M50" s="1" t="str">
        <f>IF(ISBLANK('Apollo Dock Status'!M50),"",'Apollo Dock Status'!M50)</f>
        <v/>
      </c>
      <c r="N50" s="1" t="str">
        <f>IF(ISBLANK('Apollo Dock Status'!N50),"",'Apollo Dock Status'!N50)</f>
        <v/>
      </c>
      <c r="O50" s="1" t="str">
        <f t="shared" si="12"/>
        <v/>
      </c>
      <c r="P50" s="1" t="str">
        <f t="shared" si="13"/>
        <v/>
      </c>
      <c r="Q50" s="1" t="str">
        <f t="shared" si="14"/>
        <v/>
      </c>
      <c r="R50" s="1" t="str">
        <f t="shared" si="15"/>
        <v/>
      </c>
      <c r="S50" s="11" t="str">
        <f t="shared" si="16"/>
        <v/>
      </c>
      <c r="T50" s="1" t="str">
        <f t="shared" si="17"/>
        <v/>
      </c>
      <c r="U50" s="11" t="str">
        <f t="shared" si="18"/>
        <v/>
      </c>
      <c r="V50" s="11" t="str">
        <f t="shared" si="19"/>
        <v/>
      </c>
      <c r="X50" s="1" t="str">
        <f t="shared" si="20"/>
        <v/>
      </c>
      <c r="Y50" s="1" t="str">
        <f t="shared" si="21"/>
        <v/>
      </c>
      <c r="Z50" s="1" t="str">
        <f t="shared" si="22"/>
        <v/>
      </c>
      <c r="AB50" s="13">
        <f t="shared" ca="1" si="23"/>
        <v>46176</v>
      </c>
      <c r="AC50" s="1">
        <f t="shared" ca="1" si="24"/>
        <v>2026</v>
      </c>
      <c r="AD50" s="1" t="str">
        <f t="shared" ca="1" si="25"/>
        <v>6</v>
      </c>
      <c r="AE50" s="1">
        <f t="shared" si="26"/>
        <v>1</v>
      </c>
      <c r="AF50" s="1" t="str">
        <f t="shared" si="27"/>
        <v/>
      </c>
      <c r="AG50" s="1">
        <f t="shared" ca="1" si="28"/>
        <v>2026</v>
      </c>
      <c r="AH50" s="1">
        <f t="shared" si="29"/>
        <v>1</v>
      </c>
      <c r="AI50" s="1" t="str">
        <f t="shared" ca="1" si="30"/>
        <v>6</v>
      </c>
      <c r="AJ50" s="13" t="e">
        <f t="shared" ca="1" si="31"/>
        <v>#VALUE!</v>
      </c>
      <c r="AK50" s="1" t="e">
        <f>IF(ISBLANK(A50),"",IFERROR(MID(F50,SEARCH(", ",F50)+LEN(", "),SEARCH(" "&amp;'Exception Stores'!$A$2,F50)-SEARCH(", ",F50)-LEN(", ")),MID(F50,SEARCH(", ",F50)+LEN(", "),SEARCH(" "&amp;'Exception Stores'!$B$2,F50)-SEARCH(", ",F50)-LEN(", "))))</f>
        <v>#VALUE!</v>
      </c>
      <c r="AL50" s="1" t="e">
        <f t="shared" si="32"/>
        <v>#VALUE!</v>
      </c>
      <c r="AM50" s="15" t="e">
        <f t="shared" ca="1" si="33"/>
        <v>#VALUE!</v>
      </c>
      <c r="AN50" s="24" t="e">
        <f t="shared" ca="1" si="34"/>
        <v>#VALUE!</v>
      </c>
      <c r="AO50" s="1" t="e">
        <f t="shared" ca="1" si="35"/>
        <v>#VALUE!</v>
      </c>
      <c r="AP50" s="13" t="e">
        <f t="shared" ca="1" si="36"/>
        <v>#VALUE!</v>
      </c>
      <c r="AQ50" s="17" t="e">
        <f t="shared" ca="1" si="37"/>
        <v>#VALUE!</v>
      </c>
      <c r="AS50" s="15" t="e">
        <f t="shared" ca="1" si="38"/>
        <v>#VALUE!</v>
      </c>
      <c r="AT50" s="5">
        <f>'Exception Stores'!$D$2</f>
        <v>0.125</v>
      </c>
      <c r="AU50" s="15" t="e">
        <f t="shared" ca="1" si="39"/>
        <v>#VALUE!</v>
      </c>
      <c r="AV50" s="15" t="e">
        <f t="shared" ca="1" si="40"/>
        <v>#VALUE!</v>
      </c>
      <c r="AW50" s="15" t="e">
        <f t="shared" ca="1" si="41"/>
        <v>#VALUE!</v>
      </c>
      <c r="AX50" s="15" t="e">
        <f t="shared" ca="1" si="42"/>
        <v>#VALUE!</v>
      </c>
      <c r="AY50" s="15" t="e">
        <f t="shared" ca="1" si="43"/>
        <v>#VALUE!</v>
      </c>
      <c r="AZ50" s="1" t="e">
        <f t="shared" ca="1" si="44"/>
        <v>#VALUE!</v>
      </c>
      <c r="BA50" s="15" t="e">
        <f t="shared" ca="1" si="45"/>
        <v>#VALUE!</v>
      </c>
      <c r="BB50" s="15" t="e">
        <f t="shared" ca="1" si="46"/>
        <v>#VALUE!</v>
      </c>
      <c r="BC50" s="1" t="e">
        <f t="shared" ca="1" si="47"/>
        <v>#VALUE!</v>
      </c>
      <c r="BE50" s="15" t="str">
        <f>IF(ISBLANK('Exception Stores'!$A$6),"",'Exception Stores'!$A$6)</f>
        <v/>
      </c>
      <c r="BF50" s="15" t="str">
        <f>IF(ISBLANK('Exception Stores'!$B$6),"",'Exception Stores'!$B$6)</f>
        <v/>
      </c>
      <c r="BG50" s="1">
        <f>IF(ISBLANK('Exception Stores'!$A$6),0,IF($AN$2&gt;$BF$2,($AN$2-$BF$2)*24,0))</f>
        <v>0</v>
      </c>
      <c r="BH50" s="11">
        <f>IF(ISBLANK('Exception Stores'!$A$6),0,($BF$2-$BE$2)*24)</f>
        <v>0</v>
      </c>
      <c r="BI5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50" s="1">
        <f>IF(ISBLANK('Exception Stores'!$A$6),0,IF($AN$2&gt;$BF$2,0,IF(AND($AN$2&lt;$BF$2,$BT$2="B"),(($BF$2-$AN$2)*24)-$BS$2,($BF$2-$AN$2)*24)))</f>
        <v>0</v>
      </c>
      <c r="BL50" s="5"/>
      <c r="BM50" s="5"/>
      <c r="BN50" s="5"/>
      <c r="BO50" s="5"/>
      <c r="BP50" s="5"/>
      <c r="BV50" s="1" t="e">
        <f t="shared" ca="1" si="48"/>
        <v>#VALUE!</v>
      </c>
      <c r="BW50" s="1" t="e">
        <f t="shared" ca="1" si="49"/>
        <v>#VALUE!</v>
      </c>
      <c r="BX50" s="1" t="e">
        <f t="shared" ca="1" si="50"/>
        <v>#VALUE!</v>
      </c>
      <c r="BY50" s="1" t="e">
        <f t="shared" ca="1" si="51"/>
        <v>#VALUE!</v>
      </c>
      <c r="BZ50" s="1" t="e">
        <f t="shared" ca="1" si="52"/>
        <v>#VALUE!</v>
      </c>
      <c r="CB50" s="1" t="str">
        <f>IF(ISBLANK('Exception Stores'!$A$6),"",WEEKDAY($BF$2))</f>
        <v/>
      </c>
      <c r="CC50" s="1" t="str">
        <f>IF(ISBLANK('Exception Stores'!$A$6),"NO",IF('Exception Stores'!$A$6&lt;$AU$2,"YES","NO"))</f>
        <v>NO</v>
      </c>
      <c r="CD50" s="1" t="str">
        <f>IF(ISBLANK('Exception Stores'!$A$6),"NO",IF('Exception Stores'!$A$6&lt;$AV$2,"YES","NO"))</f>
        <v>NO</v>
      </c>
      <c r="CE50" s="1" t="str">
        <f>IF(ISBLANK('Exception Stores'!$A$6),"NO",IF('Exception Stores'!$A$6&lt;$AW$2,"YES","NO"))</f>
        <v>NO</v>
      </c>
      <c r="CF50" s="1" t="str">
        <f>IF(ISBLANK('Exception Stores'!$A$6),"NO",IF('Exception Stores'!$A$6&lt;$AX$2,"YES","NO"))</f>
        <v>NO</v>
      </c>
      <c r="CG50" s="1" t="str">
        <f>IF(ISBLANK('Exception Stores'!$A$6),"NO",IF('Exception Stores'!$A$6&lt;$AY$2,"YES","NO"))</f>
        <v>NO</v>
      </c>
      <c r="CI50" s="42" t="str">
        <f>IF(ISBLANK('Exception Stores'!$B$6),"NO",IF('Exception Stores'!$B$6&lt;=$AU$2,"YES","NO"))</f>
        <v>NO</v>
      </c>
      <c r="CJ50" s="42" t="str">
        <f>IF(ISBLANK('Exception Stores'!$B$6),"NO",IF('Exception Stores'!$B$6&lt;=$AV$2,"YES","NO"))</f>
        <v>NO</v>
      </c>
      <c r="CK50" s="1" t="str">
        <f>IF(ISBLANK('Exception Stores'!$B$6),"NO",IF('Exception Stores'!$B$6&lt;=$AW$2,"YES","NO"))</f>
        <v>NO</v>
      </c>
      <c r="CL50" s="1" t="str">
        <f>IF(ISBLANK('Exception Stores'!$B$6),"NO",IF('Exception Stores'!$B$6&lt;=$AX$2,"YES","NO"))</f>
        <v>NO</v>
      </c>
      <c r="CM50" s="1" t="str">
        <f>IF(ISBLANK('Exception Stores'!$B$6),"NO",IF('Exception Stores'!$B$6&lt;=$AY$2,"YES","NO"))</f>
        <v>NO</v>
      </c>
      <c r="CO50" s="1" t="e">
        <f ca="1">IF(AM50&lt;'Exception Stores'!$A$6,"YES","NO")</f>
        <v>#VALUE!</v>
      </c>
      <c r="CP50" s="1">
        <f t="shared" si="53"/>
        <v>0</v>
      </c>
      <c r="CQ50" s="1">
        <f t="shared" si="54"/>
        <v>0</v>
      </c>
      <c r="CR50" s="1">
        <f t="shared" si="55"/>
        <v>0</v>
      </c>
      <c r="CS50" s="1">
        <f t="shared" si="56"/>
        <v>0</v>
      </c>
      <c r="CT50" s="1">
        <f t="shared" si="57"/>
        <v>0</v>
      </c>
      <c r="CU50" s="1">
        <f t="shared" si="58"/>
        <v>0</v>
      </c>
      <c r="CW50" s="1" t="e">
        <f t="shared" ca="1" si="64"/>
        <v>#VALUE!</v>
      </c>
      <c r="CX50" s="1" t="e">
        <f t="shared" ca="1" si="65"/>
        <v>#VALUE!</v>
      </c>
      <c r="CY50" s="1" t="e">
        <f t="shared" ca="1" si="66"/>
        <v>#VALUE!</v>
      </c>
      <c r="CZ50" s="1" t="e">
        <f t="shared" ca="1" si="67"/>
        <v>#VALUE!</v>
      </c>
      <c r="DA50" s="1" t="e">
        <f t="shared" ca="1" si="68"/>
        <v>#VALUE!</v>
      </c>
      <c r="DB50" s="26" t="e">
        <f t="shared" ca="1" si="60"/>
        <v>#VALUE!</v>
      </c>
      <c r="DC50" s="1">
        <f t="shared" si="69"/>
        <v>0</v>
      </c>
      <c r="DD50" s="1">
        <f t="shared" si="70"/>
        <v>0</v>
      </c>
      <c r="DE50" s="1">
        <f t="shared" si="71"/>
        <v>0</v>
      </c>
      <c r="DF50" s="1">
        <f t="shared" si="72"/>
        <v>0</v>
      </c>
      <c r="DG50" s="1">
        <f t="shared" si="73"/>
        <v>0</v>
      </c>
      <c r="DH50" s="26">
        <f t="shared" si="61"/>
        <v>0</v>
      </c>
      <c r="DI50" s="1" t="e">
        <f t="shared" ca="1" si="62"/>
        <v>#VALUE!</v>
      </c>
      <c r="DK50" s="11" t="str">
        <f t="shared" si="74"/>
        <v/>
      </c>
      <c r="DL50" s="11" t="e">
        <f ca="1">IF(AND(NOT(ISBLANK('Exception Stores'!$A$6)),CO50="YES"),S50-$BH$2-(DI50*$BS$2)-(CU50*$BS$2),S50-(DB50*$BS$2))</f>
        <v>#VALUE!</v>
      </c>
      <c r="DM50" s="11" t="str">
        <f>IF(ISBLANK(A50),"",IF(COUNTIF(Remaps!$A$2:$A$200,B50)&gt;0,"YES",""))</f>
        <v>YES</v>
      </c>
      <c r="DN50" s="29">
        <f>IFERROR(INDEX(Remaps!$B$2:$B$200,MATCH(B50,Remaps!$A$2:$A$200,0),1),0)</f>
        <v>0</v>
      </c>
      <c r="DO50" s="11" t="e">
        <f t="shared" ca="1" si="75"/>
        <v>#VALUE!</v>
      </c>
      <c r="DP50" s="29" t="e">
        <f t="shared" si="76"/>
        <v>#VALUE!</v>
      </c>
      <c r="DQ50" s="11" t="e">
        <f ca="1">('Apollo Dock Status'!$Z$1-DP50)/DO50</f>
        <v>#VALUE!</v>
      </c>
      <c r="DR50" s="15" t="e">
        <f t="shared" ca="1" si="63"/>
        <v>#VALUE!</v>
      </c>
    </row>
    <row r="51" spans="1:122">
      <c r="A51" s="1" t="str">
        <f>IF(ISBLANK('Apollo Dock Status'!A51),"",'Apollo Dock Status'!A51)</f>
        <v/>
      </c>
      <c r="B51" s="1" t="str">
        <f>IF(ISBLANK('Apollo Dock Status'!B51),"",'Apollo Dock Status'!B51)</f>
        <v/>
      </c>
      <c r="C51" s="1" t="str">
        <f>IF(ISBLANK('Apollo Dock Status'!C51),"",'Apollo Dock Status'!C51)</f>
        <v/>
      </c>
      <c r="D51" s="1" t="str">
        <f>IF(ISBLANK('Apollo Dock Status'!D51),"",'Apollo Dock Status'!D51)</f>
        <v/>
      </c>
      <c r="E51" s="1" t="str">
        <f>IF(ISBLANK('Apollo Dock Status'!E51),"",'Apollo Dock Status'!E51)</f>
        <v/>
      </c>
      <c r="F51" s="1" t="str">
        <f>IF(ISBLANK('Apollo Dock Status'!F51),"",'Apollo Dock Status'!F51)</f>
        <v/>
      </c>
      <c r="G51" s="1" t="str">
        <f>IF(ISBLANK('Apollo Dock Status'!G51),"",'Apollo Dock Status'!G51)</f>
        <v/>
      </c>
      <c r="H51" s="1" t="str">
        <f>IF(ISBLANK('Apollo Dock Status'!H51),"",'Apollo Dock Status'!H51)</f>
        <v/>
      </c>
      <c r="I51" s="1" t="str">
        <f>IF(ISBLANK('Apollo Dock Status'!I51),"",'Apollo Dock Status'!I51)</f>
        <v/>
      </c>
      <c r="J51" s="1" t="str">
        <f>IF(ISBLANK('Apollo Dock Status'!J51),"",'Apollo Dock Status'!J51)</f>
        <v/>
      </c>
      <c r="K51" s="1" t="str">
        <f>IF(ISBLANK('Apollo Dock Status'!K51),"",'Apollo Dock Status'!K51)</f>
        <v/>
      </c>
      <c r="L51" s="1" t="str">
        <f>IF(ISBLANK('Apollo Dock Status'!L51),"",'Apollo Dock Status'!L51)</f>
        <v/>
      </c>
      <c r="M51" s="1" t="str">
        <f>IF(ISBLANK('Apollo Dock Status'!M51),"",'Apollo Dock Status'!M51)</f>
        <v/>
      </c>
      <c r="N51" s="1" t="str">
        <f>IF(ISBLANK('Apollo Dock Status'!N51),"",'Apollo Dock Status'!N51)</f>
        <v/>
      </c>
      <c r="O51" s="1" t="str">
        <f t="shared" si="12"/>
        <v/>
      </c>
      <c r="P51" s="1" t="str">
        <f t="shared" si="13"/>
        <v/>
      </c>
      <c r="Q51" s="1" t="str">
        <f t="shared" si="14"/>
        <v/>
      </c>
      <c r="R51" s="1" t="str">
        <f t="shared" si="15"/>
        <v/>
      </c>
      <c r="S51" s="11" t="str">
        <f t="shared" si="16"/>
        <v/>
      </c>
      <c r="T51" s="1" t="str">
        <f t="shared" si="17"/>
        <v/>
      </c>
      <c r="U51" s="11" t="str">
        <f t="shared" si="18"/>
        <v/>
      </c>
      <c r="V51" s="11" t="str">
        <f t="shared" si="19"/>
        <v/>
      </c>
      <c r="X51" s="1" t="str">
        <f t="shared" si="20"/>
        <v/>
      </c>
      <c r="Y51" s="1" t="str">
        <f t="shared" si="21"/>
        <v/>
      </c>
      <c r="Z51" s="1" t="str">
        <f t="shared" si="22"/>
        <v/>
      </c>
      <c r="AB51" s="13">
        <f t="shared" ca="1" si="23"/>
        <v>46176</v>
      </c>
      <c r="AC51" s="1">
        <f t="shared" ca="1" si="24"/>
        <v>2026</v>
      </c>
      <c r="AD51" s="1" t="str">
        <f t="shared" ca="1" si="25"/>
        <v>6</v>
      </c>
      <c r="AE51" s="1">
        <f t="shared" si="26"/>
        <v>1</v>
      </c>
      <c r="AF51" s="1" t="str">
        <f t="shared" si="27"/>
        <v/>
      </c>
      <c r="AG51" s="1">
        <f t="shared" ca="1" si="28"/>
        <v>2026</v>
      </c>
      <c r="AH51" s="1">
        <f t="shared" si="29"/>
        <v>1</v>
      </c>
      <c r="AI51" s="1" t="str">
        <f t="shared" ca="1" si="30"/>
        <v>6</v>
      </c>
      <c r="AJ51" s="13" t="e">
        <f t="shared" ca="1" si="31"/>
        <v>#VALUE!</v>
      </c>
      <c r="AK51" s="1" t="e">
        <f>IF(ISBLANK(A51),"",IFERROR(MID(F51,SEARCH(", ",F51)+LEN(", "),SEARCH(" "&amp;'Exception Stores'!$A$2,F51)-SEARCH(", ",F51)-LEN(", ")),MID(F51,SEARCH(", ",F51)+LEN(", "),SEARCH(" "&amp;'Exception Stores'!$B$2,F51)-SEARCH(", ",F51)-LEN(", "))))</f>
        <v>#VALUE!</v>
      </c>
      <c r="AL51" s="1" t="e">
        <f t="shared" si="32"/>
        <v>#VALUE!</v>
      </c>
      <c r="AM51" s="15" t="e">
        <f t="shared" ca="1" si="33"/>
        <v>#VALUE!</v>
      </c>
      <c r="AN51" s="24" t="e">
        <f t="shared" ca="1" si="34"/>
        <v>#VALUE!</v>
      </c>
      <c r="AO51" s="1" t="e">
        <f t="shared" ca="1" si="35"/>
        <v>#VALUE!</v>
      </c>
      <c r="AP51" s="13" t="e">
        <f t="shared" ca="1" si="36"/>
        <v>#VALUE!</v>
      </c>
      <c r="AQ51" s="17" t="e">
        <f t="shared" ca="1" si="37"/>
        <v>#VALUE!</v>
      </c>
      <c r="AS51" s="15" t="e">
        <f t="shared" ca="1" si="38"/>
        <v>#VALUE!</v>
      </c>
      <c r="AT51" s="5">
        <f>'Exception Stores'!$D$2</f>
        <v>0.125</v>
      </c>
      <c r="AU51" s="15" t="e">
        <f t="shared" ca="1" si="39"/>
        <v>#VALUE!</v>
      </c>
      <c r="AV51" s="15" t="e">
        <f t="shared" ca="1" si="40"/>
        <v>#VALUE!</v>
      </c>
      <c r="AW51" s="15" t="e">
        <f t="shared" ca="1" si="41"/>
        <v>#VALUE!</v>
      </c>
      <c r="AX51" s="15" t="e">
        <f t="shared" ca="1" si="42"/>
        <v>#VALUE!</v>
      </c>
      <c r="AY51" s="15" t="e">
        <f t="shared" ca="1" si="43"/>
        <v>#VALUE!</v>
      </c>
      <c r="AZ51" s="1" t="e">
        <f t="shared" ca="1" si="44"/>
        <v>#VALUE!</v>
      </c>
      <c r="BA51" s="15" t="e">
        <f t="shared" ca="1" si="45"/>
        <v>#VALUE!</v>
      </c>
      <c r="BB51" s="15" t="e">
        <f t="shared" ca="1" si="46"/>
        <v>#VALUE!</v>
      </c>
      <c r="BC51" s="1" t="e">
        <f t="shared" ca="1" si="47"/>
        <v>#VALUE!</v>
      </c>
      <c r="BE51" s="15" t="str">
        <f>IF(ISBLANK('Exception Stores'!$A$6),"",'Exception Stores'!$A$6)</f>
        <v/>
      </c>
      <c r="BF51" s="15" t="str">
        <f>IF(ISBLANK('Exception Stores'!$B$6),"",'Exception Stores'!$B$6)</f>
        <v/>
      </c>
      <c r="BG51" s="1">
        <f>IF(ISBLANK('Exception Stores'!$A$6),0,IF($AN$2&gt;$BF$2,($AN$2-$BF$2)*24,0))</f>
        <v>0</v>
      </c>
      <c r="BH51" s="11">
        <f>IF(ISBLANK('Exception Stores'!$A$6),0,($BF$2-$BE$2)*24)</f>
        <v>0</v>
      </c>
      <c r="BI5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51" s="1">
        <f>IF(ISBLANK('Exception Stores'!$A$6),0,IF($AN$2&gt;$BF$2,0,IF(AND($AN$2&lt;$BF$2,$BT$2="B"),(($BF$2-$AN$2)*24)-$BS$2,($BF$2-$AN$2)*24)))</f>
        <v>0</v>
      </c>
      <c r="BL51" s="5"/>
      <c r="BM51" s="5"/>
      <c r="BN51" s="5"/>
      <c r="BO51" s="5"/>
      <c r="BP51" s="5"/>
      <c r="BV51" s="1" t="e">
        <f t="shared" ca="1" si="48"/>
        <v>#VALUE!</v>
      </c>
      <c r="BW51" s="1" t="e">
        <f t="shared" ca="1" si="49"/>
        <v>#VALUE!</v>
      </c>
      <c r="BX51" s="1" t="e">
        <f t="shared" ca="1" si="50"/>
        <v>#VALUE!</v>
      </c>
      <c r="BY51" s="1" t="e">
        <f t="shared" ca="1" si="51"/>
        <v>#VALUE!</v>
      </c>
      <c r="BZ51" s="1" t="e">
        <f t="shared" ca="1" si="52"/>
        <v>#VALUE!</v>
      </c>
      <c r="CB51" s="1" t="str">
        <f>IF(ISBLANK('Exception Stores'!$A$6),"",WEEKDAY($BF$2))</f>
        <v/>
      </c>
      <c r="CC51" s="1" t="str">
        <f>IF(ISBLANK('Exception Stores'!$A$6),"NO",IF('Exception Stores'!$A$6&lt;$AU$2,"YES","NO"))</f>
        <v>NO</v>
      </c>
      <c r="CD51" s="1" t="str">
        <f>IF(ISBLANK('Exception Stores'!$A$6),"NO",IF('Exception Stores'!$A$6&lt;$AV$2,"YES","NO"))</f>
        <v>NO</v>
      </c>
      <c r="CE51" s="1" t="str">
        <f>IF(ISBLANK('Exception Stores'!$A$6),"NO",IF('Exception Stores'!$A$6&lt;$AW$2,"YES","NO"))</f>
        <v>NO</v>
      </c>
      <c r="CF51" s="1" t="str">
        <f>IF(ISBLANK('Exception Stores'!$A$6),"NO",IF('Exception Stores'!$A$6&lt;$AX$2,"YES","NO"))</f>
        <v>NO</v>
      </c>
      <c r="CG51" s="1" t="str">
        <f>IF(ISBLANK('Exception Stores'!$A$6),"NO",IF('Exception Stores'!$A$6&lt;$AY$2,"YES","NO"))</f>
        <v>NO</v>
      </c>
      <c r="CI51" s="42" t="str">
        <f>IF(ISBLANK('Exception Stores'!$B$6),"NO",IF('Exception Stores'!$B$6&lt;=$AU$2,"YES","NO"))</f>
        <v>NO</v>
      </c>
      <c r="CJ51" s="42" t="str">
        <f>IF(ISBLANK('Exception Stores'!$B$6),"NO",IF('Exception Stores'!$B$6&lt;=$AV$2,"YES","NO"))</f>
        <v>NO</v>
      </c>
      <c r="CK51" s="1" t="str">
        <f>IF(ISBLANK('Exception Stores'!$B$6),"NO",IF('Exception Stores'!$B$6&lt;=$AW$2,"YES","NO"))</f>
        <v>NO</v>
      </c>
      <c r="CL51" s="1" t="str">
        <f>IF(ISBLANK('Exception Stores'!$B$6),"NO",IF('Exception Stores'!$B$6&lt;=$AX$2,"YES","NO"))</f>
        <v>NO</v>
      </c>
      <c r="CM51" s="1" t="str">
        <f>IF(ISBLANK('Exception Stores'!$B$6),"NO",IF('Exception Stores'!$B$6&lt;=$AY$2,"YES","NO"))</f>
        <v>NO</v>
      </c>
      <c r="CO51" s="1" t="e">
        <f ca="1">IF(AM51&lt;'Exception Stores'!$A$6,"YES","NO")</f>
        <v>#VALUE!</v>
      </c>
      <c r="CP51" s="1">
        <f t="shared" si="53"/>
        <v>0</v>
      </c>
      <c r="CQ51" s="1">
        <f t="shared" si="54"/>
        <v>0</v>
      </c>
      <c r="CR51" s="1">
        <f t="shared" si="55"/>
        <v>0</v>
      </c>
      <c r="CS51" s="1">
        <f t="shared" si="56"/>
        <v>0</v>
      </c>
      <c r="CT51" s="1">
        <f t="shared" si="57"/>
        <v>0</v>
      </c>
      <c r="CU51" s="1">
        <f t="shared" si="58"/>
        <v>0</v>
      </c>
      <c r="CW51" s="1" t="e">
        <f t="shared" ca="1" si="64"/>
        <v>#VALUE!</v>
      </c>
      <c r="CX51" s="1" t="e">
        <f t="shared" ca="1" si="65"/>
        <v>#VALUE!</v>
      </c>
      <c r="CY51" s="1" t="e">
        <f t="shared" ca="1" si="66"/>
        <v>#VALUE!</v>
      </c>
      <c r="CZ51" s="1" t="e">
        <f t="shared" ca="1" si="67"/>
        <v>#VALUE!</v>
      </c>
      <c r="DA51" s="1" t="e">
        <f t="shared" ca="1" si="68"/>
        <v>#VALUE!</v>
      </c>
      <c r="DB51" s="26" t="e">
        <f t="shared" ca="1" si="60"/>
        <v>#VALUE!</v>
      </c>
      <c r="DC51" s="1">
        <f t="shared" si="69"/>
        <v>0</v>
      </c>
      <c r="DD51" s="1">
        <f t="shared" si="70"/>
        <v>0</v>
      </c>
      <c r="DE51" s="1">
        <f t="shared" si="71"/>
        <v>0</v>
      </c>
      <c r="DF51" s="1">
        <f t="shared" si="72"/>
        <v>0</v>
      </c>
      <c r="DG51" s="1">
        <f t="shared" si="73"/>
        <v>0</v>
      </c>
      <c r="DH51" s="26">
        <f t="shared" si="61"/>
        <v>0</v>
      </c>
      <c r="DI51" s="1" t="e">
        <f t="shared" ca="1" si="62"/>
        <v>#VALUE!</v>
      </c>
      <c r="DK51" s="11" t="str">
        <f t="shared" si="74"/>
        <v/>
      </c>
      <c r="DL51" s="11" t="e">
        <f ca="1">IF(AND(NOT(ISBLANK('Exception Stores'!$A$6)),CO51="YES"),S51-$BH$2-(DI51*$BS$2)-(CU51*$BS$2),S51-(DB51*$BS$2))</f>
        <v>#VALUE!</v>
      </c>
      <c r="DM51" s="11" t="str">
        <f>IF(ISBLANK(A51),"",IF(COUNTIF(Remaps!$A$2:$A$200,B51)&gt;0,"YES",""))</f>
        <v>YES</v>
      </c>
      <c r="DN51" s="29">
        <f>IFERROR(INDEX(Remaps!$B$2:$B$200,MATCH(B51,Remaps!$A$2:$A$200,0),1),0)</f>
        <v>0</v>
      </c>
      <c r="DO51" s="11" t="e">
        <f t="shared" ca="1" si="75"/>
        <v>#VALUE!</v>
      </c>
      <c r="DP51" s="29" t="e">
        <f t="shared" si="76"/>
        <v>#VALUE!</v>
      </c>
      <c r="DQ51" s="11" t="e">
        <f ca="1">('Apollo Dock Status'!$Z$1-DP51)/DO51</f>
        <v>#VALUE!</v>
      </c>
      <c r="DR51" s="15" t="e">
        <f t="shared" ca="1" si="63"/>
        <v>#VALUE!</v>
      </c>
    </row>
    <row r="52" spans="1:122">
      <c r="A52" s="1" t="str">
        <f>IF(ISBLANK('Apollo Dock Status'!A52),"",'Apollo Dock Status'!A52)</f>
        <v/>
      </c>
      <c r="B52" s="1" t="str">
        <f>IF(ISBLANK('Apollo Dock Status'!B52),"",'Apollo Dock Status'!B52)</f>
        <v/>
      </c>
      <c r="C52" s="1" t="str">
        <f>IF(ISBLANK('Apollo Dock Status'!C52),"",'Apollo Dock Status'!C52)</f>
        <v/>
      </c>
      <c r="D52" s="1" t="str">
        <f>IF(ISBLANK('Apollo Dock Status'!D52),"",'Apollo Dock Status'!D52)</f>
        <v/>
      </c>
      <c r="E52" s="1" t="str">
        <f>IF(ISBLANK('Apollo Dock Status'!E52),"",'Apollo Dock Status'!E52)</f>
        <v/>
      </c>
      <c r="F52" s="1" t="str">
        <f>IF(ISBLANK('Apollo Dock Status'!F52),"",'Apollo Dock Status'!F52)</f>
        <v/>
      </c>
      <c r="G52" s="1" t="str">
        <f>IF(ISBLANK('Apollo Dock Status'!G52),"",'Apollo Dock Status'!G52)</f>
        <v/>
      </c>
      <c r="H52" s="1" t="str">
        <f>IF(ISBLANK('Apollo Dock Status'!H52),"",'Apollo Dock Status'!H52)</f>
        <v/>
      </c>
      <c r="I52" s="1" t="str">
        <f>IF(ISBLANK('Apollo Dock Status'!I52),"",'Apollo Dock Status'!I52)</f>
        <v/>
      </c>
      <c r="J52" s="1" t="str">
        <f>IF(ISBLANK('Apollo Dock Status'!J52),"",'Apollo Dock Status'!J52)</f>
        <v/>
      </c>
      <c r="K52" s="1" t="str">
        <f>IF(ISBLANK('Apollo Dock Status'!K52),"",'Apollo Dock Status'!K52)</f>
        <v/>
      </c>
      <c r="L52" s="1" t="str">
        <f>IF(ISBLANK('Apollo Dock Status'!L52),"",'Apollo Dock Status'!L52)</f>
        <v/>
      </c>
      <c r="M52" s="1" t="str">
        <f>IF(ISBLANK('Apollo Dock Status'!M52),"",'Apollo Dock Status'!M52)</f>
        <v/>
      </c>
      <c r="N52" s="1" t="str">
        <f>IF(ISBLANK('Apollo Dock Status'!N52),"",'Apollo Dock Status'!N52)</f>
        <v/>
      </c>
      <c r="O52" s="1" t="str">
        <f t="shared" si="12"/>
        <v/>
      </c>
      <c r="P52" s="1" t="str">
        <f t="shared" si="13"/>
        <v/>
      </c>
      <c r="Q52" s="1" t="str">
        <f t="shared" si="14"/>
        <v/>
      </c>
      <c r="R52" s="1" t="str">
        <f t="shared" si="15"/>
        <v/>
      </c>
      <c r="S52" s="11" t="str">
        <f t="shared" si="16"/>
        <v/>
      </c>
      <c r="T52" s="1" t="str">
        <f t="shared" si="17"/>
        <v/>
      </c>
      <c r="U52" s="11" t="str">
        <f t="shared" si="18"/>
        <v/>
      </c>
      <c r="V52" s="11" t="str">
        <f t="shared" si="19"/>
        <v/>
      </c>
      <c r="X52" s="1" t="str">
        <f t="shared" si="20"/>
        <v/>
      </c>
      <c r="Y52" s="1" t="str">
        <f t="shared" si="21"/>
        <v/>
      </c>
      <c r="Z52" s="1" t="str">
        <f t="shared" si="22"/>
        <v/>
      </c>
      <c r="AB52" s="13">
        <f t="shared" ca="1" si="23"/>
        <v>46176</v>
      </c>
      <c r="AC52" s="1">
        <f t="shared" ca="1" si="24"/>
        <v>2026</v>
      </c>
      <c r="AD52" s="1" t="str">
        <f t="shared" ca="1" si="25"/>
        <v>6</v>
      </c>
      <c r="AE52" s="1">
        <f t="shared" si="26"/>
        <v>1</v>
      </c>
      <c r="AF52" s="1" t="str">
        <f t="shared" si="27"/>
        <v/>
      </c>
      <c r="AG52" s="1">
        <f t="shared" ca="1" si="28"/>
        <v>2026</v>
      </c>
      <c r="AH52" s="1">
        <f t="shared" si="29"/>
        <v>1</v>
      </c>
      <c r="AI52" s="1" t="str">
        <f t="shared" ca="1" si="30"/>
        <v>6</v>
      </c>
      <c r="AJ52" s="13" t="e">
        <f t="shared" ca="1" si="31"/>
        <v>#VALUE!</v>
      </c>
      <c r="AK52" s="1" t="e">
        <f>IF(ISBLANK(A52),"",IFERROR(MID(F52,SEARCH(", ",F52)+LEN(", "),SEARCH(" "&amp;'Exception Stores'!$A$2,F52)-SEARCH(", ",F52)-LEN(", ")),MID(F52,SEARCH(", ",F52)+LEN(", "),SEARCH(" "&amp;'Exception Stores'!$B$2,F52)-SEARCH(", ",F52)-LEN(", "))))</f>
        <v>#VALUE!</v>
      </c>
      <c r="AL52" s="1" t="e">
        <f t="shared" si="32"/>
        <v>#VALUE!</v>
      </c>
      <c r="AM52" s="15" t="e">
        <f t="shared" ca="1" si="33"/>
        <v>#VALUE!</v>
      </c>
      <c r="AN52" s="24" t="e">
        <f t="shared" ca="1" si="34"/>
        <v>#VALUE!</v>
      </c>
      <c r="AO52" s="1" t="e">
        <f t="shared" ca="1" si="35"/>
        <v>#VALUE!</v>
      </c>
      <c r="AP52" s="13" t="e">
        <f t="shared" ca="1" si="36"/>
        <v>#VALUE!</v>
      </c>
      <c r="AQ52" s="17" t="e">
        <f t="shared" ca="1" si="37"/>
        <v>#VALUE!</v>
      </c>
      <c r="AS52" s="15" t="e">
        <f t="shared" ca="1" si="38"/>
        <v>#VALUE!</v>
      </c>
      <c r="AT52" s="5">
        <f>'Exception Stores'!$D$2</f>
        <v>0.125</v>
      </c>
      <c r="AU52" s="15" t="e">
        <f t="shared" ca="1" si="39"/>
        <v>#VALUE!</v>
      </c>
      <c r="AV52" s="15" t="e">
        <f t="shared" ca="1" si="40"/>
        <v>#VALUE!</v>
      </c>
      <c r="AW52" s="15" t="e">
        <f t="shared" ca="1" si="41"/>
        <v>#VALUE!</v>
      </c>
      <c r="AX52" s="15" t="e">
        <f t="shared" ca="1" si="42"/>
        <v>#VALUE!</v>
      </c>
      <c r="AY52" s="15" t="e">
        <f t="shared" ca="1" si="43"/>
        <v>#VALUE!</v>
      </c>
      <c r="AZ52" s="1" t="e">
        <f t="shared" ca="1" si="44"/>
        <v>#VALUE!</v>
      </c>
      <c r="BA52" s="15" t="e">
        <f t="shared" ca="1" si="45"/>
        <v>#VALUE!</v>
      </c>
      <c r="BB52" s="15" t="e">
        <f t="shared" ca="1" si="46"/>
        <v>#VALUE!</v>
      </c>
      <c r="BC52" s="1" t="e">
        <f t="shared" ca="1" si="47"/>
        <v>#VALUE!</v>
      </c>
      <c r="BE52" s="15" t="str">
        <f>IF(ISBLANK('Exception Stores'!$A$6),"",'Exception Stores'!$A$6)</f>
        <v/>
      </c>
      <c r="BF52" s="15" t="str">
        <f>IF(ISBLANK('Exception Stores'!$B$6),"",'Exception Stores'!$B$6)</f>
        <v/>
      </c>
      <c r="BG52" s="1">
        <f>IF(ISBLANK('Exception Stores'!$A$6),0,IF($AN$2&gt;$BF$2,($AN$2-$BF$2)*24,0))</f>
        <v>0</v>
      </c>
      <c r="BH52" s="11">
        <f>IF(ISBLANK('Exception Stores'!$A$6),0,($BF$2-$BE$2)*24)</f>
        <v>0</v>
      </c>
      <c r="BI5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52" s="1">
        <f>IF(ISBLANK('Exception Stores'!$A$6),0,IF($AN$2&gt;$BF$2,0,IF(AND($AN$2&lt;$BF$2,$BT$2="B"),(($BF$2-$AN$2)*24)-$BS$2,($BF$2-$AN$2)*24)))</f>
        <v>0</v>
      </c>
      <c r="BL52" s="5"/>
      <c r="BM52" s="5"/>
      <c r="BN52" s="5"/>
      <c r="BO52" s="5"/>
      <c r="BP52" s="5"/>
      <c r="BV52" s="1" t="e">
        <f t="shared" ca="1" si="48"/>
        <v>#VALUE!</v>
      </c>
      <c r="BW52" s="1" t="e">
        <f t="shared" ca="1" si="49"/>
        <v>#VALUE!</v>
      </c>
      <c r="BX52" s="1" t="e">
        <f t="shared" ca="1" si="50"/>
        <v>#VALUE!</v>
      </c>
      <c r="BY52" s="1" t="e">
        <f t="shared" ca="1" si="51"/>
        <v>#VALUE!</v>
      </c>
      <c r="BZ52" s="1" t="e">
        <f t="shared" ca="1" si="52"/>
        <v>#VALUE!</v>
      </c>
      <c r="CB52" s="1" t="str">
        <f>IF(ISBLANK('Exception Stores'!$A$6),"",WEEKDAY($BF$2))</f>
        <v/>
      </c>
      <c r="CC52" s="1" t="str">
        <f>IF(ISBLANK('Exception Stores'!$A$6),"NO",IF('Exception Stores'!$A$6&lt;$AU$2,"YES","NO"))</f>
        <v>NO</v>
      </c>
      <c r="CD52" s="1" t="str">
        <f>IF(ISBLANK('Exception Stores'!$A$6),"NO",IF('Exception Stores'!$A$6&lt;$AV$2,"YES","NO"))</f>
        <v>NO</v>
      </c>
      <c r="CE52" s="1" t="str">
        <f>IF(ISBLANK('Exception Stores'!$A$6),"NO",IF('Exception Stores'!$A$6&lt;$AW$2,"YES","NO"))</f>
        <v>NO</v>
      </c>
      <c r="CF52" s="1" t="str">
        <f>IF(ISBLANK('Exception Stores'!$A$6),"NO",IF('Exception Stores'!$A$6&lt;$AX$2,"YES","NO"))</f>
        <v>NO</v>
      </c>
      <c r="CG52" s="1" t="str">
        <f>IF(ISBLANK('Exception Stores'!$A$6),"NO",IF('Exception Stores'!$A$6&lt;$AY$2,"YES","NO"))</f>
        <v>NO</v>
      </c>
      <c r="CI52" s="42" t="str">
        <f>IF(ISBLANK('Exception Stores'!$B$6),"NO",IF('Exception Stores'!$B$6&lt;=$AU$2,"YES","NO"))</f>
        <v>NO</v>
      </c>
      <c r="CJ52" s="42" t="str">
        <f>IF(ISBLANK('Exception Stores'!$B$6),"NO",IF('Exception Stores'!$B$6&lt;=$AV$2,"YES","NO"))</f>
        <v>NO</v>
      </c>
      <c r="CK52" s="1" t="str">
        <f>IF(ISBLANK('Exception Stores'!$B$6),"NO",IF('Exception Stores'!$B$6&lt;=$AW$2,"YES","NO"))</f>
        <v>NO</v>
      </c>
      <c r="CL52" s="1" t="str">
        <f>IF(ISBLANK('Exception Stores'!$B$6),"NO",IF('Exception Stores'!$B$6&lt;=$AX$2,"YES","NO"))</f>
        <v>NO</v>
      </c>
      <c r="CM52" s="1" t="str">
        <f>IF(ISBLANK('Exception Stores'!$B$6),"NO",IF('Exception Stores'!$B$6&lt;=$AY$2,"YES","NO"))</f>
        <v>NO</v>
      </c>
      <c r="CO52" s="1" t="e">
        <f ca="1">IF(AM52&lt;'Exception Stores'!$A$6,"YES","NO")</f>
        <v>#VALUE!</v>
      </c>
      <c r="CP52" s="1">
        <f t="shared" si="53"/>
        <v>0</v>
      </c>
      <c r="CQ52" s="1">
        <f t="shared" si="54"/>
        <v>0</v>
      </c>
      <c r="CR52" s="1">
        <f t="shared" si="55"/>
        <v>0</v>
      </c>
      <c r="CS52" s="1">
        <f t="shared" si="56"/>
        <v>0</v>
      </c>
      <c r="CT52" s="1">
        <f t="shared" si="57"/>
        <v>0</v>
      </c>
      <c r="CU52" s="1">
        <f t="shared" si="58"/>
        <v>0</v>
      </c>
      <c r="CW52" s="1" t="e">
        <f t="shared" ca="1" si="64"/>
        <v>#VALUE!</v>
      </c>
      <c r="CX52" s="1" t="e">
        <f t="shared" ca="1" si="65"/>
        <v>#VALUE!</v>
      </c>
      <c r="CY52" s="1" t="e">
        <f t="shared" ca="1" si="66"/>
        <v>#VALUE!</v>
      </c>
      <c r="CZ52" s="1" t="e">
        <f t="shared" ca="1" si="67"/>
        <v>#VALUE!</v>
      </c>
      <c r="DA52" s="1" t="e">
        <f t="shared" ca="1" si="68"/>
        <v>#VALUE!</v>
      </c>
      <c r="DB52" s="26" t="e">
        <f t="shared" ca="1" si="60"/>
        <v>#VALUE!</v>
      </c>
      <c r="DC52" s="1">
        <f t="shared" si="69"/>
        <v>0</v>
      </c>
      <c r="DD52" s="1">
        <f t="shared" si="70"/>
        <v>0</v>
      </c>
      <c r="DE52" s="1">
        <f t="shared" si="71"/>
        <v>0</v>
      </c>
      <c r="DF52" s="1">
        <f t="shared" si="72"/>
        <v>0</v>
      </c>
      <c r="DG52" s="1">
        <f t="shared" si="73"/>
        <v>0</v>
      </c>
      <c r="DH52" s="26">
        <f t="shared" si="61"/>
        <v>0</v>
      </c>
      <c r="DI52" s="1" t="e">
        <f t="shared" ca="1" si="62"/>
        <v>#VALUE!</v>
      </c>
      <c r="DK52" s="11" t="str">
        <f t="shared" si="74"/>
        <v/>
      </c>
      <c r="DL52" s="11" t="e">
        <f ca="1">IF(AND(NOT(ISBLANK('Exception Stores'!$A$6)),CO52="YES"),S52-$BH$2-(DI52*$BS$2)-(CU52*$BS$2),S52-(DB52*$BS$2))</f>
        <v>#VALUE!</v>
      </c>
      <c r="DM52" s="11" t="str">
        <f>IF(ISBLANK(A52),"",IF(COUNTIF(Remaps!$A$2:$A$200,B52)&gt;0,"YES",""))</f>
        <v>YES</v>
      </c>
      <c r="DN52" s="29">
        <f>IFERROR(INDEX(Remaps!$B$2:$B$200,MATCH(B52,Remaps!$A$2:$A$200,0),1),0)</f>
        <v>0</v>
      </c>
      <c r="DO52" s="11" t="e">
        <f t="shared" ca="1" si="75"/>
        <v>#VALUE!</v>
      </c>
      <c r="DP52" s="29" t="e">
        <f t="shared" si="76"/>
        <v>#VALUE!</v>
      </c>
      <c r="DQ52" s="11" t="e">
        <f ca="1">('Apollo Dock Status'!$Z$1-DP52)/DO52</f>
        <v>#VALUE!</v>
      </c>
      <c r="DR52" s="15" t="e">
        <f t="shared" ca="1" si="63"/>
        <v>#VALUE!</v>
      </c>
    </row>
    <row r="53" spans="1:122">
      <c r="A53" s="1" t="str">
        <f>IF(ISBLANK('Apollo Dock Status'!A53),"",'Apollo Dock Status'!A53)</f>
        <v/>
      </c>
      <c r="B53" s="1" t="str">
        <f>IF(ISBLANK('Apollo Dock Status'!B53),"",'Apollo Dock Status'!B53)</f>
        <v/>
      </c>
      <c r="C53" s="1" t="str">
        <f>IF(ISBLANK('Apollo Dock Status'!C53),"",'Apollo Dock Status'!C53)</f>
        <v/>
      </c>
      <c r="D53" s="1" t="str">
        <f>IF(ISBLANK('Apollo Dock Status'!D53),"",'Apollo Dock Status'!D53)</f>
        <v/>
      </c>
      <c r="E53" s="1" t="str">
        <f>IF(ISBLANK('Apollo Dock Status'!E53),"",'Apollo Dock Status'!E53)</f>
        <v/>
      </c>
      <c r="F53" s="1" t="str">
        <f>IF(ISBLANK('Apollo Dock Status'!F53),"",'Apollo Dock Status'!F53)</f>
        <v/>
      </c>
      <c r="G53" s="1" t="str">
        <f>IF(ISBLANK('Apollo Dock Status'!G53),"",'Apollo Dock Status'!G53)</f>
        <v/>
      </c>
      <c r="H53" s="1" t="str">
        <f>IF(ISBLANK('Apollo Dock Status'!H53),"",'Apollo Dock Status'!H53)</f>
        <v/>
      </c>
      <c r="I53" s="1" t="str">
        <f>IF(ISBLANK('Apollo Dock Status'!I53),"",'Apollo Dock Status'!I53)</f>
        <v/>
      </c>
      <c r="J53" s="1" t="str">
        <f>IF(ISBLANK('Apollo Dock Status'!J53),"",'Apollo Dock Status'!J53)</f>
        <v/>
      </c>
      <c r="K53" s="1" t="str">
        <f>IF(ISBLANK('Apollo Dock Status'!K53),"",'Apollo Dock Status'!K53)</f>
        <v/>
      </c>
      <c r="L53" s="1" t="str">
        <f>IF(ISBLANK('Apollo Dock Status'!L53),"",'Apollo Dock Status'!L53)</f>
        <v/>
      </c>
      <c r="M53" s="1" t="str">
        <f>IF(ISBLANK('Apollo Dock Status'!M53),"",'Apollo Dock Status'!M53)</f>
        <v/>
      </c>
      <c r="N53" s="1" t="str">
        <f>IF(ISBLANK('Apollo Dock Status'!N53),"",'Apollo Dock Status'!N53)</f>
        <v/>
      </c>
      <c r="O53" s="1" t="str">
        <f t="shared" si="12"/>
        <v/>
      </c>
      <c r="P53" s="1" t="str">
        <f t="shared" si="13"/>
        <v/>
      </c>
      <c r="Q53" s="1" t="str">
        <f t="shared" si="14"/>
        <v/>
      </c>
      <c r="R53" s="1" t="str">
        <f t="shared" si="15"/>
        <v/>
      </c>
      <c r="S53" s="11" t="str">
        <f t="shared" si="16"/>
        <v/>
      </c>
      <c r="T53" s="1" t="str">
        <f t="shared" si="17"/>
        <v/>
      </c>
      <c r="U53" s="11" t="str">
        <f t="shared" si="18"/>
        <v/>
      </c>
      <c r="V53" s="11" t="str">
        <f t="shared" si="19"/>
        <v/>
      </c>
      <c r="X53" s="1" t="str">
        <f t="shared" si="20"/>
        <v/>
      </c>
      <c r="Y53" s="1" t="str">
        <f t="shared" si="21"/>
        <v/>
      </c>
      <c r="Z53" s="1" t="str">
        <f t="shared" si="22"/>
        <v/>
      </c>
      <c r="AB53" s="13">
        <f t="shared" ca="1" si="23"/>
        <v>46176</v>
      </c>
      <c r="AC53" s="1">
        <f t="shared" ca="1" si="24"/>
        <v>2026</v>
      </c>
      <c r="AD53" s="1" t="str">
        <f t="shared" ca="1" si="25"/>
        <v>6</v>
      </c>
      <c r="AE53" s="1">
        <f t="shared" si="26"/>
        <v>1</v>
      </c>
      <c r="AF53" s="1" t="str">
        <f t="shared" si="27"/>
        <v/>
      </c>
      <c r="AG53" s="1">
        <f t="shared" ca="1" si="28"/>
        <v>2026</v>
      </c>
      <c r="AH53" s="1">
        <f t="shared" si="29"/>
        <v>1</v>
      </c>
      <c r="AI53" s="1" t="str">
        <f t="shared" ca="1" si="30"/>
        <v>6</v>
      </c>
      <c r="AJ53" s="13" t="e">
        <f t="shared" ca="1" si="31"/>
        <v>#VALUE!</v>
      </c>
      <c r="AK53" s="1" t="e">
        <f>IF(ISBLANK(A53),"",IFERROR(MID(F53,SEARCH(", ",F53)+LEN(", "),SEARCH(" "&amp;'Exception Stores'!$A$2,F53)-SEARCH(", ",F53)-LEN(", ")),MID(F53,SEARCH(", ",F53)+LEN(", "),SEARCH(" "&amp;'Exception Stores'!$B$2,F53)-SEARCH(", ",F53)-LEN(", "))))</f>
        <v>#VALUE!</v>
      </c>
      <c r="AL53" s="1" t="e">
        <f t="shared" si="32"/>
        <v>#VALUE!</v>
      </c>
      <c r="AM53" s="15" t="e">
        <f t="shared" ca="1" si="33"/>
        <v>#VALUE!</v>
      </c>
      <c r="AN53" s="24" t="e">
        <f t="shared" ca="1" si="34"/>
        <v>#VALUE!</v>
      </c>
      <c r="AO53" s="1" t="e">
        <f t="shared" ca="1" si="35"/>
        <v>#VALUE!</v>
      </c>
      <c r="AP53" s="13" t="e">
        <f t="shared" ca="1" si="36"/>
        <v>#VALUE!</v>
      </c>
      <c r="AQ53" s="17" t="e">
        <f t="shared" ca="1" si="37"/>
        <v>#VALUE!</v>
      </c>
      <c r="AS53" s="15" t="e">
        <f t="shared" ca="1" si="38"/>
        <v>#VALUE!</v>
      </c>
      <c r="AT53" s="5">
        <f>'Exception Stores'!$D$2</f>
        <v>0.125</v>
      </c>
      <c r="AU53" s="15" t="e">
        <f t="shared" ca="1" si="39"/>
        <v>#VALUE!</v>
      </c>
      <c r="AV53" s="15" t="e">
        <f t="shared" ca="1" si="40"/>
        <v>#VALUE!</v>
      </c>
      <c r="AW53" s="15" t="e">
        <f t="shared" ca="1" si="41"/>
        <v>#VALUE!</v>
      </c>
      <c r="AX53" s="15" t="e">
        <f t="shared" ca="1" si="42"/>
        <v>#VALUE!</v>
      </c>
      <c r="AY53" s="15" t="e">
        <f t="shared" ca="1" si="43"/>
        <v>#VALUE!</v>
      </c>
      <c r="AZ53" s="1" t="e">
        <f t="shared" ca="1" si="44"/>
        <v>#VALUE!</v>
      </c>
      <c r="BA53" s="15" t="e">
        <f t="shared" ca="1" si="45"/>
        <v>#VALUE!</v>
      </c>
      <c r="BB53" s="15" t="e">
        <f t="shared" ca="1" si="46"/>
        <v>#VALUE!</v>
      </c>
      <c r="BC53" s="1" t="e">
        <f t="shared" ca="1" si="47"/>
        <v>#VALUE!</v>
      </c>
      <c r="BE53" s="15" t="str">
        <f>IF(ISBLANK('Exception Stores'!$A$6),"",'Exception Stores'!$A$6)</f>
        <v/>
      </c>
      <c r="BF53" s="15" t="str">
        <f>IF(ISBLANK('Exception Stores'!$B$6),"",'Exception Stores'!$B$6)</f>
        <v/>
      </c>
      <c r="BG53" s="1">
        <f>IF(ISBLANK('Exception Stores'!$A$6),0,IF($AN$2&gt;$BF$2,($AN$2-$BF$2)*24,0))</f>
        <v>0</v>
      </c>
      <c r="BH53" s="11">
        <f>IF(ISBLANK('Exception Stores'!$A$6),0,($BF$2-$BE$2)*24)</f>
        <v>0</v>
      </c>
      <c r="BI5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53" s="1">
        <f>IF(ISBLANK('Exception Stores'!$A$6),0,IF($AN$2&gt;$BF$2,0,IF(AND($AN$2&lt;$BF$2,$BT$2="B"),(($BF$2-$AN$2)*24)-$BS$2,($BF$2-$AN$2)*24)))</f>
        <v>0</v>
      </c>
      <c r="BL53" s="5"/>
      <c r="BM53" s="5"/>
      <c r="BN53" s="5"/>
      <c r="BO53" s="5"/>
      <c r="BP53" s="5"/>
      <c r="BV53" s="1" t="e">
        <f t="shared" ca="1" si="48"/>
        <v>#VALUE!</v>
      </c>
      <c r="BW53" s="1" t="e">
        <f t="shared" ca="1" si="49"/>
        <v>#VALUE!</v>
      </c>
      <c r="BX53" s="1" t="e">
        <f t="shared" ca="1" si="50"/>
        <v>#VALUE!</v>
      </c>
      <c r="BY53" s="1" t="e">
        <f t="shared" ca="1" si="51"/>
        <v>#VALUE!</v>
      </c>
      <c r="BZ53" s="1" t="e">
        <f t="shared" ca="1" si="52"/>
        <v>#VALUE!</v>
      </c>
      <c r="CB53" s="1" t="str">
        <f>IF(ISBLANK('Exception Stores'!$A$6),"",WEEKDAY($BF$2))</f>
        <v/>
      </c>
      <c r="CC53" s="1" t="str">
        <f>IF(ISBLANK('Exception Stores'!$A$6),"NO",IF('Exception Stores'!$A$6&lt;$AU$2,"YES","NO"))</f>
        <v>NO</v>
      </c>
      <c r="CD53" s="1" t="str">
        <f>IF(ISBLANK('Exception Stores'!$A$6),"NO",IF('Exception Stores'!$A$6&lt;$AV$2,"YES","NO"))</f>
        <v>NO</v>
      </c>
      <c r="CE53" s="1" t="str">
        <f>IF(ISBLANK('Exception Stores'!$A$6),"NO",IF('Exception Stores'!$A$6&lt;$AW$2,"YES","NO"))</f>
        <v>NO</v>
      </c>
      <c r="CF53" s="1" t="str">
        <f>IF(ISBLANK('Exception Stores'!$A$6),"NO",IF('Exception Stores'!$A$6&lt;$AX$2,"YES","NO"))</f>
        <v>NO</v>
      </c>
      <c r="CG53" s="1" t="str">
        <f>IF(ISBLANK('Exception Stores'!$A$6),"NO",IF('Exception Stores'!$A$6&lt;$AY$2,"YES","NO"))</f>
        <v>NO</v>
      </c>
      <c r="CI53" s="42" t="str">
        <f>IF(ISBLANK('Exception Stores'!$B$6),"NO",IF('Exception Stores'!$B$6&lt;=$AU$2,"YES","NO"))</f>
        <v>NO</v>
      </c>
      <c r="CJ53" s="42" t="str">
        <f>IF(ISBLANK('Exception Stores'!$B$6),"NO",IF('Exception Stores'!$B$6&lt;=$AV$2,"YES","NO"))</f>
        <v>NO</v>
      </c>
      <c r="CK53" s="1" t="str">
        <f>IF(ISBLANK('Exception Stores'!$B$6),"NO",IF('Exception Stores'!$B$6&lt;=$AW$2,"YES","NO"))</f>
        <v>NO</v>
      </c>
      <c r="CL53" s="1" t="str">
        <f>IF(ISBLANK('Exception Stores'!$B$6),"NO",IF('Exception Stores'!$B$6&lt;=$AX$2,"YES","NO"))</f>
        <v>NO</v>
      </c>
      <c r="CM53" s="1" t="str">
        <f>IF(ISBLANK('Exception Stores'!$B$6),"NO",IF('Exception Stores'!$B$6&lt;=$AY$2,"YES","NO"))</f>
        <v>NO</v>
      </c>
      <c r="CO53" s="1" t="e">
        <f ca="1">IF(AM53&lt;'Exception Stores'!$A$6,"YES","NO")</f>
        <v>#VALUE!</v>
      </c>
      <c r="CP53" s="1">
        <f t="shared" si="53"/>
        <v>0</v>
      </c>
      <c r="CQ53" s="1">
        <f t="shared" si="54"/>
        <v>0</v>
      </c>
      <c r="CR53" s="1">
        <f t="shared" si="55"/>
        <v>0</v>
      </c>
      <c r="CS53" s="1">
        <f t="shared" si="56"/>
        <v>0</v>
      </c>
      <c r="CT53" s="1">
        <f t="shared" si="57"/>
        <v>0</v>
      </c>
      <c r="CU53" s="1">
        <f t="shared" si="58"/>
        <v>0</v>
      </c>
      <c r="CW53" s="1" t="e">
        <f t="shared" ca="1" si="64"/>
        <v>#VALUE!</v>
      </c>
      <c r="CX53" s="1" t="e">
        <f t="shared" ca="1" si="65"/>
        <v>#VALUE!</v>
      </c>
      <c r="CY53" s="1" t="e">
        <f t="shared" ca="1" si="66"/>
        <v>#VALUE!</v>
      </c>
      <c r="CZ53" s="1" t="e">
        <f t="shared" ca="1" si="67"/>
        <v>#VALUE!</v>
      </c>
      <c r="DA53" s="1" t="e">
        <f t="shared" ca="1" si="68"/>
        <v>#VALUE!</v>
      </c>
      <c r="DB53" s="26" t="e">
        <f t="shared" ca="1" si="60"/>
        <v>#VALUE!</v>
      </c>
      <c r="DC53" s="1">
        <f t="shared" si="69"/>
        <v>0</v>
      </c>
      <c r="DD53" s="1">
        <f t="shared" si="70"/>
        <v>0</v>
      </c>
      <c r="DE53" s="1">
        <f t="shared" si="71"/>
        <v>0</v>
      </c>
      <c r="DF53" s="1">
        <f t="shared" si="72"/>
        <v>0</v>
      </c>
      <c r="DG53" s="1">
        <f t="shared" si="73"/>
        <v>0</v>
      </c>
      <c r="DH53" s="26">
        <f t="shared" si="61"/>
        <v>0</v>
      </c>
      <c r="DI53" s="1" t="e">
        <f t="shared" ca="1" si="62"/>
        <v>#VALUE!</v>
      </c>
      <c r="DK53" s="11" t="str">
        <f t="shared" si="74"/>
        <v/>
      </c>
      <c r="DL53" s="11" t="e">
        <f ca="1">IF(AND(NOT(ISBLANK('Exception Stores'!$A$6)),CO53="YES"),S53-$BH$2-(DI53*$BS$2)-(CU53*$BS$2),S53-(DB53*$BS$2))</f>
        <v>#VALUE!</v>
      </c>
      <c r="DM53" s="11" t="str">
        <f>IF(ISBLANK(A53),"",IF(COUNTIF(Remaps!$A$2:$A$200,B53)&gt;0,"YES",""))</f>
        <v>YES</v>
      </c>
      <c r="DN53" s="29">
        <f>IFERROR(INDEX(Remaps!$B$2:$B$200,MATCH(B53,Remaps!$A$2:$A$200,0),1),0)</f>
        <v>0</v>
      </c>
      <c r="DO53" s="11" t="e">
        <f t="shared" ca="1" si="75"/>
        <v>#VALUE!</v>
      </c>
      <c r="DP53" s="29" t="e">
        <f t="shared" si="76"/>
        <v>#VALUE!</v>
      </c>
      <c r="DQ53" s="11" t="e">
        <f ca="1">('Apollo Dock Status'!$Z$1-DP53)/DO53</f>
        <v>#VALUE!</v>
      </c>
      <c r="DR53" s="15" t="e">
        <f t="shared" ca="1" si="63"/>
        <v>#VALUE!</v>
      </c>
    </row>
    <row r="54" spans="1:122">
      <c r="A54" s="1" t="str">
        <f>IF(ISBLANK('Apollo Dock Status'!A54),"",'Apollo Dock Status'!A54)</f>
        <v/>
      </c>
      <c r="B54" s="1" t="str">
        <f>IF(ISBLANK('Apollo Dock Status'!B54),"",'Apollo Dock Status'!B54)</f>
        <v/>
      </c>
      <c r="C54" s="1" t="str">
        <f>IF(ISBLANK('Apollo Dock Status'!C54),"",'Apollo Dock Status'!C54)</f>
        <v/>
      </c>
      <c r="D54" s="1" t="str">
        <f>IF(ISBLANK('Apollo Dock Status'!D54),"",'Apollo Dock Status'!D54)</f>
        <v/>
      </c>
      <c r="E54" s="1" t="str">
        <f>IF(ISBLANK('Apollo Dock Status'!E54),"",'Apollo Dock Status'!E54)</f>
        <v/>
      </c>
      <c r="F54" s="1" t="str">
        <f>IF(ISBLANK('Apollo Dock Status'!F54),"",'Apollo Dock Status'!F54)</f>
        <v/>
      </c>
      <c r="G54" s="1" t="str">
        <f>IF(ISBLANK('Apollo Dock Status'!G54),"",'Apollo Dock Status'!G54)</f>
        <v/>
      </c>
      <c r="H54" s="1" t="str">
        <f>IF(ISBLANK('Apollo Dock Status'!H54),"",'Apollo Dock Status'!H54)</f>
        <v/>
      </c>
      <c r="I54" s="1" t="str">
        <f>IF(ISBLANK('Apollo Dock Status'!I54),"",'Apollo Dock Status'!I54)</f>
        <v/>
      </c>
      <c r="J54" s="1" t="str">
        <f>IF(ISBLANK('Apollo Dock Status'!J54),"",'Apollo Dock Status'!J54)</f>
        <v/>
      </c>
      <c r="K54" s="1" t="str">
        <f>IF(ISBLANK('Apollo Dock Status'!K54),"",'Apollo Dock Status'!K54)</f>
        <v/>
      </c>
      <c r="L54" s="1" t="str">
        <f>IF(ISBLANK('Apollo Dock Status'!L54),"",'Apollo Dock Status'!L54)</f>
        <v/>
      </c>
      <c r="M54" s="1" t="str">
        <f>IF(ISBLANK('Apollo Dock Status'!M54),"",'Apollo Dock Status'!M54)</f>
        <v/>
      </c>
      <c r="N54" s="1" t="str">
        <f>IF(ISBLANK('Apollo Dock Status'!N54),"",'Apollo Dock Status'!N54)</f>
        <v/>
      </c>
      <c r="O54" s="1" t="str">
        <f t="shared" si="12"/>
        <v/>
      </c>
      <c r="P54" s="1" t="str">
        <f t="shared" si="13"/>
        <v/>
      </c>
      <c r="Q54" s="1" t="str">
        <f t="shared" si="14"/>
        <v/>
      </c>
      <c r="R54" s="1" t="str">
        <f t="shared" si="15"/>
        <v/>
      </c>
      <c r="S54" s="11" t="str">
        <f t="shared" si="16"/>
        <v/>
      </c>
      <c r="T54" s="1" t="str">
        <f t="shared" si="17"/>
        <v/>
      </c>
      <c r="U54" s="11" t="str">
        <f t="shared" si="18"/>
        <v/>
      </c>
      <c r="V54" s="11" t="str">
        <f t="shared" si="19"/>
        <v/>
      </c>
      <c r="X54" s="1" t="str">
        <f t="shared" si="20"/>
        <v/>
      </c>
      <c r="Y54" s="1" t="str">
        <f t="shared" si="21"/>
        <v/>
      </c>
      <c r="Z54" s="1" t="str">
        <f t="shared" si="22"/>
        <v/>
      </c>
      <c r="AB54" s="13">
        <f t="shared" ca="1" si="23"/>
        <v>46176</v>
      </c>
      <c r="AC54" s="1">
        <f t="shared" ca="1" si="24"/>
        <v>2026</v>
      </c>
      <c r="AD54" s="1" t="str">
        <f t="shared" ca="1" si="25"/>
        <v>6</v>
      </c>
      <c r="AE54" s="1">
        <f t="shared" si="26"/>
        <v>1</v>
      </c>
      <c r="AF54" s="1" t="str">
        <f t="shared" si="27"/>
        <v/>
      </c>
      <c r="AG54" s="1">
        <f t="shared" ca="1" si="28"/>
        <v>2026</v>
      </c>
      <c r="AH54" s="1">
        <f t="shared" si="29"/>
        <v>1</v>
      </c>
      <c r="AI54" s="1" t="str">
        <f t="shared" ca="1" si="30"/>
        <v>6</v>
      </c>
      <c r="AJ54" s="13" t="e">
        <f t="shared" ca="1" si="31"/>
        <v>#VALUE!</v>
      </c>
      <c r="AK54" s="1" t="e">
        <f>IF(ISBLANK(A54),"",IFERROR(MID(F54,SEARCH(", ",F54)+LEN(", "),SEARCH(" "&amp;'Exception Stores'!$A$2,F54)-SEARCH(", ",F54)-LEN(", ")),MID(F54,SEARCH(", ",F54)+LEN(", "),SEARCH(" "&amp;'Exception Stores'!$B$2,F54)-SEARCH(", ",F54)-LEN(", "))))</f>
        <v>#VALUE!</v>
      </c>
      <c r="AL54" s="1" t="e">
        <f t="shared" si="32"/>
        <v>#VALUE!</v>
      </c>
      <c r="AM54" s="15" t="e">
        <f t="shared" ca="1" si="33"/>
        <v>#VALUE!</v>
      </c>
      <c r="AN54" s="24" t="e">
        <f t="shared" ca="1" si="34"/>
        <v>#VALUE!</v>
      </c>
      <c r="AO54" s="1" t="e">
        <f t="shared" ca="1" si="35"/>
        <v>#VALUE!</v>
      </c>
      <c r="AP54" s="13" t="e">
        <f t="shared" ca="1" si="36"/>
        <v>#VALUE!</v>
      </c>
      <c r="AQ54" s="17" t="e">
        <f t="shared" ca="1" si="37"/>
        <v>#VALUE!</v>
      </c>
      <c r="AS54" s="15" t="e">
        <f t="shared" ca="1" si="38"/>
        <v>#VALUE!</v>
      </c>
      <c r="AT54" s="5">
        <f>'Exception Stores'!$D$2</f>
        <v>0.125</v>
      </c>
      <c r="AU54" s="15" t="e">
        <f t="shared" ca="1" si="39"/>
        <v>#VALUE!</v>
      </c>
      <c r="AV54" s="15" t="e">
        <f t="shared" ca="1" si="40"/>
        <v>#VALUE!</v>
      </c>
      <c r="AW54" s="15" t="e">
        <f t="shared" ca="1" si="41"/>
        <v>#VALUE!</v>
      </c>
      <c r="AX54" s="15" t="e">
        <f t="shared" ca="1" si="42"/>
        <v>#VALUE!</v>
      </c>
      <c r="AY54" s="15" t="e">
        <f t="shared" ca="1" si="43"/>
        <v>#VALUE!</v>
      </c>
      <c r="AZ54" s="1" t="e">
        <f t="shared" ca="1" si="44"/>
        <v>#VALUE!</v>
      </c>
      <c r="BA54" s="15" t="e">
        <f t="shared" ca="1" si="45"/>
        <v>#VALUE!</v>
      </c>
      <c r="BB54" s="15" t="e">
        <f t="shared" ca="1" si="46"/>
        <v>#VALUE!</v>
      </c>
      <c r="BC54" s="1" t="e">
        <f t="shared" ca="1" si="47"/>
        <v>#VALUE!</v>
      </c>
      <c r="BE54" s="15" t="str">
        <f>IF(ISBLANK('Exception Stores'!$A$6),"",'Exception Stores'!$A$6)</f>
        <v/>
      </c>
      <c r="BF54" s="15" t="str">
        <f>IF(ISBLANK('Exception Stores'!$B$6),"",'Exception Stores'!$B$6)</f>
        <v/>
      </c>
      <c r="BG54" s="1">
        <f>IF(ISBLANK('Exception Stores'!$A$6),0,IF($AN$2&gt;$BF$2,($AN$2-$BF$2)*24,0))</f>
        <v>0</v>
      </c>
      <c r="BH54" s="11">
        <f>IF(ISBLANK('Exception Stores'!$A$6),0,($BF$2-$BE$2)*24)</f>
        <v>0</v>
      </c>
      <c r="BI5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54" s="1">
        <f>IF(ISBLANK('Exception Stores'!$A$6),0,IF($AN$2&gt;$BF$2,0,IF(AND($AN$2&lt;$BF$2,$BT$2="B"),(($BF$2-$AN$2)*24)-$BS$2,($BF$2-$AN$2)*24)))</f>
        <v>0</v>
      </c>
      <c r="BL54" s="5"/>
      <c r="BM54" s="5"/>
      <c r="BN54" s="5"/>
      <c r="BO54" s="5"/>
      <c r="BP54" s="5"/>
      <c r="BV54" s="1" t="e">
        <f t="shared" ca="1" si="48"/>
        <v>#VALUE!</v>
      </c>
      <c r="BW54" s="1" t="e">
        <f t="shared" ca="1" si="49"/>
        <v>#VALUE!</v>
      </c>
      <c r="BX54" s="1" t="e">
        <f t="shared" ca="1" si="50"/>
        <v>#VALUE!</v>
      </c>
      <c r="BY54" s="1" t="e">
        <f t="shared" ca="1" si="51"/>
        <v>#VALUE!</v>
      </c>
      <c r="BZ54" s="1" t="e">
        <f t="shared" ca="1" si="52"/>
        <v>#VALUE!</v>
      </c>
      <c r="CB54" s="1" t="str">
        <f>IF(ISBLANK('Exception Stores'!$A$6),"",WEEKDAY($BF$2))</f>
        <v/>
      </c>
      <c r="CC54" s="1" t="str">
        <f>IF(ISBLANK('Exception Stores'!$A$6),"NO",IF('Exception Stores'!$A$6&lt;$AU$2,"YES","NO"))</f>
        <v>NO</v>
      </c>
      <c r="CD54" s="1" t="str">
        <f>IF(ISBLANK('Exception Stores'!$A$6),"NO",IF('Exception Stores'!$A$6&lt;$AV$2,"YES","NO"))</f>
        <v>NO</v>
      </c>
      <c r="CE54" s="1" t="str">
        <f>IF(ISBLANK('Exception Stores'!$A$6),"NO",IF('Exception Stores'!$A$6&lt;$AW$2,"YES","NO"))</f>
        <v>NO</v>
      </c>
      <c r="CF54" s="1" t="str">
        <f>IF(ISBLANK('Exception Stores'!$A$6),"NO",IF('Exception Stores'!$A$6&lt;$AX$2,"YES","NO"))</f>
        <v>NO</v>
      </c>
      <c r="CG54" s="1" t="str">
        <f>IF(ISBLANK('Exception Stores'!$A$6),"NO",IF('Exception Stores'!$A$6&lt;$AY$2,"YES","NO"))</f>
        <v>NO</v>
      </c>
      <c r="CI54" s="42" t="str">
        <f>IF(ISBLANK('Exception Stores'!$B$6),"NO",IF('Exception Stores'!$B$6&lt;=$AU$2,"YES","NO"))</f>
        <v>NO</v>
      </c>
      <c r="CJ54" s="42" t="str">
        <f>IF(ISBLANK('Exception Stores'!$B$6),"NO",IF('Exception Stores'!$B$6&lt;=$AV$2,"YES","NO"))</f>
        <v>NO</v>
      </c>
      <c r="CK54" s="1" t="str">
        <f>IF(ISBLANK('Exception Stores'!$B$6),"NO",IF('Exception Stores'!$B$6&lt;=$AW$2,"YES","NO"))</f>
        <v>NO</v>
      </c>
      <c r="CL54" s="1" t="str">
        <f>IF(ISBLANK('Exception Stores'!$B$6),"NO",IF('Exception Stores'!$B$6&lt;=$AX$2,"YES","NO"))</f>
        <v>NO</v>
      </c>
      <c r="CM54" s="1" t="str">
        <f>IF(ISBLANK('Exception Stores'!$B$6),"NO",IF('Exception Stores'!$B$6&lt;=$AY$2,"YES","NO"))</f>
        <v>NO</v>
      </c>
      <c r="CO54" s="1" t="e">
        <f ca="1">IF(AM54&lt;'Exception Stores'!$A$6,"YES","NO")</f>
        <v>#VALUE!</v>
      </c>
      <c r="CP54" s="1">
        <f t="shared" si="53"/>
        <v>0</v>
      </c>
      <c r="CQ54" s="1">
        <f t="shared" si="54"/>
        <v>0</v>
      </c>
      <c r="CR54" s="1">
        <f t="shared" si="55"/>
        <v>0</v>
      </c>
      <c r="CS54" s="1">
        <f t="shared" si="56"/>
        <v>0</v>
      </c>
      <c r="CT54" s="1">
        <f t="shared" si="57"/>
        <v>0</v>
      </c>
      <c r="CU54" s="1">
        <f t="shared" si="58"/>
        <v>0</v>
      </c>
      <c r="CW54" s="1" t="e">
        <f t="shared" ca="1" si="64"/>
        <v>#VALUE!</v>
      </c>
      <c r="CX54" s="1" t="e">
        <f t="shared" ca="1" si="65"/>
        <v>#VALUE!</v>
      </c>
      <c r="CY54" s="1" t="e">
        <f t="shared" ca="1" si="66"/>
        <v>#VALUE!</v>
      </c>
      <c r="CZ54" s="1" t="e">
        <f t="shared" ca="1" si="67"/>
        <v>#VALUE!</v>
      </c>
      <c r="DA54" s="1" t="e">
        <f t="shared" ca="1" si="68"/>
        <v>#VALUE!</v>
      </c>
      <c r="DB54" s="26" t="e">
        <f t="shared" ca="1" si="60"/>
        <v>#VALUE!</v>
      </c>
      <c r="DC54" s="1">
        <f t="shared" si="69"/>
        <v>0</v>
      </c>
      <c r="DD54" s="1">
        <f t="shared" si="70"/>
        <v>0</v>
      </c>
      <c r="DE54" s="1">
        <f t="shared" si="71"/>
        <v>0</v>
      </c>
      <c r="DF54" s="1">
        <f t="shared" si="72"/>
        <v>0</v>
      </c>
      <c r="DG54" s="1">
        <f t="shared" si="73"/>
        <v>0</v>
      </c>
      <c r="DH54" s="26">
        <f t="shared" si="61"/>
        <v>0</v>
      </c>
      <c r="DI54" s="1" t="e">
        <f t="shared" ca="1" si="62"/>
        <v>#VALUE!</v>
      </c>
      <c r="DK54" s="11" t="str">
        <f t="shared" si="74"/>
        <v/>
      </c>
      <c r="DL54" s="11" t="e">
        <f ca="1">IF(AND(NOT(ISBLANK('Exception Stores'!$A$6)),CO54="YES"),S54-$BH$2-(DI54*$BS$2)-(CU54*$BS$2),S54-(DB54*$BS$2))</f>
        <v>#VALUE!</v>
      </c>
      <c r="DM54" s="11" t="str">
        <f>IF(ISBLANK(A54),"",IF(COUNTIF(Remaps!$A$2:$A$200,B54)&gt;0,"YES",""))</f>
        <v>YES</v>
      </c>
      <c r="DN54" s="29">
        <f>IFERROR(INDEX(Remaps!$B$2:$B$200,MATCH(B54,Remaps!$A$2:$A$200,0),1),0)</f>
        <v>0</v>
      </c>
      <c r="DO54" s="11" t="e">
        <f t="shared" ca="1" si="75"/>
        <v>#VALUE!</v>
      </c>
      <c r="DP54" s="29" t="e">
        <f t="shared" si="76"/>
        <v>#VALUE!</v>
      </c>
      <c r="DQ54" s="11" t="e">
        <f ca="1">('Apollo Dock Status'!$Z$1-DP54)/DO54</f>
        <v>#VALUE!</v>
      </c>
      <c r="DR54" s="15" t="e">
        <f t="shared" ca="1" si="63"/>
        <v>#VALUE!</v>
      </c>
    </row>
    <row r="55" spans="1:122">
      <c r="A55" s="1" t="str">
        <f>IF(ISBLANK('Apollo Dock Status'!A55),"",'Apollo Dock Status'!A55)</f>
        <v/>
      </c>
      <c r="B55" s="1" t="str">
        <f>IF(ISBLANK('Apollo Dock Status'!B55),"",'Apollo Dock Status'!B55)</f>
        <v/>
      </c>
      <c r="C55" s="1" t="str">
        <f>IF(ISBLANK('Apollo Dock Status'!C55),"",'Apollo Dock Status'!C55)</f>
        <v/>
      </c>
      <c r="D55" s="1" t="str">
        <f>IF(ISBLANK('Apollo Dock Status'!D55),"",'Apollo Dock Status'!D55)</f>
        <v/>
      </c>
      <c r="E55" s="1" t="str">
        <f>IF(ISBLANK('Apollo Dock Status'!E55),"",'Apollo Dock Status'!E55)</f>
        <v/>
      </c>
      <c r="F55" s="1" t="str">
        <f>IF(ISBLANK('Apollo Dock Status'!F55),"",'Apollo Dock Status'!F55)</f>
        <v/>
      </c>
      <c r="G55" s="1" t="str">
        <f>IF(ISBLANK('Apollo Dock Status'!G55),"",'Apollo Dock Status'!G55)</f>
        <v/>
      </c>
      <c r="H55" s="1" t="str">
        <f>IF(ISBLANK('Apollo Dock Status'!H55),"",'Apollo Dock Status'!H55)</f>
        <v/>
      </c>
      <c r="I55" s="1" t="str">
        <f>IF(ISBLANK('Apollo Dock Status'!I55),"",'Apollo Dock Status'!I55)</f>
        <v/>
      </c>
      <c r="J55" s="1" t="str">
        <f>IF(ISBLANK('Apollo Dock Status'!J55),"",'Apollo Dock Status'!J55)</f>
        <v/>
      </c>
      <c r="K55" s="1" t="str">
        <f>IF(ISBLANK('Apollo Dock Status'!K55),"",'Apollo Dock Status'!K55)</f>
        <v/>
      </c>
      <c r="L55" s="1" t="str">
        <f>IF(ISBLANK('Apollo Dock Status'!L55),"",'Apollo Dock Status'!L55)</f>
        <v/>
      </c>
      <c r="M55" s="1" t="str">
        <f>IF(ISBLANK('Apollo Dock Status'!M55),"",'Apollo Dock Status'!M55)</f>
        <v/>
      </c>
      <c r="N55" s="1" t="str">
        <f>IF(ISBLANK('Apollo Dock Status'!N55),"",'Apollo Dock Status'!N55)</f>
        <v/>
      </c>
      <c r="O55" s="1" t="str">
        <f t="shared" si="12"/>
        <v/>
      </c>
      <c r="P55" s="1" t="str">
        <f t="shared" si="13"/>
        <v/>
      </c>
      <c r="Q55" s="1" t="str">
        <f t="shared" si="14"/>
        <v/>
      </c>
      <c r="R55" s="1" t="str">
        <f t="shared" si="15"/>
        <v/>
      </c>
      <c r="S55" s="11" t="str">
        <f t="shared" si="16"/>
        <v/>
      </c>
      <c r="T55" s="1" t="str">
        <f t="shared" si="17"/>
        <v/>
      </c>
      <c r="U55" s="11" t="str">
        <f t="shared" si="18"/>
        <v/>
      </c>
      <c r="V55" s="11" t="str">
        <f t="shared" si="19"/>
        <v/>
      </c>
      <c r="X55" s="1" t="str">
        <f t="shared" si="20"/>
        <v/>
      </c>
      <c r="Y55" s="1" t="str">
        <f t="shared" si="21"/>
        <v/>
      </c>
      <c r="Z55" s="1" t="str">
        <f t="shared" si="22"/>
        <v/>
      </c>
      <c r="AB55" s="13">
        <f t="shared" ca="1" si="23"/>
        <v>46176</v>
      </c>
      <c r="AC55" s="1">
        <f t="shared" ca="1" si="24"/>
        <v>2026</v>
      </c>
      <c r="AD55" s="1" t="str">
        <f t="shared" ca="1" si="25"/>
        <v>6</v>
      </c>
      <c r="AE55" s="1">
        <f t="shared" si="26"/>
        <v>1</v>
      </c>
      <c r="AF55" s="1" t="str">
        <f t="shared" si="27"/>
        <v/>
      </c>
      <c r="AG55" s="1">
        <f t="shared" ca="1" si="28"/>
        <v>2026</v>
      </c>
      <c r="AH55" s="1">
        <f t="shared" si="29"/>
        <v>1</v>
      </c>
      <c r="AI55" s="1" t="str">
        <f t="shared" ca="1" si="30"/>
        <v>6</v>
      </c>
      <c r="AJ55" s="13" t="e">
        <f t="shared" ca="1" si="31"/>
        <v>#VALUE!</v>
      </c>
      <c r="AK55" s="1" t="e">
        <f>IF(ISBLANK(A55),"",IFERROR(MID(F55,SEARCH(", ",F55)+LEN(", "),SEARCH(" "&amp;'Exception Stores'!$A$2,F55)-SEARCH(", ",F55)-LEN(", ")),MID(F55,SEARCH(", ",F55)+LEN(", "),SEARCH(" "&amp;'Exception Stores'!$B$2,F55)-SEARCH(", ",F55)-LEN(", "))))</f>
        <v>#VALUE!</v>
      </c>
      <c r="AL55" s="1" t="e">
        <f t="shared" si="32"/>
        <v>#VALUE!</v>
      </c>
      <c r="AM55" s="15" t="e">
        <f t="shared" ca="1" si="33"/>
        <v>#VALUE!</v>
      </c>
      <c r="AN55" s="24" t="e">
        <f t="shared" ca="1" si="34"/>
        <v>#VALUE!</v>
      </c>
      <c r="AO55" s="1" t="e">
        <f t="shared" ca="1" si="35"/>
        <v>#VALUE!</v>
      </c>
      <c r="AP55" s="13" t="e">
        <f t="shared" ca="1" si="36"/>
        <v>#VALUE!</v>
      </c>
      <c r="AQ55" s="17" t="e">
        <f t="shared" ca="1" si="37"/>
        <v>#VALUE!</v>
      </c>
      <c r="AS55" s="15" t="e">
        <f t="shared" ca="1" si="38"/>
        <v>#VALUE!</v>
      </c>
      <c r="AT55" s="5">
        <f>'Exception Stores'!$D$2</f>
        <v>0.125</v>
      </c>
      <c r="AU55" s="15" t="e">
        <f t="shared" ca="1" si="39"/>
        <v>#VALUE!</v>
      </c>
      <c r="AV55" s="15" t="e">
        <f t="shared" ca="1" si="40"/>
        <v>#VALUE!</v>
      </c>
      <c r="AW55" s="15" t="e">
        <f t="shared" ca="1" si="41"/>
        <v>#VALUE!</v>
      </c>
      <c r="AX55" s="15" t="e">
        <f t="shared" ca="1" si="42"/>
        <v>#VALUE!</v>
      </c>
      <c r="AY55" s="15" t="e">
        <f t="shared" ca="1" si="43"/>
        <v>#VALUE!</v>
      </c>
      <c r="AZ55" s="1" t="e">
        <f t="shared" ca="1" si="44"/>
        <v>#VALUE!</v>
      </c>
      <c r="BA55" s="15" t="e">
        <f t="shared" ca="1" si="45"/>
        <v>#VALUE!</v>
      </c>
      <c r="BB55" s="15" t="e">
        <f t="shared" ca="1" si="46"/>
        <v>#VALUE!</v>
      </c>
      <c r="BC55" s="1" t="e">
        <f t="shared" ca="1" si="47"/>
        <v>#VALUE!</v>
      </c>
      <c r="BE55" s="15" t="str">
        <f>IF(ISBLANK('Exception Stores'!$A$6),"",'Exception Stores'!$A$6)</f>
        <v/>
      </c>
      <c r="BF55" s="15" t="str">
        <f>IF(ISBLANK('Exception Stores'!$B$6),"",'Exception Stores'!$B$6)</f>
        <v/>
      </c>
      <c r="BG55" s="1">
        <f>IF(ISBLANK('Exception Stores'!$A$6),0,IF($AN$2&gt;$BF$2,($AN$2-$BF$2)*24,0))</f>
        <v>0</v>
      </c>
      <c r="BH55" s="11">
        <f>IF(ISBLANK('Exception Stores'!$A$6),0,($BF$2-$BE$2)*24)</f>
        <v>0</v>
      </c>
      <c r="BI5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55" s="1">
        <f>IF(ISBLANK('Exception Stores'!$A$6),0,IF($AN$2&gt;$BF$2,0,IF(AND($AN$2&lt;$BF$2,$BT$2="B"),(($BF$2-$AN$2)*24)-$BS$2,($BF$2-$AN$2)*24)))</f>
        <v>0</v>
      </c>
      <c r="BL55" s="5"/>
      <c r="BM55" s="5"/>
      <c r="BN55" s="5"/>
      <c r="BO55" s="5"/>
      <c r="BP55" s="5"/>
      <c r="BV55" s="1" t="e">
        <f t="shared" ca="1" si="48"/>
        <v>#VALUE!</v>
      </c>
      <c r="BW55" s="1" t="e">
        <f t="shared" ca="1" si="49"/>
        <v>#VALUE!</v>
      </c>
      <c r="BX55" s="1" t="e">
        <f t="shared" ca="1" si="50"/>
        <v>#VALUE!</v>
      </c>
      <c r="BY55" s="1" t="e">
        <f t="shared" ca="1" si="51"/>
        <v>#VALUE!</v>
      </c>
      <c r="BZ55" s="1" t="e">
        <f t="shared" ca="1" si="52"/>
        <v>#VALUE!</v>
      </c>
      <c r="CB55" s="1" t="str">
        <f>IF(ISBLANK('Exception Stores'!$A$6),"",WEEKDAY($BF$2))</f>
        <v/>
      </c>
      <c r="CC55" s="1" t="str">
        <f>IF(ISBLANK('Exception Stores'!$A$6),"NO",IF('Exception Stores'!$A$6&lt;$AU$2,"YES","NO"))</f>
        <v>NO</v>
      </c>
      <c r="CD55" s="1" t="str">
        <f>IF(ISBLANK('Exception Stores'!$A$6),"NO",IF('Exception Stores'!$A$6&lt;$AV$2,"YES","NO"))</f>
        <v>NO</v>
      </c>
      <c r="CE55" s="1" t="str">
        <f>IF(ISBLANK('Exception Stores'!$A$6),"NO",IF('Exception Stores'!$A$6&lt;$AW$2,"YES","NO"))</f>
        <v>NO</v>
      </c>
      <c r="CF55" s="1" t="str">
        <f>IF(ISBLANK('Exception Stores'!$A$6),"NO",IF('Exception Stores'!$A$6&lt;$AX$2,"YES","NO"))</f>
        <v>NO</v>
      </c>
      <c r="CG55" s="1" t="str">
        <f>IF(ISBLANK('Exception Stores'!$A$6),"NO",IF('Exception Stores'!$A$6&lt;$AY$2,"YES","NO"))</f>
        <v>NO</v>
      </c>
      <c r="CI55" s="42" t="str">
        <f>IF(ISBLANK('Exception Stores'!$B$6),"NO",IF('Exception Stores'!$B$6&lt;=$AU$2,"YES","NO"))</f>
        <v>NO</v>
      </c>
      <c r="CJ55" s="42" t="str">
        <f>IF(ISBLANK('Exception Stores'!$B$6),"NO",IF('Exception Stores'!$B$6&lt;=$AV$2,"YES","NO"))</f>
        <v>NO</v>
      </c>
      <c r="CK55" s="1" t="str">
        <f>IF(ISBLANK('Exception Stores'!$B$6),"NO",IF('Exception Stores'!$B$6&lt;=$AW$2,"YES","NO"))</f>
        <v>NO</v>
      </c>
      <c r="CL55" s="1" t="str">
        <f>IF(ISBLANK('Exception Stores'!$B$6),"NO",IF('Exception Stores'!$B$6&lt;=$AX$2,"YES","NO"))</f>
        <v>NO</v>
      </c>
      <c r="CM55" s="1" t="str">
        <f>IF(ISBLANK('Exception Stores'!$B$6),"NO",IF('Exception Stores'!$B$6&lt;=$AY$2,"YES","NO"))</f>
        <v>NO</v>
      </c>
      <c r="CO55" s="1" t="e">
        <f ca="1">IF(AM55&lt;'Exception Stores'!$A$6,"YES","NO")</f>
        <v>#VALUE!</v>
      </c>
      <c r="CP55" s="1">
        <f t="shared" si="53"/>
        <v>0</v>
      </c>
      <c r="CQ55" s="1">
        <f t="shared" si="54"/>
        <v>0</v>
      </c>
      <c r="CR55" s="1">
        <f t="shared" si="55"/>
        <v>0</v>
      </c>
      <c r="CS55" s="1">
        <f t="shared" si="56"/>
        <v>0</v>
      </c>
      <c r="CT55" s="1">
        <f t="shared" si="57"/>
        <v>0</v>
      </c>
      <c r="CU55" s="1">
        <f t="shared" si="58"/>
        <v>0</v>
      </c>
      <c r="CW55" s="1" t="e">
        <f t="shared" ca="1" si="64"/>
        <v>#VALUE!</v>
      </c>
      <c r="CX55" s="1" t="e">
        <f t="shared" ca="1" si="65"/>
        <v>#VALUE!</v>
      </c>
      <c r="CY55" s="1" t="e">
        <f t="shared" ca="1" si="66"/>
        <v>#VALUE!</v>
      </c>
      <c r="CZ55" s="1" t="e">
        <f t="shared" ca="1" si="67"/>
        <v>#VALUE!</v>
      </c>
      <c r="DA55" s="1" t="e">
        <f t="shared" ca="1" si="68"/>
        <v>#VALUE!</v>
      </c>
      <c r="DB55" s="26" t="e">
        <f t="shared" ca="1" si="60"/>
        <v>#VALUE!</v>
      </c>
      <c r="DC55" s="1">
        <f t="shared" si="69"/>
        <v>0</v>
      </c>
      <c r="DD55" s="1">
        <f t="shared" si="70"/>
        <v>0</v>
      </c>
      <c r="DE55" s="1">
        <f t="shared" si="71"/>
        <v>0</v>
      </c>
      <c r="DF55" s="1">
        <f t="shared" si="72"/>
        <v>0</v>
      </c>
      <c r="DG55" s="1">
        <f t="shared" si="73"/>
        <v>0</v>
      </c>
      <c r="DH55" s="26">
        <f t="shared" si="61"/>
        <v>0</v>
      </c>
      <c r="DI55" s="1" t="e">
        <f t="shared" ca="1" si="62"/>
        <v>#VALUE!</v>
      </c>
      <c r="DK55" s="11" t="str">
        <f t="shared" si="74"/>
        <v/>
      </c>
      <c r="DL55" s="11" t="e">
        <f ca="1">IF(AND(NOT(ISBLANK('Exception Stores'!$A$6)),CO55="YES"),S55-$BH$2-(DI55*$BS$2)-(CU55*$BS$2),S55-(DB55*$BS$2))</f>
        <v>#VALUE!</v>
      </c>
      <c r="DM55" s="11" t="str">
        <f>IF(ISBLANK(A55),"",IF(COUNTIF(Remaps!$A$2:$A$200,B55)&gt;0,"YES",""))</f>
        <v>YES</v>
      </c>
      <c r="DN55" s="29">
        <f>IFERROR(INDEX(Remaps!$B$2:$B$200,MATCH(B55,Remaps!$A$2:$A$200,0),1),0)</f>
        <v>0</v>
      </c>
      <c r="DO55" s="11" t="e">
        <f t="shared" ca="1" si="75"/>
        <v>#VALUE!</v>
      </c>
      <c r="DP55" s="29" t="e">
        <f t="shared" si="76"/>
        <v>#VALUE!</v>
      </c>
      <c r="DQ55" s="11" t="e">
        <f ca="1">('Apollo Dock Status'!$Z$1-DP55)/DO55</f>
        <v>#VALUE!</v>
      </c>
      <c r="DR55" s="15" t="e">
        <f t="shared" ca="1" si="63"/>
        <v>#VALUE!</v>
      </c>
    </row>
    <row r="56" spans="1:122">
      <c r="A56" s="1" t="str">
        <f>IF(ISBLANK('Apollo Dock Status'!A56),"",'Apollo Dock Status'!A56)</f>
        <v/>
      </c>
      <c r="B56" s="1" t="str">
        <f>IF(ISBLANK('Apollo Dock Status'!B56),"",'Apollo Dock Status'!B56)</f>
        <v/>
      </c>
      <c r="C56" s="1" t="str">
        <f>IF(ISBLANK('Apollo Dock Status'!C56),"",'Apollo Dock Status'!C56)</f>
        <v/>
      </c>
      <c r="D56" s="1" t="str">
        <f>IF(ISBLANK('Apollo Dock Status'!D56),"",'Apollo Dock Status'!D56)</f>
        <v/>
      </c>
      <c r="E56" s="1" t="str">
        <f>IF(ISBLANK('Apollo Dock Status'!E56),"",'Apollo Dock Status'!E56)</f>
        <v/>
      </c>
      <c r="F56" s="1" t="str">
        <f>IF(ISBLANK('Apollo Dock Status'!F56),"",'Apollo Dock Status'!F56)</f>
        <v/>
      </c>
      <c r="G56" s="1" t="str">
        <f>IF(ISBLANK('Apollo Dock Status'!G56),"",'Apollo Dock Status'!G56)</f>
        <v/>
      </c>
      <c r="H56" s="1" t="str">
        <f>IF(ISBLANK('Apollo Dock Status'!H56),"",'Apollo Dock Status'!H56)</f>
        <v/>
      </c>
      <c r="I56" s="1" t="str">
        <f>IF(ISBLANK('Apollo Dock Status'!I56),"",'Apollo Dock Status'!I56)</f>
        <v/>
      </c>
      <c r="J56" s="1" t="str">
        <f>IF(ISBLANK('Apollo Dock Status'!J56),"",'Apollo Dock Status'!J56)</f>
        <v/>
      </c>
      <c r="K56" s="1" t="str">
        <f>IF(ISBLANK('Apollo Dock Status'!K56),"",'Apollo Dock Status'!K56)</f>
        <v/>
      </c>
      <c r="L56" s="1" t="str">
        <f>IF(ISBLANK('Apollo Dock Status'!L56),"",'Apollo Dock Status'!L56)</f>
        <v/>
      </c>
      <c r="M56" s="1" t="str">
        <f>IF(ISBLANK('Apollo Dock Status'!M56),"",'Apollo Dock Status'!M56)</f>
        <v/>
      </c>
      <c r="N56" s="1" t="str">
        <f>IF(ISBLANK('Apollo Dock Status'!N56),"",'Apollo Dock Status'!N56)</f>
        <v/>
      </c>
      <c r="O56" s="1" t="str">
        <f t="shared" si="12"/>
        <v/>
      </c>
      <c r="P56" s="1" t="str">
        <f t="shared" si="13"/>
        <v/>
      </c>
      <c r="Q56" s="1" t="str">
        <f t="shared" si="14"/>
        <v/>
      </c>
      <c r="R56" s="1" t="str">
        <f t="shared" si="15"/>
        <v/>
      </c>
      <c r="S56" s="11" t="str">
        <f t="shared" si="16"/>
        <v/>
      </c>
      <c r="T56" s="1" t="str">
        <f t="shared" si="17"/>
        <v/>
      </c>
      <c r="U56" s="11" t="str">
        <f t="shared" si="18"/>
        <v/>
      </c>
      <c r="V56" s="11" t="str">
        <f t="shared" si="19"/>
        <v/>
      </c>
      <c r="X56" s="1" t="str">
        <f t="shared" si="20"/>
        <v/>
      </c>
      <c r="Y56" s="1" t="str">
        <f t="shared" si="21"/>
        <v/>
      </c>
      <c r="Z56" s="1" t="str">
        <f t="shared" si="22"/>
        <v/>
      </c>
      <c r="AB56" s="13">
        <f t="shared" ca="1" si="23"/>
        <v>46176</v>
      </c>
      <c r="AC56" s="1">
        <f t="shared" ca="1" si="24"/>
        <v>2026</v>
      </c>
      <c r="AD56" s="1" t="str">
        <f t="shared" ca="1" si="25"/>
        <v>6</v>
      </c>
      <c r="AE56" s="1">
        <f t="shared" si="26"/>
        <v>1</v>
      </c>
      <c r="AF56" s="1" t="str">
        <f t="shared" si="27"/>
        <v/>
      </c>
      <c r="AG56" s="1">
        <f t="shared" ca="1" si="28"/>
        <v>2026</v>
      </c>
      <c r="AH56" s="1">
        <f t="shared" si="29"/>
        <v>1</v>
      </c>
      <c r="AI56" s="1" t="str">
        <f t="shared" ca="1" si="30"/>
        <v>6</v>
      </c>
      <c r="AJ56" s="13" t="e">
        <f t="shared" ca="1" si="31"/>
        <v>#VALUE!</v>
      </c>
      <c r="AK56" s="1" t="e">
        <f>IF(ISBLANK(A56),"",IFERROR(MID(F56,SEARCH(", ",F56)+LEN(", "),SEARCH(" "&amp;'Exception Stores'!$A$2,F56)-SEARCH(", ",F56)-LEN(", ")),MID(F56,SEARCH(", ",F56)+LEN(", "),SEARCH(" "&amp;'Exception Stores'!$B$2,F56)-SEARCH(", ",F56)-LEN(", "))))</f>
        <v>#VALUE!</v>
      </c>
      <c r="AL56" s="1" t="e">
        <f t="shared" si="32"/>
        <v>#VALUE!</v>
      </c>
      <c r="AM56" s="15" t="e">
        <f t="shared" ca="1" si="33"/>
        <v>#VALUE!</v>
      </c>
      <c r="AN56" s="24" t="e">
        <f t="shared" ca="1" si="34"/>
        <v>#VALUE!</v>
      </c>
      <c r="AO56" s="1" t="e">
        <f t="shared" ca="1" si="35"/>
        <v>#VALUE!</v>
      </c>
      <c r="AP56" s="13" t="e">
        <f t="shared" ca="1" si="36"/>
        <v>#VALUE!</v>
      </c>
      <c r="AQ56" s="17" t="e">
        <f t="shared" ca="1" si="37"/>
        <v>#VALUE!</v>
      </c>
      <c r="AS56" s="15" t="e">
        <f t="shared" ca="1" si="38"/>
        <v>#VALUE!</v>
      </c>
      <c r="AT56" s="5">
        <f>'Exception Stores'!$D$2</f>
        <v>0.125</v>
      </c>
      <c r="AU56" s="15" t="e">
        <f t="shared" ca="1" si="39"/>
        <v>#VALUE!</v>
      </c>
      <c r="AV56" s="15" t="e">
        <f t="shared" ca="1" si="40"/>
        <v>#VALUE!</v>
      </c>
      <c r="AW56" s="15" t="e">
        <f t="shared" ca="1" si="41"/>
        <v>#VALUE!</v>
      </c>
      <c r="AX56" s="15" t="e">
        <f t="shared" ca="1" si="42"/>
        <v>#VALUE!</v>
      </c>
      <c r="AY56" s="15" t="e">
        <f t="shared" ca="1" si="43"/>
        <v>#VALUE!</v>
      </c>
      <c r="AZ56" s="1" t="e">
        <f t="shared" ca="1" si="44"/>
        <v>#VALUE!</v>
      </c>
      <c r="BA56" s="15" t="e">
        <f t="shared" ca="1" si="45"/>
        <v>#VALUE!</v>
      </c>
      <c r="BB56" s="15" t="e">
        <f t="shared" ca="1" si="46"/>
        <v>#VALUE!</v>
      </c>
      <c r="BC56" s="1" t="e">
        <f t="shared" ca="1" si="47"/>
        <v>#VALUE!</v>
      </c>
      <c r="BE56" s="15" t="str">
        <f>IF(ISBLANK('Exception Stores'!$A$6),"",'Exception Stores'!$A$6)</f>
        <v/>
      </c>
      <c r="BF56" s="15" t="str">
        <f>IF(ISBLANK('Exception Stores'!$B$6),"",'Exception Stores'!$B$6)</f>
        <v/>
      </c>
      <c r="BG56" s="1">
        <f>IF(ISBLANK('Exception Stores'!$A$6),0,IF($AN$2&gt;$BF$2,($AN$2-$BF$2)*24,0))</f>
        <v>0</v>
      </c>
      <c r="BH56" s="11">
        <f>IF(ISBLANK('Exception Stores'!$A$6),0,($BF$2-$BE$2)*24)</f>
        <v>0</v>
      </c>
      <c r="BI5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56" s="1">
        <f>IF(ISBLANK('Exception Stores'!$A$6),0,IF($AN$2&gt;$BF$2,0,IF(AND($AN$2&lt;$BF$2,$BT$2="B"),(($BF$2-$AN$2)*24)-$BS$2,($BF$2-$AN$2)*24)))</f>
        <v>0</v>
      </c>
      <c r="BL56" s="5"/>
      <c r="BM56" s="5"/>
      <c r="BN56" s="5"/>
      <c r="BO56" s="5"/>
      <c r="BP56" s="5"/>
      <c r="BV56" s="1" t="e">
        <f t="shared" ca="1" si="48"/>
        <v>#VALUE!</v>
      </c>
      <c r="BW56" s="1" t="e">
        <f t="shared" ca="1" si="49"/>
        <v>#VALUE!</v>
      </c>
      <c r="BX56" s="1" t="e">
        <f t="shared" ca="1" si="50"/>
        <v>#VALUE!</v>
      </c>
      <c r="BY56" s="1" t="e">
        <f t="shared" ca="1" si="51"/>
        <v>#VALUE!</v>
      </c>
      <c r="BZ56" s="1" t="e">
        <f t="shared" ca="1" si="52"/>
        <v>#VALUE!</v>
      </c>
      <c r="CB56" s="1" t="str">
        <f>IF(ISBLANK('Exception Stores'!$A$6),"",WEEKDAY($BF$2))</f>
        <v/>
      </c>
      <c r="CC56" s="1" t="str">
        <f>IF(ISBLANK('Exception Stores'!$A$6),"NO",IF('Exception Stores'!$A$6&lt;$AU$2,"YES","NO"))</f>
        <v>NO</v>
      </c>
      <c r="CD56" s="1" t="str">
        <f>IF(ISBLANK('Exception Stores'!$A$6),"NO",IF('Exception Stores'!$A$6&lt;$AV$2,"YES","NO"))</f>
        <v>NO</v>
      </c>
      <c r="CE56" s="1" t="str">
        <f>IF(ISBLANK('Exception Stores'!$A$6),"NO",IF('Exception Stores'!$A$6&lt;$AW$2,"YES","NO"))</f>
        <v>NO</v>
      </c>
      <c r="CF56" s="1" t="str">
        <f>IF(ISBLANK('Exception Stores'!$A$6),"NO",IF('Exception Stores'!$A$6&lt;$AX$2,"YES","NO"))</f>
        <v>NO</v>
      </c>
      <c r="CG56" s="1" t="str">
        <f>IF(ISBLANK('Exception Stores'!$A$6),"NO",IF('Exception Stores'!$A$6&lt;$AY$2,"YES","NO"))</f>
        <v>NO</v>
      </c>
      <c r="CI56" s="42" t="str">
        <f>IF(ISBLANK('Exception Stores'!$B$6),"NO",IF('Exception Stores'!$B$6&lt;=$AU$2,"YES","NO"))</f>
        <v>NO</v>
      </c>
      <c r="CJ56" s="42" t="str">
        <f>IF(ISBLANK('Exception Stores'!$B$6),"NO",IF('Exception Stores'!$B$6&lt;=$AV$2,"YES","NO"))</f>
        <v>NO</v>
      </c>
      <c r="CK56" s="1" t="str">
        <f>IF(ISBLANK('Exception Stores'!$B$6),"NO",IF('Exception Stores'!$B$6&lt;=$AW$2,"YES","NO"))</f>
        <v>NO</v>
      </c>
      <c r="CL56" s="1" t="str">
        <f>IF(ISBLANK('Exception Stores'!$B$6),"NO",IF('Exception Stores'!$B$6&lt;=$AX$2,"YES","NO"))</f>
        <v>NO</v>
      </c>
      <c r="CM56" s="1" t="str">
        <f>IF(ISBLANK('Exception Stores'!$B$6),"NO",IF('Exception Stores'!$B$6&lt;=$AY$2,"YES","NO"))</f>
        <v>NO</v>
      </c>
      <c r="CO56" s="1" t="e">
        <f ca="1">IF(AM56&lt;'Exception Stores'!$A$6,"YES","NO")</f>
        <v>#VALUE!</v>
      </c>
      <c r="CP56" s="1">
        <f t="shared" si="53"/>
        <v>0</v>
      </c>
      <c r="CQ56" s="1">
        <f t="shared" si="54"/>
        <v>0</v>
      </c>
      <c r="CR56" s="1">
        <f t="shared" si="55"/>
        <v>0</v>
      </c>
      <c r="CS56" s="1">
        <f t="shared" si="56"/>
        <v>0</v>
      </c>
      <c r="CT56" s="1">
        <f t="shared" si="57"/>
        <v>0</v>
      </c>
      <c r="CU56" s="1">
        <f t="shared" si="58"/>
        <v>0</v>
      </c>
      <c r="CW56" s="1" t="e">
        <f t="shared" ca="1" si="64"/>
        <v>#VALUE!</v>
      </c>
      <c r="CX56" s="1" t="e">
        <f t="shared" ca="1" si="65"/>
        <v>#VALUE!</v>
      </c>
      <c r="CY56" s="1" t="e">
        <f t="shared" ca="1" si="66"/>
        <v>#VALUE!</v>
      </c>
      <c r="CZ56" s="1" t="e">
        <f t="shared" ca="1" si="67"/>
        <v>#VALUE!</v>
      </c>
      <c r="DA56" s="1" t="e">
        <f t="shared" ca="1" si="68"/>
        <v>#VALUE!</v>
      </c>
      <c r="DB56" s="26" t="e">
        <f t="shared" ca="1" si="60"/>
        <v>#VALUE!</v>
      </c>
      <c r="DC56" s="1">
        <f t="shared" si="69"/>
        <v>0</v>
      </c>
      <c r="DD56" s="1">
        <f t="shared" si="70"/>
        <v>0</v>
      </c>
      <c r="DE56" s="1">
        <f t="shared" si="71"/>
        <v>0</v>
      </c>
      <c r="DF56" s="1">
        <f t="shared" si="72"/>
        <v>0</v>
      </c>
      <c r="DG56" s="1">
        <f t="shared" si="73"/>
        <v>0</v>
      </c>
      <c r="DH56" s="26">
        <f t="shared" si="61"/>
        <v>0</v>
      </c>
      <c r="DI56" s="1" t="e">
        <f t="shared" ca="1" si="62"/>
        <v>#VALUE!</v>
      </c>
      <c r="DK56" s="11" t="str">
        <f t="shared" si="74"/>
        <v/>
      </c>
      <c r="DL56" s="11" t="e">
        <f ca="1">IF(AND(NOT(ISBLANK('Exception Stores'!$A$6)),CO56="YES"),S56-$BH$2-(DI56*$BS$2)-(CU56*$BS$2),S56-(DB56*$BS$2))</f>
        <v>#VALUE!</v>
      </c>
      <c r="DM56" s="11" t="str">
        <f>IF(ISBLANK(A56),"",IF(COUNTIF(Remaps!$A$2:$A$200,B56)&gt;0,"YES",""))</f>
        <v>YES</v>
      </c>
      <c r="DN56" s="29">
        <f>IFERROR(INDEX(Remaps!$B$2:$B$200,MATCH(B56,Remaps!$A$2:$A$200,0),1),0)</f>
        <v>0</v>
      </c>
      <c r="DO56" s="11" t="e">
        <f t="shared" ca="1" si="75"/>
        <v>#VALUE!</v>
      </c>
      <c r="DP56" s="29" t="e">
        <f t="shared" si="76"/>
        <v>#VALUE!</v>
      </c>
      <c r="DQ56" s="11" t="e">
        <f ca="1">('Apollo Dock Status'!$Z$1-DP56)/DO56</f>
        <v>#VALUE!</v>
      </c>
      <c r="DR56" s="15" t="e">
        <f t="shared" ca="1" si="63"/>
        <v>#VALUE!</v>
      </c>
    </row>
    <row r="57" spans="1:122">
      <c r="A57" s="1" t="str">
        <f>IF(ISBLANK('Apollo Dock Status'!A57),"",'Apollo Dock Status'!A57)</f>
        <v/>
      </c>
      <c r="B57" s="1" t="str">
        <f>IF(ISBLANK('Apollo Dock Status'!B57),"",'Apollo Dock Status'!B57)</f>
        <v/>
      </c>
      <c r="C57" s="1" t="str">
        <f>IF(ISBLANK('Apollo Dock Status'!C57),"",'Apollo Dock Status'!C57)</f>
        <v/>
      </c>
      <c r="D57" s="1" t="str">
        <f>IF(ISBLANK('Apollo Dock Status'!D57),"",'Apollo Dock Status'!D57)</f>
        <v/>
      </c>
      <c r="E57" s="1" t="str">
        <f>IF(ISBLANK('Apollo Dock Status'!E57),"",'Apollo Dock Status'!E57)</f>
        <v/>
      </c>
      <c r="F57" s="1" t="str">
        <f>IF(ISBLANK('Apollo Dock Status'!F57),"",'Apollo Dock Status'!F57)</f>
        <v/>
      </c>
      <c r="G57" s="1" t="str">
        <f>IF(ISBLANK('Apollo Dock Status'!G57),"",'Apollo Dock Status'!G57)</f>
        <v/>
      </c>
      <c r="H57" s="1" t="str">
        <f>IF(ISBLANK('Apollo Dock Status'!H57),"",'Apollo Dock Status'!H57)</f>
        <v/>
      </c>
      <c r="I57" s="1" t="str">
        <f>IF(ISBLANK('Apollo Dock Status'!I57),"",'Apollo Dock Status'!I57)</f>
        <v/>
      </c>
      <c r="J57" s="1" t="str">
        <f>IF(ISBLANK('Apollo Dock Status'!J57),"",'Apollo Dock Status'!J57)</f>
        <v/>
      </c>
      <c r="K57" s="1" t="str">
        <f>IF(ISBLANK('Apollo Dock Status'!K57),"",'Apollo Dock Status'!K57)</f>
        <v/>
      </c>
      <c r="L57" s="1" t="str">
        <f>IF(ISBLANK('Apollo Dock Status'!L57),"",'Apollo Dock Status'!L57)</f>
        <v/>
      </c>
      <c r="M57" s="1" t="str">
        <f>IF(ISBLANK('Apollo Dock Status'!M57),"",'Apollo Dock Status'!M57)</f>
        <v/>
      </c>
      <c r="N57" s="1" t="str">
        <f>IF(ISBLANK('Apollo Dock Status'!N57),"",'Apollo Dock Status'!N57)</f>
        <v/>
      </c>
      <c r="O57" s="1" t="str">
        <f t="shared" si="12"/>
        <v/>
      </c>
      <c r="P57" s="1" t="str">
        <f t="shared" si="13"/>
        <v/>
      </c>
      <c r="Q57" s="1" t="str">
        <f t="shared" si="14"/>
        <v/>
      </c>
      <c r="R57" s="1" t="str">
        <f t="shared" si="15"/>
        <v/>
      </c>
      <c r="S57" s="11" t="str">
        <f t="shared" si="16"/>
        <v/>
      </c>
      <c r="T57" s="1" t="str">
        <f t="shared" si="17"/>
        <v/>
      </c>
      <c r="U57" s="11" t="str">
        <f t="shared" si="18"/>
        <v/>
      </c>
      <c r="V57" s="11" t="str">
        <f t="shared" si="19"/>
        <v/>
      </c>
      <c r="X57" s="1" t="str">
        <f t="shared" si="20"/>
        <v/>
      </c>
      <c r="Y57" s="1" t="str">
        <f t="shared" si="21"/>
        <v/>
      </c>
      <c r="Z57" s="1" t="str">
        <f t="shared" si="22"/>
        <v/>
      </c>
      <c r="AB57" s="13">
        <f t="shared" ca="1" si="23"/>
        <v>46176</v>
      </c>
      <c r="AC57" s="1">
        <f t="shared" ca="1" si="24"/>
        <v>2026</v>
      </c>
      <c r="AD57" s="1" t="str">
        <f t="shared" ca="1" si="25"/>
        <v>6</v>
      </c>
      <c r="AE57" s="1">
        <f t="shared" si="26"/>
        <v>1</v>
      </c>
      <c r="AF57" s="1" t="str">
        <f t="shared" si="27"/>
        <v/>
      </c>
      <c r="AG57" s="1">
        <f t="shared" ca="1" si="28"/>
        <v>2026</v>
      </c>
      <c r="AH57" s="1">
        <f t="shared" si="29"/>
        <v>1</v>
      </c>
      <c r="AI57" s="1" t="str">
        <f t="shared" ca="1" si="30"/>
        <v>6</v>
      </c>
      <c r="AJ57" s="13" t="e">
        <f t="shared" ca="1" si="31"/>
        <v>#VALUE!</v>
      </c>
      <c r="AK57" s="1" t="e">
        <f>IF(ISBLANK(A57),"",IFERROR(MID(F57,SEARCH(", ",F57)+LEN(", "),SEARCH(" "&amp;'Exception Stores'!$A$2,F57)-SEARCH(", ",F57)-LEN(", ")),MID(F57,SEARCH(", ",F57)+LEN(", "),SEARCH(" "&amp;'Exception Stores'!$B$2,F57)-SEARCH(", ",F57)-LEN(", "))))</f>
        <v>#VALUE!</v>
      </c>
      <c r="AL57" s="1" t="e">
        <f t="shared" si="32"/>
        <v>#VALUE!</v>
      </c>
      <c r="AM57" s="15" t="e">
        <f t="shared" ca="1" si="33"/>
        <v>#VALUE!</v>
      </c>
      <c r="AN57" s="24" t="e">
        <f t="shared" ca="1" si="34"/>
        <v>#VALUE!</v>
      </c>
      <c r="AO57" s="1" t="e">
        <f t="shared" ca="1" si="35"/>
        <v>#VALUE!</v>
      </c>
      <c r="AP57" s="13" t="e">
        <f t="shared" ca="1" si="36"/>
        <v>#VALUE!</v>
      </c>
      <c r="AQ57" s="17" t="e">
        <f t="shared" ca="1" si="37"/>
        <v>#VALUE!</v>
      </c>
      <c r="AS57" s="15" t="e">
        <f t="shared" ca="1" si="38"/>
        <v>#VALUE!</v>
      </c>
      <c r="AT57" s="5">
        <f>'Exception Stores'!$D$2</f>
        <v>0.125</v>
      </c>
      <c r="AU57" s="15" t="e">
        <f t="shared" ca="1" si="39"/>
        <v>#VALUE!</v>
      </c>
      <c r="AV57" s="15" t="e">
        <f t="shared" ca="1" si="40"/>
        <v>#VALUE!</v>
      </c>
      <c r="AW57" s="15" t="e">
        <f t="shared" ca="1" si="41"/>
        <v>#VALUE!</v>
      </c>
      <c r="AX57" s="15" t="e">
        <f t="shared" ca="1" si="42"/>
        <v>#VALUE!</v>
      </c>
      <c r="AY57" s="15" t="e">
        <f t="shared" ca="1" si="43"/>
        <v>#VALUE!</v>
      </c>
      <c r="AZ57" s="1" t="e">
        <f t="shared" ca="1" si="44"/>
        <v>#VALUE!</v>
      </c>
      <c r="BA57" s="15" t="e">
        <f t="shared" ca="1" si="45"/>
        <v>#VALUE!</v>
      </c>
      <c r="BB57" s="15" t="e">
        <f t="shared" ca="1" si="46"/>
        <v>#VALUE!</v>
      </c>
      <c r="BC57" s="1" t="e">
        <f t="shared" ca="1" si="47"/>
        <v>#VALUE!</v>
      </c>
      <c r="BE57" s="15" t="str">
        <f>IF(ISBLANK('Exception Stores'!$A$6),"",'Exception Stores'!$A$6)</f>
        <v/>
      </c>
      <c r="BF57" s="15" t="str">
        <f>IF(ISBLANK('Exception Stores'!$B$6),"",'Exception Stores'!$B$6)</f>
        <v/>
      </c>
      <c r="BG57" s="1">
        <f>IF(ISBLANK('Exception Stores'!$A$6),0,IF($AN$2&gt;$BF$2,($AN$2-$BF$2)*24,0))</f>
        <v>0</v>
      </c>
      <c r="BH57" s="11">
        <f>IF(ISBLANK('Exception Stores'!$A$6),0,($BF$2-$BE$2)*24)</f>
        <v>0</v>
      </c>
      <c r="BI5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57" s="1">
        <f>IF(ISBLANK('Exception Stores'!$A$6),0,IF($AN$2&gt;$BF$2,0,IF(AND($AN$2&lt;$BF$2,$BT$2="B"),(($BF$2-$AN$2)*24)-$BS$2,($BF$2-$AN$2)*24)))</f>
        <v>0</v>
      </c>
      <c r="BL57" s="5"/>
      <c r="BM57" s="5"/>
      <c r="BN57" s="5"/>
      <c r="BO57" s="5"/>
      <c r="BP57" s="5"/>
      <c r="BV57" s="1" t="e">
        <f t="shared" ca="1" si="48"/>
        <v>#VALUE!</v>
      </c>
      <c r="BW57" s="1" t="e">
        <f t="shared" ca="1" si="49"/>
        <v>#VALUE!</v>
      </c>
      <c r="BX57" s="1" t="e">
        <f t="shared" ca="1" si="50"/>
        <v>#VALUE!</v>
      </c>
      <c r="BY57" s="1" t="e">
        <f t="shared" ca="1" si="51"/>
        <v>#VALUE!</v>
      </c>
      <c r="BZ57" s="1" t="e">
        <f t="shared" ca="1" si="52"/>
        <v>#VALUE!</v>
      </c>
      <c r="CB57" s="1" t="str">
        <f>IF(ISBLANK('Exception Stores'!$A$6),"",WEEKDAY($BF$2))</f>
        <v/>
      </c>
      <c r="CC57" s="1" t="str">
        <f>IF(ISBLANK('Exception Stores'!$A$6),"NO",IF('Exception Stores'!$A$6&lt;$AU$2,"YES","NO"))</f>
        <v>NO</v>
      </c>
      <c r="CD57" s="1" t="str">
        <f>IF(ISBLANK('Exception Stores'!$A$6),"NO",IF('Exception Stores'!$A$6&lt;$AV$2,"YES","NO"))</f>
        <v>NO</v>
      </c>
      <c r="CE57" s="1" t="str">
        <f>IF(ISBLANK('Exception Stores'!$A$6),"NO",IF('Exception Stores'!$A$6&lt;$AW$2,"YES","NO"))</f>
        <v>NO</v>
      </c>
      <c r="CF57" s="1" t="str">
        <f>IF(ISBLANK('Exception Stores'!$A$6),"NO",IF('Exception Stores'!$A$6&lt;$AX$2,"YES","NO"))</f>
        <v>NO</v>
      </c>
      <c r="CG57" s="1" t="str">
        <f>IF(ISBLANK('Exception Stores'!$A$6),"NO",IF('Exception Stores'!$A$6&lt;$AY$2,"YES","NO"))</f>
        <v>NO</v>
      </c>
      <c r="CI57" s="42" t="str">
        <f>IF(ISBLANK('Exception Stores'!$B$6),"NO",IF('Exception Stores'!$B$6&lt;=$AU$2,"YES","NO"))</f>
        <v>NO</v>
      </c>
      <c r="CJ57" s="42" t="str">
        <f>IF(ISBLANK('Exception Stores'!$B$6),"NO",IF('Exception Stores'!$B$6&lt;=$AV$2,"YES","NO"))</f>
        <v>NO</v>
      </c>
      <c r="CK57" s="1" t="str">
        <f>IF(ISBLANK('Exception Stores'!$B$6),"NO",IF('Exception Stores'!$B$6&lt;=$AW$2,"YES","NO"))</f>
        <v>NO</v>
      </c>
      <c r="CL57" s="1" t="str">
        <f>IF(ISBLANK('Exception Stores'!$B$6),"NO",IF('Exception Stores'!$B$6&lt;=$AX$2,"YES","NO"))</f>
        <v>NO</v>
      </c>
      <c r="CM57" s="1" t="str">
        <f>IF(ISBLANK('Exception Stores'!$B$6),"NO",IF('Exception Stores'!$B$6&lt;=$AY$2,"YES","NO"))</f>
        <v>NO</v>
      </c>
      <c r="CO57" s="1" t="e">
        <f ca="1">IF(AM57&lt;'Exception Stores'!$A$6,"YES","NO")</f>
        <v>#VALUE!</v>
      </c>
      <c r="CP57" s="1">
        <f t="shared" si="53"/>
        <v>0</v>
      </c>
      <c r="CQ57" s="1">
        <f t="shared" si="54"/>
        <v>0</v>
      </c>
      <c r="CR57" s="1">
        <f t="shared" si="55"/>
        <v>0</v>
      </c>
      <c r="CS57" s="1">
        <f t="shared" si="56"/>
        <v>0</v>
      </c>
      <c r="CT57" s="1">
        <f t="shared" si="57"/>
        <v>0</v>
      </c>
      <c r="CU57" s="1">
        <f t="shared" si="58"/>
        <v>0</v>
      </c>
      <c r="CW57" s="1" t="e">
        <f t="shared" ca="1" si="64"/>
        <v>#VALUE!</v>
      </c>
      <c r="CX57" s="1" t="e">
        <f t="shared" ca="1" si="65"/>
        <v>#VALUE!</v>
      </c>
      <c r="CY57" s="1" t="e">
        <f t="shared" ca="1" si="66"/>
        <v>#VALUE!</v>
      </c>
      <c r="CZ57" s="1" t="e">
        <f t="shared" ca="1" si="67"/>
        <v>#VALUE!</v>
      </c>
      <c r="DA57" s="1" t="e">
        <f t="shared" ca="1" si="68"/>
        <v>#VALUE!</v>
      </c>
      <c r="DB57" s="26" t="e">
        <f t="shared" ca="1" si="60"/>
        <v>#VALUE!</v>
      </c>
      <c r="DC57" s="1">
        <f t="shared" si="69"/>
        <v>0</v>
      </c>
      <c r="DD57" s="1">
        <f t="shared" si="70"/>
        <v>0</v>
      </c>
      <c r="DE57" s="1">
        <f t="shared" si="71"/>
        <v>0</v>
      </c>
      <c r="DF57" s="1">
        <f t="shared" si="72"/>
        <v>0</v>
      </c>
      <c r="DG57" s="1">
        <f t="shared" si="73"/>
        <v>0</v>
      </c>
      <c r="DH57" s="26">
        <f t="shared" si="61"/>
        <v>0</v>
      </c>
      <c r="DI57" s="1" t="e">
        <f t="shared" ca="1" si="62"/>
        <v>#VALUE!</v>
      </c>
      <c r="DK57" s="11" t="str">
        <f t="shared" si="74"/>
        <v/>
      </c>
      <c r="DL57" s="11" t="e">
        <f ca="1">IF(AND(NOT(ISBLANK('Exception Stores'!$A$6)),CO57="YES"),S57-$BH$2-(DI57*$BS$2)-(CU57*$BS$2),S57-(DB57*$BS$2))</f>
        <v>#VALUE!</v>
      </c>
      <c r="DM57" s="11" t="str">
        <f>IF(ISBLANK(A57),"",IF(COUNTIF(Remaps!$A$2:$A$200,B57)&gt;0,"YES",""))</f>
        <v>YES</v>
      </c>
      <c r="DN57" s="29">
        <f>IFERROR(INDEX(Remaps!$B$2:$B$200,MATCH(B57,Remaps!$A$2:$A$200,0),1),0)</f>
        <v>0</v>
      </c>
      <c r="DO57" s="11" t="e">
        <f t="shared" ca="1" si="75"/>
        <v>#VALUE!</v>
      </c>
      <c r="DP57" s="29" t="e">
        <f t="shared" si="76"/>
        <v>#VALUE!</v>
      </c>
      <c r="DQ57" s="11" t="e">
        <f ca="1">('Apollo Dock Status'!$Z$1-DP57)/DO57</f>
        <v>#VALUE!</v>
      </c>
      <c r="DR57" s="15" t="e">
        <f t="shared" ca="1" si="63"/>
        <v>#VALUE!</v>
      </c>
    </row>
    <row r="58" spans="1:122">
      <c r="A58" s="1" t="str">
        <f>IF(ISBLANK('Apollo Dock Status'!A58),"",'Apollo Dock Status'!A58)</f>
        <v/>
      </c>
      <c r="B58" s="1" t="str">
        <f>IF(ISBLANK('Apollo Dock Status'!B58),"",'Apollo Dock Status'!B58)</f>
        <v/>
      </c>
      <c r="C58" s="1" t="str">
        <f>IF(ISBLANK('Apollo Dock Status'!C58),"",'Apollo Dock Status'!C58)</f>
        <v/>
      </c>
      <c r="D58" s="1" t="str">
        <f>IF(ISBLANK('Apollo Dock Status'!D58),"",'Apollo Dock Status'!D58)</f>
        <v/>
      </c>
      <c r="E58" s="1" t="str">
        <f>IF(ISBLANK('Apollo Dock Status'!E58),"",'Apollo Dock Status'!E58)</f>
        <v/>
      </c>
      <c r="F58" s="1" t="str">
        <f>IF(ISBLANK('Apollo Dock Status'!F58),"",'Apollo Dock Status'!F58)</f>
        <v/>
      </c>
      <c r="G58" s="1" t="str">
        <f>IF(ISBLANK('Apollo Dock Status'!G58),"",'Apollo Dock Status'!G58)</f>
        <v/>
      </c>
      <c r="H58" s="1" t="str">
        <f>IF(ISBLANK('Apollo Dock Status'!H58),"",'Apollo Dock Status'!H58)</f>
        <v/>
      </c>
      <c r="I58" s="1" t="str">
        <f>IF(ISBLANK('Apollo Dock Status'!I58),"",'Apollo Dock Status'!I58)</f>
        <v/>
      </c>
      <c r="J58" s="1" t="str">
        <f>IF(ISBLANK('Apollo Dock Status'!J58),"",'Apollo Dock Status'!J58)</f>
        <v/>
      </c>
      <c r="K58" s="1" t="str">
        <f>IF(ISBLANK('Apollo Dock Status'!K58),"",'Apollo Dock Status'!K58)</f>
        <v/>
      </c>
      <c r="L58" s="1" t="str">
        <f>IF(ISBLANK('Apollo Dock Status'!L58),"",'Apollo Dock Status'!L58)</f>
        <v/>
      </c>
      <c r="M58" s="1" t="str">
        <f>IF(ISBLANK('Apollo Dock Status'!M58),"",'Apollo Dock Status'!M58)</f>
        <v/>
      </c>
      <c r="N58" s="1" t="str">
        <f>IF(ISBLANK('Apollo Dock Status'!N58),"",'Apollo Dock Status'!N58)</f>
        <v/>
      </c>
      <c r="O58" s="1" t="str">
        <f t="shared" si="12"/>
        <v/>
      </c>
      <c r="P58" s="1" t="str">
        <f t="shared" si="13"/>
        <v/>
      </c>
      <c r="Q58" s="1" t="str">
        <f t="shared" si="14"/>
        <v/>
      </c>
      <c r="R58" s="1" t="str">
        <f t="shared" si="15"/>
        <v/>
      </c>
      <c r="S58" s="11" t="str">
        <f t="shared" si="16"/>
        <v/>
      </c>
      <c r="T58" s="1" t="str">
        <f t="shared" si="17"/>
        <v/>
      </c>
      <c r="U58" s="11" t="str">
        <f t="shared" si="18"/>
        <v/>
      </c>
      <c r="V58" s="11" t="str">
        <f t="shared" si="19"/>
        <v/>
      </c>
      <c r="X58" s="1" t="str">
        <f t="shared" si="20"/>
        <v/>
      </c>
      <c r="Y58" s="1" t="str">
        <f t="shared" si="21"/>
        <v/>
      </c>
      <c r="Z58" s="1" t="str">
        <f t="shared" si="22"/>
        <v/>
      </c>
      <c r="AB58" s="13">
        <f t="shared" ca="1" si="23"/>
        <v>46176</v>
      </c>
      <c r="AC58" s="1">
        <f t="shared" ca="1" si="24"/>
        <v>2026</v>
      </c>
      <c r="AD58" s="1" t="str">
        <f t="shared" ca="1" si="25"/>
        <v>6</v>
      </c>
      <c r="AE58" s="1">
        <f t="shared" si="26"/>
        <v>1</v>
      </c>
      <c r="AF58" s="1" t="str">
        <f t="shared" si="27"/>
        <v/>
      </c>
      <c r="AG58" s="1">
        <f t="shared" ca="1" si="28"/>
        <v>2026</v>
      </c>
      <c r="AH58" s="1">
        <f t="shared" si="29"/>
        <v>1</v>
      </c>
      <c r="AI58" s="1" t="str">
        <f t="shared" ca="1" si="30"/>
        <v>6</v>
      </c>
      <c r="AJ58" s="13" t="e">
        <f t="shared" ca="1" si="31"/>
        <v>#VALUE!</v>
      </c>
      <c r="AK58" s="1" t="e">
        <f>IF(ISBLANK(A58),"",IFERROR(MID(F58,SEARCH(", ",F58)+LEN(", "),SEARCH(" "&amp;'Exception Stores'!$A$2,F58)-SEARCH(", ",F58)-LEN(", ")),MID(F58,SEARCH(", ",F58)+LEN(", "),SEARCH(" "&amp;'Exception Stores'!$B$2,F58)-SEARCH(", ",F58)-LEN(", "))))</f>
        <v>#VALUE!</v>
      </c>
      <c r="AL58" s="1" t="e">
        <f t="shared" si="32"/>
        <v>#VALUE!</v>
      </c>
      <c r="AM58" s="15" t="e">
        <f t="shared" ca="1" si="33"/>
        <v>#VALUE!</v>
      </c>
      <c r="AN58" s="24" t="e">
        <f t="shared" ca="1" si="34"/>
        <v>#VALUE!</v>
      </c>
      <c r="AO58" s="1" t="e">
        <f t="shared" ca="1" si="35"/>
        <v>#VALUE!</v>
      </c>
      <c r="AP58" s="13" t="e">
        <f t="shared" ca="1" si="36"/>
        <v>#VALUE!</v>
      </c>
      <c r="AQ58" s="17" t="e">
        <f t="shared" ca="1" si="37"/>
        <v>#VALUE!</v>
      </c>
      <c r="AS58" s="15" t="e">
        <f t="shared" ca="1" si="38"/>
        <v>#VALUE!</v>
      </c>
      <c r="AT58" s="5">
        <f>'Exception Stores'!$D$2</f>
        <v>0.125</v>
      </c>
      <c r="AU58" s="15" t="e">
        <f t="shared" ca="1" si="39"/>
        <v>#VALUE!</v>
      </c>
      <c r="AV58" s="15" t="e">
        <f t="shared" ca="1" si="40"/>
        <v>#VALUE!</v>
      </c>
      <c r="AW58" s="15" t="e">
        <f t="shared" ca="1" si="41"/>
        <v>#VALUE!</v>
      </c>
      <c r="AX58" s="15" t="e">
        <f t="shared" ca="1" si="42"/>
        <v>#VALUE!</v>
      </c>
      <c r="AY58" s="15" t="e">
        <f t="shared" ca="1" si="43"/>
        <v>#VALUE!</v>
      </c>
      <c r="AZ58" s="1" t="e">
        <f t="shared" ca="1" si="44"/>
        <v>#VALUE!</v>
      </c>
      <c r="BA58" s="15" t="e">
        <f t="shared" ca="1" si="45"/>
        <v>#VALUE!</v>
      </c>
      <c r="BB58" s="15" t="e">
        <f t="shared" ca="1" si="46"/>
        <v>#VALUE!</v>
      </c>
      <c r="BC58" s="1" t="e">
        <f t="shared" ca="1" si="47"/>
        <v>#VALUE!</v>
      </c>
      <c r="BE58" s="15" t="str">
        <f>IF(ISBLANK('Exception Stores'!$A$6),"",'Exception Stores'!$A$6)</f>
        <v/>
      </c>
      <c r="BF58" s="15" t="str">
        <f>IF(ISBLANK('Exception Stores'!$B$6),"",'Exception Stores'!$B$6)</f>
        <v/>
      </c>
      <c r="BG58" s="1">
        <f>IF(ISBLANK('Exception Stores'!$A$6),0,IF($AN$2&gt;$BF$2,($AN$2-$BF$2)*24,0))</f>
        <v>0</v>
      </c>
      <c r="BH58" s="11">
        <f>IF(ISBLANK('Exception Stores'!$A$6),0,($BF$2-$BE$2)*24)</f>
        <v>0</v>
      </c>
      <c r="BI5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58" s="1">
        <f>IF(ISBLANK('Exception Stores'!$A$6),0,IF($AN$2&gt;$BF$2,0,IF(AND($AN$2&lt;$BF$2,$BT$2="B"),(($BF$2-$AN$2)*24)-$BS$2,($BF$2-$AN$2)*24)))</f>
        <v>0</v>
      </c>
      <c r="BL58" s="5"/>
      <c r="BM58" s="5"/>
      <c r="BN58" s="5"/>
      <c r="BO58" s="5"/>
      <c r="BP58" s="5"/>
      <c r="BV58" s="1" t="e">
        <f t="shared" ca="1" si="48"/>
        <v>#VALUE!</v>
      </c>
      <c r="BW58" s="1" t="e">
        <f t="shared" ca="1" si="49"/>
        <v>#VALUE!</v>
      </c>
      <c r="BX58" s="1" t="e">
        <f t="shared" ca="1" si="50"/>
        <v>#VALUE!</v>
      </c>
      <c r="BY58" s="1" t="e">
        <f t="shared" ca="1" si="51"/>
        <v>#VALUE!</v>
      </c>
      <c r="BZ58" s="1" t="e">
        <f t="shared" ca="1" si="52"/>
        <v>#VALUE!</v>
      </c>
      <c r="CB58" s="1" t="str">
        <f>IF(ISBLANK('Exception Stores'!$A$6),"",WEEKDAY($BF$2))</f>
        <v/>
      </c>
      <c r="CC58" s="1" t="str">
        <f>IF(ISBLANK('Exception Stores'!$A$6),"NO",IF('Exception Stores'!$A$6&lt;$AU$2,"YES","NO"))</f>
        <v>NO</v>
      </c>
      <c r="CD58" s="1" t="str">
        <f>IF(ISBLANK('Exception Stores'!$A$6),"NO",IF('Exception Stores'!$A$6&lt;$AV$2,"YES","NO"))</f>
        <v>NO</v>
      </c>
      <c r="CE58" s="1" t="str">
        <f>IF(ISBLANK('Exception Stores'!$A$6),"NO",IF('Exception Stores'!$A$6&lt;$AW$2,"YES","NO"))</f>
        <v>NO</v>
      </c>
      <c r="CF58" s="1" t="str">
        <f>IF(ISBLANK('Exception Stores'!$A$6),"NO",IF('Exception Stores'!$A$6&lt;$AX$2,"YES","NO"))</f>
        <v>NO</v>
      </c>
      <c r="CG58" s="1" t="str">
        <f>IF(ISBLANK('Exception Stores'!$A$6),"NO",IF('Exception Stores'!$A$6&lt;$AY$2,"YES","NO"))</f>
        <v>NO</v>
      </c>
      <c r="CI58" s="42" t="str">
        <f>IF(ISBLANK('Exception Stores'!$B$6),"NO",IF('Exception Stores'!$B$6&lt;=$AU$2,"YES","NO"))</f>
        <v>NO</v>
      </c>
      <c r="CJ58" s="42" t="str">
        <f>IF(ISBLANK('Exception Stores'!$B$6),"NO",IF('Exception Stores'!$B$6&lt;=$AV$2,"YES","NO"))</f>
        <v>NO</v>
      </c>
      <c r="CK58" s="1" t="str">
        <f>IF(ISBLANK('Exception Stores'!$B$6),"NO",IF('Exception Stores'!$B$6&lt;=$AW$2,"YES","NO"))</f>
        <v>NO</v>
      </c>
      <c r="CL58" s="1" t="str">
        <f>IF(ISBLANK('Exception Stores'!$B$6),"NO",IF('Exception Stores'!$B$6&lt;=$AX$2,"YES","NO"))</f>
        <v>NO</v>
      </c>
      <c r="CM58" s="1" t="str">
        <f>IF(ISBLANK('Exception Stores'!$B$6),"NO",IF('Exception Stores'!$B$6&lt;=$AY$2,"YES","NO"))</f>
        <v>NO</v>
      </c>
      <c r="CO58" s="1" t="e">
        <f ca="1">IF(AM58&lt;'Exception Stores'!$A$6,"YES","NO")</f>
        <v>#VALUE!</v>
      </c>
      <c r="CP58" s="1">
        <f t="shared" si="53"/>
        <v>0</v>
      </c>
      <c r="CQ58" s="1">
        <f t="shared" si="54"/>
        <v>0</v>
      </c>
      <c r="CR58" s="1">
        <f t="shared" si="55"/>
        <v>0</v>
      </c>
      <c r="CS58" s="1">
        <f t="shared" si="56"/>
        <v>0</v>
      </c>
      <c r="CT58" s="1">
        <f t="shared" si="57"/>
        <v>0</v>
      </c>
      <c r="CU58" s="1">
        <f t="shared" si="58"/>
        <v>0</v>
      </c>
      <c r="CW58" s="1" t="e">
        <f t="shared" ca="1" si="64"/>
        <v>#VALUE!</v>
      </c>
      <c r="CX58" s="1" t="e">
        <f t="shared" ca="1" si="65"/>
        <v>#VALUE!</v>
      </c>
      <c r="CY58" s="1" t="e">
        <f t="shared" ca="1" si="66"/>
        <v>#VALUE!</v>
      </c>
      <c r="CZ58" s="1" t="e">
        <f t="shared" ca="1" si="67"/>
        <v>#VALUE!</v>
      </c>
      <c r="DA58" s="1" t="e">
        <f t="shared" ca="1" si="68"/>
        <v>#VALUE!</v>
      </c>
      <c r="DB58" s="26" t="e">
        <f t="shared" ca="1" si="60"/>
        <v>#VALUE!</v>
      </c>
      <c r="DC58" s="1">
        <f t="shared" si="69"/>
        <v>0</v>
      </c>
      <c r="DD58" s="1">
        <f t="shared" si="70"/>
        <v>0</v>
      </c>
      <c r="DE58" s="1">
        <f t="shared" si="71"/>
        <v>0</v>
      </c>
      <c r="DF58" s="1">
        <f t="shared" si="72"/>
        <v>0</v>
      </c>
      <c r="DG58" s="1">
        <f t="shared" si="73"/>
        <v>0</v>
      </c>
      <c r="DH58" s="26">
        <f t="shared" si="61"/>
        <v>0</v>
      </c>
      <c r="DI58" s="1" t="e">
        <f t="shared" ca="1" si="62"/>
        <v>#VALUE!</v>
      </c>
      <c r="DK58" s="11" t="str">
        <f t="shared" si="74"/>
        <v/>
      </c>
      <c r="DL58" s="11" t="e">
        <f ca="1">IF(AND(NOT(ISBLANK('Exception Stores'!$A$6)),CO58="YES"),S58-$BH$2-(DI58*$BS$2)-(CU58*$BS$2),S58-(DB58*$BS$2))</f>
        <v>#VALUE!</v>
      </c>
      <c r="DM58" s="11" t="str">
        <f>IF(ISBLANK(A58),"",IF(COUNTIF(Remaps!$A$2:$A$200,B58)&gt;0,"YES",""))</f>
        <v>YES</v>
      </c>
      <c r="DN58" s="29">
        <f>IFERROR(INDEX(Remaps!$B$2:$B$200,MATCH(B58,Remaps!$A$2:$A$200,0),1),0)</f>
        <v>0</v>
      </c>
      <c r="DO58" s="11" t="e">
        <f t="shared" ca="1" si="75"/>
        <v>#VALUE!</v>
      </c>
      <c r="DP58" s="29" t="e">
        <f t="shared" si="76"/>
        <v>#VALUE!</v>
      </c>
      <c r="DQ58" s="11" t="e">
        <f ca="1">('Apollo Dock Status'!$Z$1-DP58)/DO58</f>
        <v>#VALUE!</v>
      </c>
      <c r="DR58" s="15" t="e">
        <f t="shared" ca="1" si="63"/>
        <v>#VALUE!</v>
      </c>
    </row>
    <row r="59" spans="1:122">
      <c r="A59" s="1" t="str">
        <f>IF(ISBLANK('Apollo Dock Status'!A59),"",'Apollo Dock Status'!A59)</f>
        <v/>
      </c>
      <c r="B59" s="1" t="str">
        <f>IF(ISBLANK('Apollo Dock Status'!B59),"",'Apollo Dock Status'!B59)</f>
        <v/>
      </c>
      <c r="C59" s="1" t="str">
        <f>IF(ISBLANK('Apollo Dock Status'!C59),"",'Apollo Dock Status'!C59)</f>
        <v/>
      </c>
      <c r="D59" s="1" t="str">
        <f>IF(ISBLANK('Apollo Dock Status'!D59),"",'Apollo Dock Status'!D59)</f>
        <v/>
      </c>
      <c r="E59" s="1" t="str">
        <f>IF(ISBLANK('Apollo Dock Status'!E59),"",'Apollo Dock Status'!E59)</f>
        <v/>
      </c>
      <c r="F59" s="1" t="str">
        <f>IF(ISBLANK('Apollo Dock Status'!F59),"",'Apollo Dock Status'!F59)</f>
        <v/>
      </c>
      <c r="G59" s="1" t="str">
        <f>IF(ISBLANK('Apollo Dock Status'!G59),"",'Apollo Dock Status'!G59)</f>
        <v/>
      </c>
      <c r="H59" s="1" t="str">
        <f>IF(ISBLANK('Apollo Dock Status'!H59),"",'Apollo Dock Status'!H59)</f>
        <v/>
      </c>
      <c r="I59" s="1" t="str">
        <f>IF(ISBLANK('Apollo Dock Status'!I59),"",'Apollo Dock Status'!I59)</f>
        <v/>
      </c>
      <c r="J59" s="1" t="str">
        <f>IF(ISBLANK('Apollo Dock Status'!J59),"",'Apollo Dock Status'!J59)</f>
        <v/>
      </c>
      <c r="K59" s="1" t="str">
        <f>IF(ISBLANK('Apollo Dock Status'!K59),"",'Apollo Dock Status'!K59)</f>
        <v/>
      </c>
      <c r="L59" s="1" t="str">
        <f>IF(ISBLANK('Apollo Dock Status'!L59),"",'Apollo Dock Status'!L59)</f>
        <v/>
      </c>
      <c r="M59" s="1" t="str">
        <f>IF(ISBLANK('Apollo Dock Status'!M59),"",'Apollo Dock Status'!M59)</f>
        <v/>
      </c>
      <c r="N59" s="1" t="str">
        <f>IF(ISBLANK('Apollo Dock Status'!N59),"",'Apollo Dock Status'!N59)</f>
        <v/>
      </c>
      <c r="O59" s="1" t="str">
        <f t="shared" si="12"/>
        <v/>
      </c>
      <c r="P59" s="1" t="str">
        <f t="shared" si="13"/>
        <v/>
      </c>
      <c r="Q59" s="1" t="str">
        <f t="shared" si="14"/>
        <v/>
      </c>
      <c r="R59" s="1" t="str">
        <f t="shared" si="15"/>
        <v/>
      </c>
      <c r="S59" s="11" t="str">
        <f t="shared" si="16"/>
        <v/>
      </c>
      <c r="T59" s="1" t="str">
        <f t="shared" si="17"/>
        <v/>
      </c>
      <c r="U59" s="11" t="str">
        <f t="shared" si="18"/>
        <v/>
      </c>
      <c r="V59" s="11" t="str">
        <f t="shared" si="19"/>
        <v/>
      </c>
      <c r="X59" s="1" t="str">
        <f t="shared" si="20"/>
        <v/>
      </c>
      <c r="Y59" s="1" t="str">
        <f t="shared" si="21"/>
        <v/>
      </c>
      <c r="Z59" s="1" t="str">
        <f t="shared" si="22"/>
        <v/>
      </c>
      <c r="AB59" s="13">
        <f t="shared" ca="1" si="23"/>
        <v>46176</v>
      </c>
      <c r="AC59" s="1">
        <f t="shared" ca="1" si="24"/>
        <v>2026</v>
      </c>
      <c r="AD59" s="1" t="str">
        <f t="shared" ca="1" si="25"/>
        <v>6</v>
      </c>
      <c r="AE59" s="1">
        <f t="shared" si="26"/>
        <v>1</v>
      </c>
      <c r="AF59" s="1" t="str">
        <f t="shared" si="27"/>
        <v/>
      </c>
      <c r="AG59" s="1">
        <f t="shared" ca="1" si="28"/>
        <v>2026</v>
      </c>
      <c r="AH59" s="1">
        <f t="shared" si="29"/>
        <v>1</v>
      </c>
      <c r="AI59" s="1" t="str">
        <f t="shared" ca="1" si="30"/>
        <v>6</v>
      </c>
      <c r="AJ59" s="13" t="e">
        <f t="shared" ca="1" si="31"/>
        <v>#VALUE!</v>
      </c>
      <c r="AK59" s="1" t="e">
        <f>IF(ISBLANK(A59),"",IFERROR(MID(F59,SEARCH(", ",F59)+LEN(", "),SEARCH(" "&amp;'Exception Stores'!$A$2,F59)-SEARCH(", ",F59)-LEN(", ")),MID(F59,SEARCH(", ",F59)+LEN(", "),SEARCH(" "&amp;'Exception Stores'!$B$2,F59)-SEARCH(", ",F59)-LEN(", "))))</f>
        <v>#VALUE!</v>
      </c>
      <c r="AL59" s="1" t="e">
        <f t="shared" si="32"/>
        <v>#VALUE!</v>
      </c>
      <c r="AM59" s="15" t="e">
        <f t="shared" ca="1" si="33"/>
        <v>#VALUE!</v>
      </c>
      <c r="AN59" s="24" t="e">
        <f t="shared" ca="1" si="34"/>
        <v>#VALUE!</v>
      </c>
      <c r="AO59" s="1" t="e">
        <f t="shared" ca="1" si="35"/>
        <v>#VALUE!</v>
      </c>
      <c r="AP59" s="13" t="e">
        <f t="shared" ca="1" si="36"/>
        <v>#VALUE!</v>
      </c>
      <c r="AQ59" s="17" t="e">
        <f t="shared" ca="1" si="37"/>
        <v>#VALUE!</v>
      </c>
      <c r="AS59" s="15" t="e">
        <f t="shared" ca="1" si="38"/>
        <v>#VALUE!</v>
      </c>
      <c r="AT59" s="5">
        <f>'Exception Stores'!$D$2</f>
        <v>0.125</v>
      </c>
      <c r="AU59" s="15" t="e">
        <f t="shared" ca="1" si="39"/>
        <v>#VALUE!</v>
      </c>
      <c r="AV59" s="15" t="e">
        <f t="shared" ca="1" si="40"/>
        <v>#VALUE!</v>
      </c>
      <c r="AW59" s="15" t="e">
        <f t="shared" ca="1" si="41"/>
        <v>#VALUE!</v>
      </c>
      <c r="AX59" s="15" t="e">
        <f t="shared" ca="1" si="42"/>
        <v>#VALUE!</v>
      </c>
      <c r="AY59" s="15" t="e">
        <f t="shared" ca="1" si="43"/>
        <v>#VALUE!</v>
      </c>
      <c r="AZ59" s="1" t="e">
        <f t="shared" ca="1" si="44"/>
        <v>#VALUE!</v>
      </c>
      <c r="BA59" s="15" t="e">
        <f t="shared" ca="1" si="45"/>
        <v>#VALUE!</v>
      </c>
      <c r="BB59" s="15" t="e">
        <f t="shared" ca="1" si="46"/>
        <v>#VALUE!</v>
      </c>
      <c r="BC59" s="1" t="e">
        <f t="shared" ca="1" si="47"/>
        <v>#VALUE!</v>
      </c>
      <c r="BE59" s="15" t="str">
        <f>IF(ISBLANK('Exception Stores'!$A$6),"",'Exception Stores'!$A$6)</f>
        <v/>
      </c>
      <c r="BF59" s="15" t="str">
        <f>IF(ISBLANK('Exception Stores'!$B$6),"",'Exception Stores'!$B$6)</f>
        <v/>
      </c>
      <c r="BG59" s="1">
        <f>IF(ISBLANK('Exception Stores'!$A$6),0,IF($AN$2&gt;$BF$2,($AN$2-$BF$2)*24,0))</f>
        <v>0</v>
      </c>
      <c r="BH59" s="11">
        <f>IF(ISBLANK('Exception Stores'!$A$6),0,($BF$2-$BE$2)*24)</f>
        <v>0</v>
      </c>
      <c r="BI5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59" s="1">
        <f>IF(ISBLANK('Exception Stores'!$A$6),0,IF($AN$2&gt;$BF$2,0,IF(AND($AN$2&lt;$BF$2,$BT$2="B"),(($BF$2-$AN$2)*24)-$BS$2,($BF$2-$AN$2)*24)))</f>
        <v>0</v>
      </c>
      <c r="BL59" s="5"/>
      <c r="BM59" s="5"/>
      <c r="BN59" s="5"/>
      <c r="BO59" s="5"/>
      <c r="BP59" s="5"/>
      <c r="BV59" s="1" t="e">
        <f t="shared" ca="1" si="48"/>
        <v>#VALUE!</v>
      </c>
      <c r="BW59" s="1" t="e">
        <f t="shared" ca="1" si="49"/>
        <v>#VALUE!</v>
      </c>
      <c r="BX59" s="1" t="e">
        <f t="shared" ca="1" si="50"/>
        <v>#VALUE!</v>
      </c>
      <c r="BY59" s="1" t="e">
        <f t="shared" ca="1" si="51"/>
        <v>#VALUE!</v>
      </c>
      <c r="BZ59" s="1" t="e">
        <f t="shared" ca="1" si="52"/>
        <v>#VALUE!</v>
      </c>
      <c r="CB59" s="1" t="str">
        <f>IF(ISBLANK('Exception Stores'!$A$6),"",WEEKDAY($BF$2))</f>
        <v/>
      </c>
      <c r="CC59" s="1" t="str">
        <f>IF(ISBLANK('Exception Stores'!$A$6),"NO",IF('Exception Stores'!$A$6&lt;$AU$2,"YES","NO"))</f>
        <v>NO</v>
      </c>
      <c r="CD59" s="1" t="str">
        <f>IF(ISBLANK('Exception Stores'!$A$6),"NO",IF('Exception Stores'!$A$6&lt;$AV$2,"YES","NO"))</f>
        <v>NO</v>
      </c>
      <c r="CE59" s="1" t="str">
        <f>IF(ISBLANK('Exception Stores'!$A$6),"NO",IF('Exception Stores'!$A$6&lt;$AW$2,"YES","NO"))</f>
        <v>NO</v>
      </c>
      <c r="CF59" s="1" t="str">
        <f>IF(ISBLANK('Exception Stores'!$A$6),"NO",IF('Exception Stores'!$A$6&lt;$AX$2,"YES","NO"))</f>
        <v>NO</v>
      </c>
      <c r="CG59" s="1" t="str">
        <f>IF(ISBLANK('Exception Stores'!$A$6),"NO",IF('Exception Stores'!$A$6&lt;$AY$2,"YES","NO"))</f>
        <v>NO</v>
      </c>
      <c r="CI59" s="42" t="str">
        <f>IF(ISBLANK('Exception Stores'!$B$6),"NO",IF('Exception Stores'!$B$6&lt;=$AU$2,"YES","NO"))</f>
        <v>NO</v>
      </c>
      <c r="CJ59" s="42" t="str">
        <f>IF(ISBLANK('Exception Stores'!$B$6),"NO",IF('Exception Stores'!$B$6&lt;=$AV$2,"YES","NO"))</f>
        <v>NO</v>
      </c>
      <c r="CK59" s="1" t="str">
        <f>IF(ISBLANK('Exception Stores'!$B$6),"NO",IF('Exception Stores'!$B$6&lt;=$AW$2,"YES","NO"))</f>
        <v>NO</v>
      </c>
      <c r="CL59" s="1" t="str">
        <f>IF(ISBLANK('Exception Stores'!$B$6),"NO",IF('Exception Stores'!$B$6&lt;=$AX$2,"YES","NO"))</f>
        <v>NO</v>
      </c>
      <c r="CM59" s="1" t="str">
        <f>IF(ISBLANK('Exception Stores'!$B$6),"NO",IF('Exception Stores'!$B$6&lt;=$AY$2,"YES","NO"))</f>
        <v>NO</v>
      </c>
      <c r="CO59" s="1" t="e">
        <f ca="1">IF(AM59&lt;'Exception Stores'!$A$6,"YES","NO")</f>
        <v>#VALUE!</v>
      </c>
      <c r="CP59" s="1">
        <f t="shared" si="53"/>
        <v>0</v>
      </c>
      <c r="CQ59" s="1">
        <f t="shared" si="54"/>
        <v>0</v>
      </c>
      <c r="CR59" s="1">
        <f t="shared" si="55"/>
        <v>0</v>
      </c>
      <c r="CS59" s="1">
        <f t="shared" si="56"/>
        <v>0</v>
      </c>
      <c r="CT59" s="1">
        <f t="shared" si="57"/>
        <v>0</v>
      </c>
      <c r="CU59" s="1">
        <f t="shared" si="58"/>
        <v>0</v>
      </c>
      <c r="CW59" s="1" t="e">
        <f t="shared" ca="1" si="64"/>
        <v>#VALUE!</v>
      </c>
      <c r="CX59" s="1" t="e">
        <f t="shared" ca="1" si="65"/>
        <v>#VALUE!</v>
      </c>
      <c r="CY59" s="1" t="e">
        <f t="shared" ca="1" si="66"/>
        <v>#VALUE!</v>
      </c>
      <c r="CZ59" s="1" t="e">
        <f t="shared" ca="1" si="67"/>
        <v>#VALUE!</v>
      </c>
      <c r="DA59" s="1" t="e">
        <f t="shared" ca="1" si="68"/>
        <v>#VALUE!</v>
      </c>
      <c r="DB59" s="26" t="e">
        <f t="shared" ca="1" si="60"/>
        <v>#VALUE!</v>
      </c>
      <c r="DC59" s="1">
        <f t="shared" si="69"/>
        <v>0</v>
      </c>
      <c r="DD59" s="1">
        <f t="shared" si="70"/>
        <v>0</v>
      </c>
      <c r="DE59" s="1">
        <f t="shared" si="71"/>
        <v>0</v>
      </c>
      <c r="DF59" s="1">
        <f t="shared" si="72"/>
        <v>0</v>
      </c>
      <c r="DG59" s="1">
        <f t="shared" si="73"/>
        <v>0</v>
      </c>
      <c r="DH59" s="26">
        <f t="shared" si="61"/>
        <v>0</v>
      </c>
      <c r="DI59" s="1" t="e">
        <f t="shared" ca="1" si="62"/>
        <v>#VALUE!</v>
      </c>
      <c r="DK59" s="11" t="str">
        <f t="shared" si="74"/>
        <v/>
      </c>
      <c r="DL59" s="11" t="e">
        <f ca="1">IF(AND(NOT(ISBLANK('Exception Stores'!$A$6)),CO59="YES"),S59-$BH$2-(DI59*$BS$2)-(CU59*$BS$2),S59-(DB59*$BS$2))</f>
        <v>#VALUE!</v>
      </c>
      <c r="DM59" s="11" t="str">
        <f>IF(ISBLANK(A59),"",IF(COUNTIF(Remaps!$A$2:$A$200,B59)&gt;0,"YES",""))</f>
        <v>YES</v>
      </c>
      <c r="DN59" s="29">
        <f>IFERROR(INDEX(Remaps!$B$2:$B$200,MATCH(B59,Remaps!$A$2:$A$200,0),1),0)</f>
        <v>0</v>
      </c>
      <c r="DO59" s="11" t="e">
        <f t="shared" ca="1" si="75"/>
        <v>#VALUE!</v>
      </c>
      <c r="DP59" s="29" t="e">
        <f t="shared" si="76"/>
        <v>#VALUE!</v>
      </c>
      <c r="DQ59" s="11" t="e">
        <f ca="1">('Apollo Dock Status'!$Z$1-DP59)/DO59</f>
        <v>#VALUE!</v>
      </c>
      <c r="DR59" s="15" t="e">
        <f t="shared" ca="1" si="63"/>
        <v>#VALUE!</v>
      </c>
    </row>
    <row r="60" spans="1:122">
      <c r="A60" s="1" t="str">
        <f>IF(ISBLANK('Apollo Dock Status'!A60),"",'Apollo Dock Status'!A60)</f>
        <v/>
      </c>
      <c r="B60" s="1" t="str">
        <f>IF(ISBLANK('Apollo Dock Status'!B60),"",'Apollo Dock Status'!B60)</f>
        <v/>
      </c>
      <c r="C60" s="1" t="str">
        <f>IF(ISBLANK('Apollo Dock Status'!C60),"",'Apollo Dock Status'!C60)</f>
        <v/>
      </c>
      <c r="D60" s="1" t="str">
        <f>IF(ISBLANK('Apollo Dock Status'!D60),"",'Apollo Dock Status'!D60)</f>
        <v/>
      </c>
      <c r="E60" s="1" t="str">
        <f>IF(ISBLANK('Apollo Dock Status'!E60),"",'Apollo Dock Status'!E60)</f>
        <v/>
      </c>
      <c r="F60" s="1" t="str">
        <f>IF(ISBLANK('Apollo Dock Status'!F60),"",'Apollo Dock Status'!F60)</f>
        <v/>
      </c>
      <c r="G60" s="1" t="str">
        <f>IF(ISBLANK('Apollo Dock Status'!G60),"",'Apollo Dock Status'!G60)</f>
        <v/>
      </c>
      <c r="H60" s="1" t="str">
        <f>IF(ISBLANK('Apollo Dock Status'!H60),"",'Apollo Dock Status'!H60)</f>
        <v/>
      </c>
      <c r="I60" s="1" t="str">
        <f>IF(ISBLANK('Apollo Dock Status'!I60),"",'Apollo Dock Status'!I60)</f>
        <v/>
      </c>
      <c r="J60" s="1" t="str">
        <f>IF(ISBLANK('Apollo Dock Status'!J60),"",'Apollo Dock Status'!J60)</f>
        <v/>
      </c>
      <c r="K60" s="1" t="str">
        <f>IF(ISBLANK('Apollo Dock Status'!K60),"",'Apollo Dock Status'!K60)</f>
        <v/>
      </c>
      <c r="L60" s="1" t="str">
        <f>IF(ISBLANK('Apollo Dock Status'!L60),"",'Apollo Dock Status'!L60)</f>
        <v/>
      </c>
      <c r="M60" s="1" t="str">
        <f>IF(ISBLANK('Apollo Dock Status'!M60),"",'Apollo Dock Status'!M60)</f>
        <v/>
      </c>
      <c r="N60" s="1" t="str">
        <f>IF(ISBLANK('Apollo Dock Status'!N60),"",'Apollo Dock Status'!N60)</f>
        <v/>
      </c>
      <c r="O60" s="1" t="str">
        <f t="shared" si="12"/>
        <v/>
      </c>
      <c r="P60" s="1" t="str">
        <f t="shared" si="13"/>
        <v/>
      </c>
      <c r="Q60" s="1" t="str">
        <f t="shared" si="14"/>
        <v/>
      </c>
      <c r="R60" s="1" t="str">
        <f t="shared" si="15"/>
        <v/>
      </c>
      <c r="S60" s="11" t="str">
        <f t="shared" si="16"/>
        <v/>
      </c>
      <c r="T60" s="1" t="str">
        <f t="shared" si="17"/>
        <v/>
      </c>
      <c r="U60" s="11" t="str">
        <f t="shared" si="18"/>
        <v/>
      </c>
      <c r="V60" s="11" t="str">
        <f t="shared" si="19"/>
        <v/>
      </c>
      <c r="X60" s="1" t="str">
        <f t="shared" si="20"/>
        <v/>
      </c>
      <c r="Y60" s="1" t="str">
        <f t="shared" si="21"/>
        <v/>
      </c>
      <c r="Z60" s="1" t="str">
        <f t="shared" si="22"/>
        <v/>
      </c>
      <c r="AB60" s="13">
        <f t="shared" ca="1" si="23"/>
        <v>46176</v>
      </c>
      <c r="AC60" s="1">
        <f t="shared" ca="1" si="24"/>
        <v>2026</v>
      </c>
      <c r="AD60" s="1" t="str">
        <f t="shared" ca="1" si="25"/>
        <v>6</v>
      </c>
      <c r="AE60" s="1">
        <f t="shared" si="26"/>
        <v>1</v>
      </c>
      <c r="AF60" s="1" t="str">
        <f t="shared" si="27"/>
        <v/>
      </c>
      <c r="AG60" s="1">
        <f t="shared" ca="1" si="28"/>
        <v>2026</v>
      </c>
      <c r="AH60" s="1">
        <f t="shared" si="29"/>
        <v>1</v>
      </c>
      <c r="AI60" s="1" t="str">
        <f t="shared" ca="1" si="30"/>
        <v>6</v>
      </c>
      <c r="AJ60" s="13" t="e">
        <f t="shared" ca="1" si="31"/>
        <v>#VALUE!</v>
      </c>
      <c r="AK60" s="1" t="e">
        <f>IF(ISBLANK(A60),"",IFERROR(MID(F60,SEARCH(", ",F60)+LEN(", "),SEARCH(" "&amp;'Exception Stores'!$A$2,F60)-SEARCH(", ",F60)-LEN(", ")),MID(F60,SEARCH(", ",F60)+LEN(", "),SEARCH(" "&amp;'Exception Stores'!$B$2,F60)-SEARCH(", ",F60)-LEN(", "))))</f>
        <v>#VALUE!</v>
      </c>
      <c r="AL60" s="1" t="e">
        <f t="shared" si="32"/>
        <v>#VALUE!</v>
      </c>
      <c r="AM60" s="15" t="e">
        <f t="shared" ca="1" si="33"/>
        <v>#VALUE!</v>
      </c>
      <c r="AN60" s="24" t="e">
        <f t="shared" ca="1" si="34"/>
        <v>#VALUE!</v>
      </c>
      <c r="AO60" s="1" t="e">
        <f t="shared" ca="1" si="35"/>
        <v>#VALUE!</v>
      </c>
      <c r="AP60" s="13" t="e">
        <f t="shared" ca="1" si="36"/>
        <v>#VALUE!</v>
      </c>
      <c r="AQ60" s="17" t="e">
        <f t="shared" ca="1" si="37"/>
        <v>#VALUE!</v>
      </c>
      <c r="AS60" s="15" t="e">
        <f t="shared" ca="1" si="38"/>
        <v>#VALUE!</v>
      </c>
      <c r="AT60" s="5">
        <f>'Exception Stores'!$D$2</f>
        <v>0.125</v>
      </c>
      <c r="AU60" s="15" t="e">
        <f t="shared" ca="1" si="39"/>
        <v>#VALUE!</v>
      </c>
      <c r="AV60" s="15" t="e">
        <f t="shared" ca="1" si="40"/>
        <v>#VALUE!</v>
      </c>
      <c r="AW60" s="15" t="e">
        <f t="shared" ca="1" si="41"/>
        <v>#VALUE!</v>
      </c>
      <c r="AX60" s="15" t="e">
        <f t="shared" ca="1" si="42"/>
        <v>#VALUE!</v>
      </c>
      <c r="AY60" s="15" t="e">
        <f t="shared" ca="1" si="43"/>
        <v>#VALUE!</v>
      </c>
      <c r="AZ60" s="1" t="e">
        <f t="shared" ca="1" si="44"/>
        <v>#VALUE!</v>
      </c>
      <c r="BA60" s="15" t="e">
        <f t="shared" ca="1" si="45"/>
        <v>#VALUE!</v>
      </c>
      <c r="BB60" s="15" t="e">
        <f t="shared" ca="1" si="46"/>
        <v>#VALUE!</v>
      </c>
      <c r="BC60" s="1" t="e">
        <f t="shared" ca="1" si="47"/>
        <v>#VALUE!</v>
      </c>
      <c r="BE60" s="15" t="str">
        <f>IF(ISBLANK('Exception Stores'!$A$6),"",'Exception Stores'!$A$6)</f>
        <v/>
      </c>
      <c r="BF60" s="15" t="str">
        <f>IF(ISBLANK('Exception Stores'!$B$6),"",'Exception Stores'!$B$6)</f>
        <v/>
      </c>
      <c r="BG60" s="1">
        <f>IF(ISBLANK('Exception Stores'!$A$6),0,IF($AN$2&gt;$BF$2,($AN$2-$BF$2)*24,0))</f>
        <v>0</v>
      </c>
      <c r="BH60" s="11">
        <f>IF(ISBLANK('Exception Stores'!$A$6),0,($BF$2-$BE$2)*24)</f>
        <v>0</v>
      </c>
      <c r="BI6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60" s="1">
        <f>IF(ISBLANK('Exception Stores'!$A$6),0,IF($AN$2&gt;$BF$2,0,IF(AND($AN$2&lt;$BF$2,$BT$2="B"),(($BF$2-$AN$2)*24)-$BS$2,($BF$2-$AN$2)*24)))</f>
        <v>0</v>
      </c>
      <c r="BL60" s="5"/>
      <c r="BM60" s="5"/>
      <c r="BN60" s="5"/>
      <c r="BO60" s="5"/>
      <c r="BP60" s="5"/>
      <c r="BV60" s="1" t="e">
        <f t="shared" ca="1" si="48"/>
        <v>#VALUE!</v>
      </c>
      <c r="BW60" s="1" t="e">
        <f t="shared" ca="1" si="49"/>
        <v>#VALUE!</v>
      </c>
      <c r="BX60" s="1" t="e">
        <f t="shared" ca="1" si="50"/>
        <v>#VALUE!</v>
      </c>
      <c r="BY60" s="1" t="e">
        <f t="shared" ca="1" si="51"/>
        <v>#VALUE!</v>
      </c>
      <c r="BZ60" s="1" t="e">
        <f t="shared" ca="1" si="52"/>
        <v>#VALUE!</v>
      </c>
      <c r="CB60" s="1" t="str">
        <f>IF(ISBLANK('Exception Stores'!$A$6),"",WEEKDAY($BF$2))</f>
        <v/>
      </c>
      <c r="CC60" s="1" t="str">
        <f>IF(ISBLANK('Exception Stores'!$A$6),"NO",IF('Exception Stores'!$A$6&lt;$AU$2,"YES","NO"))</f>
        <v>NO</v>
      </c>
      <c r="CD60" s="1" t="str">
        <f>IF(ISBLANK('Exception Stores'!$A$6),"NO",IF('Exception Stores'!$A$6&lt;$AV$2,"YES","NO"))</f>
        <v>NO</v>
      </c>
      <c r="CE60" s="1" t="str">
        <f>IF(ISBLANK('Exception Stores'!$A$6),"NO",IF('Exception Stores'!$A$6&lt;$AW$2,"YES","NO"))</f>
        <v>NO</v>
      </c>
      <c r="CF60" s="1" t="str">
        <f>IF(ISBLANK('Exception Stores'!$A$6),"NO",IF('Exception Stores'!$A$6&lt;$AX$2,"YES","NO"))</f>
        <v>NO</v>
      </c>
      <c r="CG60" s="1" t="str">
        <f>IF(ISBLANK('Exception Stores'!$A$6),"NO",IF('Exception Stores'!$A$6&lt;$AY$2,"YES","NO"))</f>
        <v>NO</v>
      </c>
      <c r="CI60" s="42" t="str">
        <f>IF(ISBLANK('Exception Stores'!$B$6),"NO",IF('Exception Stores'!$B$6&lt;=$AU$2,"YES","NO"))</f>
        <v>NO</v>
      </c>
      <c r="CJ60" s="42" t="str">
        <f>IF(ISBLANK('Exception Stores'!$B$6),"NO",IF('Exception Stores'!$B$6&lt;=$AV$2,"YES","NO"))</f>
        <v>NO</v>
      </c>
      <c r="CK60" s="1" t="str">
        <f>IF(ISBLANK('Exception Stores'!$B$6),"NO",IF('Exception Stores'!$B$6&lt;=$AW$2,"YES","NO"))</f>
        <v>NO</v>
      </c>
      <c r="CL60" s="1" t="str">
        <f>IF(ISBLANK('Exception Stores'!$B$6),"NO",IF('Exception Stores'!$B$6&lt;=$AX$2,"YES","NO"))</f>
        <v>NO</v>
      </c>
      <c r="CM60" s="1" t="str">
        <f>IF(ISBLANK('Exception Stores'!$B$6),"NO",IF('Exception Stores'!$B$6&lt;=$AY$2,"YES","NO"))</f>
        <v>NO</v>
      </c>
      <c r="CO60" s="1" t="e">
        <f ca="1">IF(AM60&lt;'Exception Stores'!$A$6,"YES","NO")</f>
        <v>#VALUE!</v>
      </c>
      <c r="CP60" s="1">
        <f t="shared" si="53"/>
        <v>0</v>
      </c>
      <c r="CQ60" s="1">
        <f t="shared" si="54"/>
        <v>0</v>
      </c>
      <c r="CR60" s="1">
        <f t="shared" si="55"/>
        <v>0</v>
      </c>
      <c r="CS60" s="1">
        <f t="shared" si="56"/>
        <v>0</v>
      </c>
      <c r="CT60" s="1">
        <f t="shared" si="57"/>
        <v>0</v>
      </c>
      <c r="CU60" s="1">
        <f t="shared" si="58"/>
        <v>0</v>
      </c>
      <c r="CW60" s="1" t="e">
        <f t="shared" ca="1" si="64"/>
        <v>#VALUE!</v>
      </c>
      <c r="CX60" s="1" t="e">
        <f t="shared" ca="1" si="65"/>
        <v>#VALUE!</v>
      </c>
      <c r="CY60" s="1" t="e">
        <f t="shared" ca="1" si="66"/>
        <v>#VALUE!</v>
      </c>
      <c r="CZ60" s="1" t="e">
        <f t="shared" ca="1" si="67"/>
        <v>#VALUE!</v>
      </c>
      <c r="DA60" s="1" t="e">
        <f t="shared" ca="1" si="68"/>
        <v>#VALUE!</v>
      </c>
      <c r="DB60" s="26" t="e">
        <f t="shared" ca="1" si="60"/>
        <v>#VALUE!</v>
      </c>
      <c r="DC60" s="1">
        <f t="shared" si="69"/>
        <v>0</v>
      </c>
      <c r="DD60" s="1">
        <f t="shared" si="70"/>
        <v>0</v>
      </c>
      <c r="DE60" s="1">
        <f t="shared" si="71"/>
        <v>0</v>
      </c>
      <c r="DF60" s="1">
        <f t="shared" si="72"/>
        <v>0</v>
      </c>
      <c r="DG60" s="1">
        <f t="shared" si="73"/>
        <v>0</v>
      </c>
      <c r="DH60" s="26">
        <f t="shared" si="61"/>
        <v>0</v>
      </c>
      <c r="DI60" s="1" t="e">
        <f t="shared" ca="1" si="62"/>
        <v>#VALUE!</v>
      </c>
      <c r="DK60" s="11" t="str">
        <f t="shared" si="74"/>
        <v/>
      </c>
      <c r="DL60" s="11" t="e">
        <f ca="1">IF(AND(NOT(ISBLANK('Exception Stores'!$A$6)),CO60="YES"),S60-$BH$2-(DI60*$BS$2)-(CU60*$BS$2),S60-(DB60*$BS$2))</f>
        <v>#VALUE!</v>
      </c>
      <c r="DM60" s="11" t="str">
        <f>IF(ISBLANK(A60),"",IF(COUNTIF(Remaps!$A$2:$A$200,B60)&gt;0,"YES",""))</f>
        <v>YES</v>
      </c>
      <c r="DN60" s="29">
        <f>IFERROR(INDEX(Remaps!$B$2:$B$200,MATCH(B60,Remaps!$A$2:$A$200,0),1),0)</f>
        <v>0</v>
      </c>
      <c r="DO60" s="11" t="e">
        <f t="shared" ca="1" si="75"/>
        <v>#VALUE!</v>
      </c>
      <c r="DP60" s="29" t="e">
        <f t="shared" si="76"/>
        <v>#VALUE!</v>
      </c>
      <c r="DQ60" s="11" t="e">
        <f ca="1">('Apollo Dock Status'!$Z$1-DP60)/DO60</f>
        <v>#VALUE!</v>
      </c>
      <c r="DR60" s="15" t="e">
        <f t="shared" ca="1" si="63"/>
        <v>#VALUE!</v>
      </c>
    </row>
    <row r="61" spans="1:122">
      <c r="A61" s="1" t="str">
        <f>IF(ISBLANK('Apollo Dock Status'!A61),"",'Apollo Dock Status'!A61)</f>
        <v/>
      </c>
      <c r="B61" s="1" t="str">
        <f>IF(ISBLANK('Apollo Dock Status'!B61),"",'Apollo Dock Status'!B61)</f>
        <v/>
      </c>
      <c r="C61" s="1" t="str">
        <f>IF(ISBLANK('Apollo Dock Status'!C61),"",'Apollo Dock Status'!C61)</f>
        <v/>
      </c>
      <c r="D61" s="1" t="str">
        <f>IF(ISBLANK('Apollo Dock Status'!D61),"",'Apollo Dock Status'!D61)</f>
        <v/>
      </c>
      <c r="E61" s="1" t="str">
        <f>IF(ISBLANK('Apollo Dock Status'!E61),"",'Apollo Dock Status'!E61)</f>
        <v/>
      </c>
      <c r="F61" s="1" t="str">
        <f>IF(ISBLANK('Apollo Dock Status'!F61),"",'Apollo Dock Status'!F61)</f>
        <v/>
      </c>
      <c r="G61" s="1" t="str">
        <f>IF(ISBLANK('Apollo Dock Status'!G61),"",'Apollo Dock Status'!G61)</f>
        <v/>
      </c>
      <c r="H61" s="1" t="str">
        <f>IF(ISBLANK('Apollo Dock Status'!H61),"",'Apollo Dock Status'!H61)</f>
        <v/>
      </c>
      <c r="I61" s="1" t="str">
        <f>IF(ISBLANK('Apollo Dock Status'!I61),"",'Apollo Dock Status'!I61)</f>
        <v/>
      </c>
      <c r="J61" s="1" t="str">
        <f>IF(ISBLANK('Apollo Dock Status'!J61),"",'Apollo Dock Status'!J61)</f>
        <v/>
      </c>
      <c r="K61" s="1" t="str">
        <f>IF(ISBLANK('Apollo Dock Status'!K61),"",'Apollo Dock Status'!K61)</f>
        <v/>
      </c>
      <c r="L61" s="1" t="str">
        <f>IF(ISBLANK('Apollo Dock Status'!L61),"",'Apollo Dock Status'!L61)</f>
        <v/>
      </c>
      <c r="M61" s="1" t="str">
        <f>IF(ISBLANK('Apollo Dock Status'!M61),"",'Apollo Dock Status'!M61)</f>
        <v/>
      </c>
      <c r="N61" s="1" t="str">
        <f>IF(ISBLANK('Apollo Dock Status'!N61),"",'Apollo Dock Status'!N61)</f>
        <v/>
      </c>
      <c r="O61" s="1" t="str">
        <f t="shared" si="12"/>
        <v/>
      </c>
      <c r="P61" s="1" t="str">
        <f t="shared" si="13"/>
        <v/>
      </c>
      <c r="Q61" s="1" t="str">
        <f t="shared" si="14"/>
        <v/>
      </c>
      <c r="R61" s="1" t="str">
        <f t="shared" si="15"/>
        <v/>
      </c>
      <c r="S61" s="11" t="str">
        <f t="shared" si="16"/>
        <v/>
      </c>
      <c r="T61" s="1" t="str">
        <f t="shared" si="17"/>
        <v/>
      </c>
      <c r="U61" s="11" t="str">
        <f t="shared" si="18"/>
        <v/>
      </c>
      <c r="V61" s="11" t="str">
        <f t="shared" si="19"/>
        <v/>
      </c>
      <c r="X61" s="1" t="str">
        <f t="shared" si="20"/>
        <v/>
      </c>
      <c r="Y61" s="1" t="str">
        <f t="shared" si="21"/>
        <v/>
      </c>
      <c r="Z61" s="1" t="str">
        <f t="shared" si="22"/>
        <v/>
      </c>
      <c r="AB61" s="13">
        <f t="shared" ca="1" si="23"/>
        <v>46176</v>
      </c>
      <c r="AC61" s="1">
        <f t="shared" ca="1" si="24"/>
        <v>2026</v>
      </c>
      <c r="AD61" s="1" t="str">
        <f t="shared" ca="1" si="25"/>
        <v>6</v>
      </c>
      <c r="AE61" s="1">
        <f t="shared" si="26"/>
        <v>1</v>
      </c>
      <c r="AF61" s="1" t="str">
        <f t="shared" si="27"/>
        <v/>
      </c>
      <c r="AG61" s="1">
        <f t="shared" ca="1" si="28"/>
        <v>2026</v>
      </c>
      <c r="AH61" s="1">
        <f t="shared" si="29"/>
        <v>1</v>
      </c>
      <c r="AI61" s="1" t="str">
        <f t="shared" ca="1" si="30"/>
        <v>6</v>
      </c>
      <c r="AJ61" s="13" t="e">
        <f t="shared" ca="1" si="31"/>
        <v>#VALUE!</v>
      </c>
      <c r="AK61" s="1" t="e">
        <f>IF(ISBLANK(A61),"",IFERROR(MID(F61,SEARCH(", ",F61)+LEN(", "),SEARCH(" "&amp;'Exception Stores'!$A$2,F61)-SEARCH(", ",F61)-LEN(", ")),MID(F61,SEARCH(", ",F61)+LEN(", "),SEARCH(" "&amp;'Exception Stores'!$B$2,F61)-SEARCH(", ",F61)-LEN(", "))))</f>
        <v>#VALUE!</v>
      </c>
      <c r="AL61" s="1" t="e">
        <f t="shared" si="32"/>
        <v>#VALUE!</v>
      </c>
      <c r="AM61" s="15" t="e">
        <f t="shared" ca="1" si="33"/>
        <v>#VALUE!</v>
      </c>
      <c r="AN61" s="24" t="e">
        <f t="shared" ca="1" si="34"/>
        <v>#VALUE!</v>
      </c>
      <c r="AO61" s="1" t="e">
        <f t="shared" ca="1" si="35"/>
        <v>#VALUE!</v>
      </c>
      <c r="AP61" s="13" t="e">
        <f t="shared" ca="1" si="36"/>
        <v>#VALUE!</v>
      </c>
      <c r="AQ61" s="17" t="e">
        <f t="shared" ca="1" si="37"/>
        <v>#VALUE!</v>
      </c>
      <c r="AS61" s="15" t="e">
        <f t="shared" ca="1" si="38"/>
        <v>#VALUE!</v>
      </c>
      <c r="AT61" s="5">
        <f>'Exception Stores'!$D$2</f>
        <v>0.125</v>
      </c>
      <c r="AU61" s="15" t="e">
        <f t="shared" ca="1" si="39"/>
        <v>#VALUE!</v>
      </c>
      <c r="AV61" s="15" t="e">
        <f t="shared" ca="1" si="40"/>
        <v>#VALUE!</v>
      </c>
      <c r="AW61" s="15" t="e">
        <f t="shared" ca="1" si="41"/>
        <v>#VALUE!</v>
      </c>
      <c r="AX61" s="15" t="e">
        <f t="shared" ca="1" si="42"/>
        <v>#VALUE!</v>
      </c>
      <c r="AY61" s="15" t="e">
        <f t="shared" ca="1" si="43"/>
        <v>#VALUE!</v>
      </c>
      <c r="AZ61" s="1" t="e">
        <f t="shared" ca="1" si="44"/>
        <v>#VALUE!</v>
      </c>
      <c r="BA61" s="15" t="e">
        <f t="shared" ca="1" si="45"/>
        <v>#VALUE!</v>
      </c>
      <c r="BB61" s="15" t="e">
        <f t="shared" ca="1" si="46"/>
        <v>#VALUE!</v>
      </c>
      <c r="BC61" s="1" t="e">
        <f t="shared" ca="1" si="47"/>
        <v>#VALUE!</v>
      </c>
      <c r="BE61" s="15" t="str">
        <f>IF(ISBLANK('Exception Stores'!$A$6),"",'Exception Stores'!$A$6)</f>
        <v/>
      </c>
      <c r="BF61" s="15" t="str">
        <f>IF(ISBLANK('Exception Stores'!$B$6),"",'Exception Stores'!$B$6)</f>
        <v/>
      </c>
      <c r="BG61" s="1">
        <f>IF(ISBLANK('Exception Stores'!$A$6),0,IF($AN$2&gt;$BF$2,($AN$2-$BF$2)*24,0))</f>
        <v>0</v>
      </c>
      <c r="BH61" s="11">
        <f>IF(ISBLANK('Exception Stores'!$A$6),0,($BF$2-$BE$2)*24)</f>
        <v>0</v>
      </c>
      <c r="BI6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61" s="1">
        <f>IF(ISBLANK('Exception Stores'!$A$6),0,IF($AN$2&gt;$BF$2,0,IF(AND($AN$2&lt;$BF$2,$BT$2="B"),(($BF$2-$AN$2)*24)-$BS$2,($BF$2-$AN$2)*24)))</f>
        <v>0</v>
      </c>
      <c r="BL61" s="5"/>
      <c r="BM61" s="5"/>
      <c r="BN61" s="5"/>
      <c r="BO61" s="5"/>
      <c r="BP61" s="5"/>
      <c r="BV61" s="1" t="e">
        <f t="shared" ca="1" si="48"/>
        <v>#VALUE!</v>
      </c>
      <c r="BW61" s="1" t="e">
        <f t="shared" ca="1" si="49"/>
        <v>#VALUE!</v>
      </c>
      <c r="BX61" s="1" t="e">
        <f t="shared" ca="1" si="50"/>
        <v>#VALUE!</v>
      </c>
      <c r="BY61" s="1" t="e">
        <f t="shared" ca="1" si="51"/>
        <v>#VALUE!</v>
      </c>
      <c r="BZ61" s="1" t="e">
        <f t="shared" ca="1" si="52"/>
        <v>#VALUE!</v>
      </c>
      <c r="CB61" s="1" t="str">
        <f>IF(ISBLANK('Exception Stores'!$A$6),"",WEEKDAY($BF$2))</f>
        <v/>
      </c>
      <c r="CC61" s="1" t="str">
        <f>IF(ISBLANK('Exception Stores'!$A$6),"NO",IF('Exception Stores'!$A$6&lt;$AU$2,"YES","NO"))</f>
        <v>NO</v>
      </c>
      <c r="CD61" s="1" t="str">
        <f>IF(ISBLANK('Exception Stores'!$A$6),"NO",IF('Exception Stores'!$A$6&lt;$AV$2,"YES","NO"))</f>
        <v>NO</v>
      </c>
      <c r="CE61" s="1" t="str">
        <f>IF(ISBLANK('Exception Stores'!$A$6),"NO",IF('Exception Stores'!$A$6&lt;$AW$2,"YES","NO"))</f>
        <v>NO</v>
      </c>
      <c r="CF61" s="1" t="str">
        <f>IF(ISBLANK('Exception Stores'!$A$6),"NO",IF('Exception Stores'!$A$6&lt;$AX$2,"YES","NO"))</f>
        <v>NO</v>
      </c>
      <c r="CG61" s="1" t="str">
        <f>IF(ISBLANK('Exception Stores'!$A$6),"NO",IF('Exception Stores'!$A$6&lt;$AY$2,"YES","NO"))</f>
        <v>NO</v>
      </c>
      <c r="CI61" s="42" t="str">
        <f>IF(ISBLANK('Exception Stores'!$B$6),"NO",IF('Exception Stores'!$B$6&lt;=$AU$2,"YES","NO"))</f>
        <v>NO</v>
      </c>
      <c r="CJ61" s="42" t="str">
        <f>IF(ISBLANK('Exception Stores'!$B$6),"NO",IF('Exception Stores'!$B$6&lt;=$AV$2,"YES","NO"))</f>
        <v>NO</v>
      </c>
      <c r="CK61" s="1" t="str">
        <f>IF(ISBLANK('Exception Stores'!$B$6),"NO",IF('Exception Stores'!$B$6&lt;=$AW$2,"YES","NO"))</f>
        <v>NO</v>
      </c>
      <c r="CL61" s="1" t="str">
        <f>IF(ISBLANK('Exception Stores'!$B$6),"NO",IF('Exception Stores'!$B$6&lt;=$AX$2,"YES","NO"))</f>
        <v>NO</v>
      </c>
      <c r="CM61" s="1" t="str">
        <f>IF(ISBLANK('Exception Stores'!$B$6),"NO",IF('Exception Stores'!$B$6&lt;=$AY$2,"YES","NO"))</f>
        <v>NO</v>
      </c>
      <c r="CO61" s="1" t="e">
        <f ca="1">IF(AM61&lt;'Exception Stores'!$A$6,"YES","NO")</f>
        <v>#VALUE!</v>
      </c>
      <c r="CP61" s="1">
        <f t="shared" si="53"/>
        <v>0</v>
      </c>
      <c r="CQ61" s="1">
        <f t="shared" si="54"/>
        <v>0</v>
      </c>
      <c r="CR61" s="1">
        <f t="shared" si="55"/>
        <v>0</v>
      </c>
      <c r="CS61" s="1">
        <f t="shared" si="56"/>
        <v>0</v>
      </c>
      <c r="CT61" s="1">
        <f t="shared" si="57"/>
        <v>0</v>
      </c>
      <c r="CU61" s="1">
        <f t="shared" si="58"/>
        <v>0</v>
      </c>
      <c r="CW61" s="1" t="e">
        <f t="shared" ca="1" si="64"/>
        <v>#VALUE!</v>
      </c>
      <c r="CX61" s="1" t="e">
        <f t="shared" ca="1" si="65"/>
        <v>#VALUE!</v>
      </c>
      <c r="CY61" s="1" t="e">
        <f t="shared" ca="1" si="66"/>
        <v>#VALUE!</v>
      </c>
      <c r="CZ61" s="1" t="e">
        <f t="shared" ca="1" si="67"/>
        <v>#VALUE!</v>
      </c>
      <c r="DA61" s="1" t="e">
        <f t="shared" ca="1" si="68"/>
        <v>#VALUE!</v>
      </c>
      <c r="DB61" s="26" t="e">
        <f t="shared" ca="1" si="60"/>
        <v>#VALUE!</v>
      </c>
      <c r="DC61" s="1">
        <f t="shared" si="69"/>
        <v>0</v>
      </c>
      <c r="DD61" s="1">
        <f t="shared" si="70"/>
        <v>0</v>
      </c>
      <c r="DE61" s="1">
        <f t="shared" si="71"/>
        <v>0</v>
      </c>
      <c r="DF61" s="1">
        <f t="shared" si="72"/>
        <v>0</v>
      </c>
      <c r="DG61" s="1">
        <f t="shared" si="73"/>
        <v>0</v>
      </c>
      <c r="DH61" s="26">
        <f t="shared" si="61"/>
        <v>0</v>
      </c>
      <c r="DI61" s="1" t="e">
        <f t="shared" ca="1" si="62"/>
        <v>#VALUE!</v>
      </c>
      <c r="DK61" s="11" t="str">
        <f t="shared" si="74"/>
        <v/>
      </c>
      <c r="DL61" s="11" t="e">
        <f ca="1">IF(AND(NOT(ISBLANK('Exception Stores'!$A$6)),CO61="YES"),S61-$BH$2-(DI61*$BS$2)-(CU61*$BS$2),S61-(DB61*$BS$2))</f>
        <v>#VALUE!</v>
      </c>
      <c r="DM61" s="11" t="str">
        <f>IF(ISBLANK(A61),"",IF(COUNTIF(Remaps!$A$2:$A$200,B61)&gt;0,"YES",""))</f>
        <v>YES</v>
      </c>
      <c r="DN61" s="29">
        <f>IFERROR(INDEX(Remaps!$B$2:$B$200,MATCH(B61,Remaps!$A$2:$A$200,0),1),0)</f>
        <v>0</v>
      </c>
      <c r="DO61" s="11" t="e">
        <f t="shared" ca="1" si="75"/>
        <v>#VALUE!</v>
      </c>
      <c r="DP61" s="29" t="e">
        <f t="shared" si="76"/>
        <v>#VALUE!</v>
      </c>
      <c r="DQ61" s="11" t="e">
        <f ca="1">('Apollo Dock Status'!$Z$1-DP61)/DO61</f>
        <v>#VALUE!</v>
      </c>
      <c r="DR61" s="15" t="e">
        <f t="shared" ca="1" si="63"/>
        <v>#VALUE!</v>
      </c>
    </row>
    <row r="62" spans="1:122">
      <c r="A62" s="1" t="str">
        <f>IF(ISBLANK('Apollo Dock Status'!A62),"",'Apollo Dock Status'!A62)</f>
        <v/>
      </c>
      <c r="B62" s="1" t="str">
        <f>IF(ISBLANK('Apollo Dock Status'!B62),"",'Apollo Dock Status'!B62)</f>
        <v/>
      </c>
      <c r="C62" s="1" t="str">
        <f>IF(ISBLANK('Apollo Dock Status'!C62),"",'Apollo Dock Status'!C62)</f>
        <v/>
      </c>
      <c r="D62" s="1" t="str">
        <f>IF(ISBLANK('Apollo Dock Status'!D62),"",'Apollo Dock Status'!D62)</f>
        <v/>
      </c>
      <c r="E62" s="1" t="str">
        <f>IF(ISBLANK('Apollo Dock Status'!E62),"",'Apollo Dock Status'!E62)</f>
        <v/>
      </c>
      <c r="F62" s="1" t="str">
        <f>IF(ISBLANK('Apollo Dock Status'!F62),"",'Apollo Dock Status'!F62)</f>
        <v/>
      </c>
      <c r="G62" s="1" t="str">
        <f>IF(ISBLANK('Apollo Dock Status'!G62),"",'Apollo Dock Status'!G62)</f>
        <v/>
      </c>
      <c r="H62" s="1" t="str">
        <f>IF(ISBLANK('Apollo Dock Status'!H62),"",'Apollo Dock Status'!H62)</f>
        <v/>
      </c>
      <c r="I62" s="1" t="str">
        <f>IF(ISBLANK('Apollo Dock Status'!I62),"",'Apollo Dock Status'!I62)</f>
        <v/>
      </c>
      <c r="J62" s="1" t="str">
        <f>IF(ISBLANK('Apollo Dock Status'!J62),"",'Apollo Dock Status'!J62)</f>
        <v/>
      </c>
      <c r="K62" s="1" t="str">
        <f>IF(ISBLANK('Apollo Dock Status'!K62),"",'Apollo Dock Status'!K62)</f>
        <v/>
      </c>
      <c r="L62" s="1" t="str">
        <f>IF(ISBLANK('Apollo Dock Status'!L62),"",'Apollo Dock Status'!L62)</f>
        <v/>
      </c>
      <c r="M62" s="1" t="str">
        <f>IF(ISBLANK('Apollo Dock Status'!M62),"",'Apollo Dock Status'!M62)</f>
        <v/>
      </c>
      <c r="N62" s="1" t="str">
        <f>IF(ISBLANK('Apollo Dock Status'!N62),"",'Apollo Dock Status'!N62)</f>
        <v/>
      </c>
      <c r="O62" s="1" t="str">
        <f t="shared" si="12"/>
        <v/>
      </c>
      <c r="P62" s="1" t="str">
        <f t="shared" si="13"/>
        <v/>
      </c>
      <c r="Q62" s="1" t="str">
        <f t="shared" si="14"/>
        <v/>
      </c>
      <c r="R62" s="1" t="str">
        <f t="shared" si="15"/>
        <v/>
      </c>
      <c r="S62" s="11" t="str">
        <f t="shared" si="16"/>
        <v/>
      </c>
      <c r="T62" s="1" t="str">
        <f t="shared" si="17"/>
        <v/>
      </c>
      <c r="U62" s="11" t="str">
        <f t="shared" si="18"/>
        <v/>
      </c>
      <c r="V62" s="11" t="str">
        <f t="shared" si="19"/>
        <v/>
      </c>
      <c r="X62" s="1" t="str">
        <f t="shared" si="20"/>
        <v/>
      </c>
      <c r="Y62" s="1" t="str">
        <f t="shared" si="21"/>
        <v/>
      </c>
      <c r="Z62" s="1" t="str">
        <f t="shared" si="22"/>
        <v/>
      </c>
      <c r="AB62" s="13">
        <f t="shared" ca="1" si="23"/>
        <v>46176</v>
      </c>
      <c r="AC62" s="1">
        <f t="shared" ca="1" si="24"/>
        <v>2026</v>
      </c>
      <c r="AD62" s="1" t="str">
        <f t="shared" ca="1" si="25"/>
        <v>6</v>
      </c>
      <c r="AE62" s="1">
        <f t="shared" si="26"/>
        <v>1</v>
      </c>
      <c r="AF62" s="1" t="str">
        <f t="shared" si="27"/>
        <v/>
      </c>
      <c r="AG62" s="1">
        <f t="shared" ca="1" si="28"/>
        <v>2026</v>
      </c>
      <c r="AH62" s="1">
        <f t="shared" si="29"/>
        <v>1</v>
      </c>
      <c r="AI62" s="1" t="str">
        <f t="shared" ca="1" si="30"/>
        <v>6</v>
      </c>
      <c r="AJ62" s="13" t="e">
        <f t="shared" ca="1" si="31"/>
        <v>#VALUE!</v>
      </c>
      <c r="AK62" s="1" t="e">
        <f>IF(ISBLANK(A62),"",IFERROR(MID(F62,SEARCH(", ",F62)+LEN(", "),SEARCH(" "&amp;'Exception Stores'!$A$2,F62)-SEARCH(", ",F62)-LEN(", ")),MID(F62,SEARCH(", ",F62)+LEN(", "),SEARCH(" "&amp;'Exception Stores'!$B$2,F62)-SEARCH(", ",F62)-LEN(", "))))</f>
        <v>#VALUE!</v>
      </c>
      <c r="AL62" s="1" t="e">
        <f t="shared" si="32"/>
        <v>#VALUE!</v>
      </c>
      <c r="AM62" s="15" t="e">
        <f t="shared" ca="1" si="33"/>
        <v>#VALUE!</v>
      </c>
      <c r="AN62" s="24" t="e">
        <f t="shared" ca="1" si="34"/>
        <v>#VALUE!</v>
      </c>
      <c r="AO62" s="1" t="e">
        <f t="shared" ca="1" si="35"/>
        <v>#VALUE!</v>
      </c>
      <c r="AP62" s="13" t="e">
        <f t="shared" ca="1" si="36"/>
        <v>#VALUE!</v>
      </c>
      <c r="AQ62" s="17" t="e">
        <f t="shared" ca="1" si="37"/>
        <v>#VALUE!</v>
      </c>
      <c r="AS62" s="15" t="e">
        <f t="shared" ca="1" si="38"/>
        <v>#VALUE!</v>
      </c>
      <c r="AT62" s="5">
        <f>'Exception Stores'!$D$2</f>
        <v>0.125</v>
      </c>
      <c r="AU62" s="15" t="e">
        <f t="shared" ca="1" si="39"/>
        <v>#VALUE!</v>
      </c>
      <c r="AV62" s="15" t="e">
        <f t="shared" ca="1" si="40"/>
        <v>#VALUE!</v>
      </c>
      <c r="AW62" s="15" t="e">
        <f t="shared" ca="1" si="41"/>
        <v>#VALUE!</v>
      </c>
      <c r="AX62" s="15" t="e">
        <f t="shared" ca="1" si="42"/>
        <v>#VALUE!</v>
      </c>
      <c r="AY62" s="15" t="e">
        <f t="shared" ca="1" si="43"/>
        <v>#VALUE!</v>
      </c>
      <c r="AZ62" s="1" t="e">
        <f t="shared" ca="1" si="44"/>
        <v>#VALUE!</v>
      </c>
      <c r="BA62" s="15" t="e">
        <f t="shared" ca="1" si="45"/>
        <v>#VALUE!</v>
      </c>
      <c r="BB62" s="15" t="e">
        <f t="shared" ca="1" si="46"/>
        <v>#VALUE!</v>
      </c>
      <c r="BC62" s="1" t="e">
        <f t="shared" ca="1" si="47"/>
        <v>#VALUE!</v>
      </c>
      <c r="BE62" s="15" t="str">
        <f>IF(ISBLANK('Exception Stores'!$A$6),"",'Exception Stores'!$A$6)</f>
        <v/>
      </c>
      <c r="BF62" s="15" t="str">
        <f>IF(ISBLANK('Exception Stores'!$B$6),"",'Exception Stores'!$B$6)</f>
        <v/>
      </c>
      <c r="BG62" s="1">
        <f>IF(ISBLANK('Exception Stores'!$A$6),0,IF($AN$2&gt;$BF$2,($AN$2-$BF$2)*24,0))</f>
        <v>0</v>
      </c>
      <c r="BH62" s="11">
        <f>IF(ISBLANK('Exception Stores'!$A$6),0,($BF$2-$BE$2)*24)</f>
        <v>0</v>
      </c>
      <c r="BI6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62" s="1">
        <f>IF(ISBLANK('Exception Stores'!$A$6),0,IF($AN$2&gt;$BF$2,0,IF(AND($AN$2&lt;$BF$2,$BT$2="B"),(($BF$2-$AN$2)*24)-$BS$2,($BF$2-$AN$2)*24)))</f>
        <v>0</v>
      </c>
      <c r="BL62" s="5"/>
      <c r="BM62" s="5"/>
      <c r="BN62" s="5"/>
      <c r="BO62" s="5"/>
      <c r="BP62" s="5"/>
      <c r="BV62" s="1" t="e">
        <f t="shared" ca="1" si="48"/>
        <v>#VALUE!</v>
      </c>
      <c r="BW62" s="1" t="e">
        <f t="shared" ca="1" si="49"/>
        <v>#VALUE!</v>
      </c>
      <c r="BX62" s="1" t="e">
        <f t="shared" ca="1" si="50"/>
        <v>#VALUE!</v>
      </c>
      <c r="BY62" s="1" t="e">
        <f t="shared" ca="1" si="51"/>
        <v>#VALUE!</v>
      </c>
      <c r="BZ62" s="1" t="e">
        <f t="shared" ca="1" si="52"/>
        <v>#VALUE!</v>
      </c>
      <c r="CB62" s="1" t="str">
        <f>IF(ISBLANK('Exception Stores'!$A$6),"",WEEKDAY($BF$2))</f>
        <v/>
      </c>
      <c r="CC62" s="1" t="str">
        <f>IF(ISBLANK('Exception Stores'!$A$6),"NO",IF('Exception Stores'!$A$6&lt;$AU$2,"YES","NO"))</f>
        <v>NO</v>
      </c>
      <c r="CD62" s="1" t="str">
        <f>IF(ISBLANK('Exception Stores'!$A$6),"NO",IF('Exception Stores'!$A$6&lt;$AV$2,"YES","NO"))</f>
        <v>NO</v>
      </c>
      <c r="CE62" s="1" t="str">
        <f>IF(ISBLANK('Exception Stores'!$A$6),"NO",IF('Exception Stores'!$A$6&lt;$AW$2,"YES","NO"))</f>
        <v>NO</v>
      </c>
      <c r="CF62" s="1" t="str">
        <f>IF(ISBLANK('Exception Stores'!$A$6),"NO",IF('Exception Stores'!$A$6&lt;$AX$2,"YES","NO"))</f>
        <v>NO</v>
      </c>
      <c r="CG62" s="1" t="str">
        <f>IF(ISBLANK('Exception Stores'!$A$6),"NO",IF('Exception Stores'!$A$6&lt;$AY$2,"YES","NO"))</f>
        <v>NO</v>
      </c>
      <c r="CI62" s="42" t="str">
        <f>IF(ISBLANK('Exception Stores'!$B$6),"NO",IF('Exception Stores'!$B$6&lt;=$AU$2,"YES","NO"))</f>
        <v>NO</v>
      </c>
      <c r="CJ62" s="42" t="str">
        <f>IF(ISBLANK('Exception Stores'!$B$6),"NO",IF('Exception Stores'!$B$6&lt;=$AV$2,"YES","NO"))</f>
        <v>NO</v>
      </c>
      <c r="CK62" s="1" t="str">
        <f>IF(ISBLANK('Exception Stores'!$B$6),"NO",IF('Exception Stores'!$B$6&lt;=$AW$2,"YES","NO"))</f>
        <v>NO</v>
      </c>
      <c r="CL62" s="1" t="str">
        <f>IF(ISBLANK('Exception Stores'!$B$6),"NO",IF('Exception Stores'!$B$6&lt;=$AX$2,"YES","NO"))</f>
        <v>NO</v>
      </c>
      <c r="CM62" s="1" t="str">
        <f>IF(ISBLANK('Exception Stores'!$B$6),"NO",IF('Exception Stores'!$B$6&lt;=$AY$2,"YES","NO"))</f>
        <v>NO</v>
      </c>
      <c r="CO62" s="1" t="e">
        <f ca="1">IF(AM62&lt;'Exception Stores'!$A$6,"YES","NO")</f>
        <v>#VALUE!</v>
      </c>
      <c r="CP62" s="1">
        <f t="shared" si="53"/>
        <v>0</v>
      </c>
      <c r="CQ62" s="1">
        <f t="shared" si="54"/>
        <v>0</v>
      </c>
      <c r="CR62" s="1">
        <f t="shared" si="55"/>
        <v>0</v>
      </c>
      <c r="CS62" s="1">
        <f t="shared" si="56"/>
        <v>0</v>
      </c>
      <c r="CT62" s="1">
        <f t="shared" si="57"/>
        <v>0</v>
      </c>
      <c r="CU62" s="1">
        <f t="shared" si="58"/>
        <v>0</v>
      </c>
      <c r="CW62" s="1" t="e">
        <f t="shared" ca="1" si="64"/>
        <v>#VALUE!</v>
      </c>
      <c r="CX62" s="1" t="e">
        <f t="shared" ca="1" si="65"/>
        <v>#VALUE!</v>
      </c>
      <c r="CY62" s="1" t="e">
        <f t="shared" ca="1" si="66"/>
        <v>#VALUE!</v>
      </c>
      <c r="CZ62" s="1" t="e">
        <f t="shared" ca="1" si="67"/>
        <v>#VALUE!</v>
      </c>
      <c r="DA62" s="1" t="e">
        <f t="shared" ca="1" si="68"/>
        <v>#VALUE!</v>
      </c>
      <c r="DB62" s="26" t="e">
        <f t="shared" ca="1" si="60"/>
        <v>#VALUE!</v>
      </c>
      <c r="DC62" s="1">
        <f t="shared" si="69"/>
        <v>0</v>
      </c>
      <c r="DD62" s="1">
        <f t="shared" si="70"/>
        <v>0</v>
      </c>
      <c r="DE62" s="1">
        <f t="shared" si="71"/>
        <v>0</v>
      </c>
      <c r="DF62" s="1">
        <f t="shared" si="72"/>
        <v>0</v>
      </c>
      <c r="DG62" s="1">
        <f t="shared" si="73"/>
        <v>0</v>
      </c>
      <c r="DH62" s="26">
        <f t="shared" si="61"/>
        <v>0</v>
      </c>
      <c r="DI62" s="1" t="e">
        <f t="shared" ca="1" si="62"/>
        <v>#VALUE!</v>
      </c>
      <c r="DK62" s="11" t="str">
        <f t="shared" si="74"/>
        <v/>
      </c>
      <c r="DL62" s="11" t="e">
        <f ca="1">IF(AND(NOT(ISBLANK('Exception Stores'!$A$6)),CO62="YES"),S62-$BH$2-(DI62*$BS$2)-(CU62*$BS$2),S62-(DB62*$BS$2))</f>
        <v>#VALUE!</v>
      </c>
      <c r="DM62" s="11" t="str">
        <f>IF(ISBLANK(A62),"",IF(COUNTIF(Remaps!$A$2:$A$200,B62)&gt;0,"YES",""))</f>
        <v>YES</v>
      </c>
      <c r="DN62" s="29">
        <f>IFERROR(INDEX(Remaps!$B$2:$B$200,MATCH(B62,Remaps!$A$2:$A$200,0),1),0)</f>
        <v>0</v>
      </c>
      <c r="DO62" s="11" t="e">
        <f t="shared" ca="1" si="75"/>
        <v>#VALUE!</v>
      </c>
      <c r="DP62" s="29" t="e">
        <f t="shared" si="76"/>
        <v>#VALUE!</v>
      </c>
      <c r="DQ62" s="11" t="e">
        <f ca="1">('Apollo Dock Status'!$Z$1-DP62)/DO62</f>
        <v>#VALUE!</v>
      </c>
      <c r="DR62" s="15" t="e">
        <f t="shared" ca="1" si="63"/>
        <v>#VALUE!</v>
      </c>
    </row>
    <row r="63" spans="1:122">
      <c r="A63" s="1" t="str">
        <f>IF(ISBLANK('Apollo Dock Status'!A63),"",'Apollo Dock Status'!A63)</f>
        <v/>
      </c>
      <c r="B63" s="1" t="str">
        <f>IF(ISBLANK('Apollo Dock Status'!B63),"",'Apollo Dock Status'!B63)</f>
        <v/>
      </c>
      <c r="C63" s="1" t="str">
        <f>IF(ISBLANK('Apollo Dock Status'!C63),"",'Apollo Dock Status'!C63)</f>
        <v/>
      </c>
      <c r="D63" s="1" t="str">
        <f>IF(ISBLANK('Apollo Dock Status'!D63),"",'Apollo Dock Status'!D63)</f>
        <v/>
      </c>
      <c r="E63" s="1" t="str">
        <f>IF(ISBLANK('Apollo Dock Status'!E63),"",'Apollo Dock Status'!E63)</f>
        <v/>
      </c>
      <c r="F63" s="1" t="str">
        <f>IF(ISBLANK('Apollo Dock Status'!F63),"",'Apollo Dock Status'!F63)</f>
        <v/>
      </c>
      <c r="G63" s="1" t="str">
        <f>IF(ISBLANK('Apollo Dock Status'!G63),"",'Apollo Dock Status'!G63)</f>
        <v/>
      </c>
      <c r="H63" s="1" t="str">
        <f>IF(ISBLANK('Apollo Dock Status'!H63),"",'Apollo Dock Status'!H63)</f>
        <v/>
      </c>
      <c r="I63" s="1" t="str">
        <f>IF(ISBLANK('Apollo Dock Status'!I63),"",'Apollo Dock Status'!I63)</f>
        <v/>
      </c>
      <c r="J63" s="1" t="str">
        <f>IF(ISBLANK('Apollo Dock Status'!J63),"",'Apollo Dock Status'!J63)</f>
        <v/>
      </c>
      <c r="K63" s="1" t="str">
        <f>IF(ISBLANK('Apollo Dock Status'!K63),"",'Apollo Dock Status'!K63)</f>
        <v/>
      </c>
      <c r="L63" s="1" t="str">
        <f>IF(ISBLANK('Apollo Dock Status'!L63),"",'Apollo Dock Status'!L63)</f>
        <v/>
      </c>
      <c r="M63" s="1" t="str">
        <f>IF(ISBLANK('Apollo Dock Status'!M63),"",'Apollo Dock Status'!M63)</f>
        <v/>
      </c>
      <c r="N63" s="1" t="str">
        <f>IF(ISBLANK('Apollo Dock Status'!N63),"",'Apollo Dock Status'!N63)</f>
        <v/>
      </c>
      <c r="O63" s="1" t="str">
        <f t="shared" si="12"/>
        <v/>
      </c>
      <c r="P63" s="1" t="str">
        <f t="shared" si="13"/>
        <v/>
      </c>
      <c r="Q63" s="1" t="str">
        <f t="shared" si="14"/>
        <v/>
      </c>
      <c r="R63" s="1" t="str">
        <f t="shared" si="15"/>
        <v/>
      </c>
      <c r="S63" s="11" t="str">
        <f t="shared" si="16"/>
        <v/>
      </c>
      <c r="T63" s="1" t="str">
        <f t="shared" si="17"/>
        <v/>
      </c>
      <c r="U63" s="11" t="str">
        <f t="shared" si="18"/>
        <v/>
      </c>
      <c r="V63" s="11" t="str">
        <f t="shared" si="19"/>
        <v/>
      </c>
      <c r="X63" s="1" t="str">
        <f t="shared" si="20"/>
        <v/>
      </c>
      <c r="Y63" s="1" t="str">
        <f t="shared" si="21"/>
        <v/>
      </c>
      <c r="Z63" s="1" t="str">
        <f t="shared" si="22"/>
        <v/>
      </c>
      <c r="AB63" s="13">
        <f t="shared" ca="1" si="23"/>
        <v>46176</v>
      </c>
      <c r="AC63" s="1">
        <f t="shared" ca="1" si="24"/>
        <v>2026</v>
      </c>
      <c r="AD63" s="1" t="str">
        <f t="shared" ca="1" si="25"/>
        <v>6</v>
      </c>
      <c r="AE63" s="1">
        <f t="shared" si="26"/>
        <v>1</v>
      </c>
      <c r="AF63" s="1" t="str">
        <f t="shared" si="27"/>
        <v/>
      </c>
      <c r="AG63" s="1">
        <f t="shared" ca="1" si="28"/>
        <v>2026</v>
      </c>
      <c r="AH63" s="1">
        <f t="shared" si="29"/>
        <v>1</v>
      </c>
      <c r="AI63" s="1" t="str">
        <f t="shared" ca="1" si="30"/>
        <v>6</v>
      </c>
      <c r="AJ63" s="13" t="e">
        <f t="shared" ca="1" si="31"/>
        <v>#VALUE!</v>
      </c>
      <c r="AK63" s="1" t="e">
        <f>IF(ISBLANK(A63),"",IFERROR(MID(F63,SEARCH(", ",F63)+LEN(", "),SEARCH(" "&amp;'Exception Stores'!$A$2,F63)-SEARCH(", ",F63)-LEN(", ")),MID(F63,SEARCH(", ",F63)+LEN(", "),SEARCH(" "&amp;'Exception Stores'!$B$2,F63)-SEARCH(", ",F63)-LEN(", "))))</f>
        <v>#VALUE!</v>
      </c>
      <c r="AL63" s="1" t="e">
        <f t="shared" si="32"/>
        <v>#VALUE!</v>
      </c>
      <c r="AM63" s="15" t="e">
        <f t="shared" ca="1" si="33"/>
        <v>#VALUE!</v>
      </c>
      <c r="AN63" s="24" t="e">
        <f t="shared" ca="1" si="34"/>
        <v>#VALUE!</v>
      </c>
      <c r="AO63" s="1" t="e">
        <f t="shared" ca="1" si="35"/>
        <v>#VALUE!</v>
      </c>
      <c r="AP63" s="13" t="e">
        <f t="shared" ca="1" si="36"/>
        <v>#VALUE!</v>
      </c>
      <c r="AQ63" s="17" t="e">
        <f t="shared" ca="1" si="37"/>
        <v>#VALUE!</v>
      </c>
      <c r="AS63" s="15" t="e">
        <f t="shared" ca="1" si="38"/>
        <v>#VALUE!</v>
      </c>
      <c r="AT63" s="5">
        <f>'Exception Stores'!$D$2</f>
        <v>0.125</v>
      </c>
      <c r="AU63" s="15" t="e">
        <f t="shared" ca="1" si="39"/>
        <v>#VALUE!</v>
      </c>
      <c r="AV63" s="15" t="e">
        <f t="shared" ca="1" si="40"/>
        <v>#VALUE!</v>
      </c>
      <c r="AW63" s="15" t="e">
        <f t="shared" ca="1" si="41"/>
        <v>#VALUE!</v>
      </c>
      <c r="AX63" s="15" t="e">
        <f t="shared" ca="1" si="42"/>
        <v>#VALUE!</v>
      </c>
      <c r="AY63" s="15" t="e">
        <f t="shared" ca="1" si="43"/>
        <v>#VALUE!</v>
      </c>
      <c r="AZ63" s="1" t="e">
        <f t="shared" ca="1" si="44"/>
        <v>#VALUE!</v>
      </c>
      <c r="BA63" s="15" t="e">
        <f t="shared" ca="1" si="45"/>
        <v>#VALUE!</v>
      </c>
      <c r="BB63" s="15" t="e">
        <f t="shared" ca="1" si="46"/>
        <v>#VALUE!</v>
      </c>
      <c r="BC63" s="1" t="e">
        <f t="shared" ca="1" si="47"/>
        <v>#VALUE!</v>
      </c>
      <c r="BE63" s="15" t="str">
        <f>IF(ISBLANK('Exception Stores'!$A$6),"",'Exception Stores'!$A$6)</f>
        <v/>
      </c>
      <c r="BF63" s="15" t="str">
        <f>IF(ISBLANK('Exception Stores'!$B$6),"",'Exception Stores'!$B$6)</f>
        <v/>
      </c>
      <c r="BG63" s="1">
        <f>IF(ISBLANK('Exception Stores'!$A$6),0,IF($AN$2&gt;$BF$2,($AN$2-$BF$2)*24,0))</f>
        <v>0</v>
      </c>
      <c r="BH63" s="11">
        <f>IF(ISBLANK('Exception Stores'!$A$6),0,($BF$2-$BE$2)*24)</f>
        <v>0</v>
      </c>
      <c r="BI6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63" s="1">
        <f>IF(ISBLANK('Exception Stores'!$A$6),0,IF($AN$2&gt;$BF$2,0,IF(AND($AN$2&lt;$BF$2,$BT$2="B"),(($BF$2-$AN$2)*24)-$BS$2,($BF$2-$AN$2)*24)))</f>
        <v>0</v>
      </c>
      <c r="BL63" s="5"/>
      <c r="BM63" s="5"/>
      <c r="BN63" s="5"/>
      <c r="BO63" s="5"/>
      <c r="BP63" s="5"/>
      <c r="BV63" s="1" t="e">
        <f t="shared" ca="1" si="48"/>
        <v>#VALUE!</v>
      </c>
      <c r="BW63" s="1" t="e">
        <f t="shared" ca="1" si="49"/>
        <v>#VALUE!</v>
      </c>
      <c r="BX63" s="1" t="e">
        <f t="shared" ca="1" si="50"/>
        <v>#VALUE!</v>
      </c>
      <c r="BY63" s="1" t="e">
        <f t="shared" ca="1" si="51"/>
        <v>#VALUE!</v>
      </c>
      <c r="BZ63" s="1" t="e">
        <f t="shared" ca="1" si="52"/>
        <v>#VALUE!</v>
      </c>
      <c r="CB63" s="1" t="str">
        <f>IF(ISBLANK('Exception Stores'!$A$6),"",WEEKDAY($BF$2))</f>
        <v/>
      </c>
      <c r="CC63" s="1" t="str">
        <f>IF(ISBLANK('Exception Stores'!$A$6),"NO",IF('Exception Stores'!$A$6&lt;$AU$2,"YES","NO"))</f>
        <v>NO</v>
      </c>
      <c r="CD63" s="1" t="str">
        <f>IF(ISBLANK('Exception Stores'!$A$6),"NO",IF('Exception Stores'!$A$6&lt;$AV$2,"YES","NO"))</f>
        <v>NO</v>
      </c>
      <c r="CE63" s="1" t="str">
        <f>IF(ISBLANK('Exception Stores'!$A$6),"NO",IF('Exception Stores'!$A$6&lt;$AW$2,"YES","NO"))</f>
        <v>NO</v>
      </c>
      <c r="CF63" s="1" t="str">
        <f>IF(ISBLANK('Exception Stores'!$A$6),"NO",IF('Exception Stores'!$A$6&lt;$AX$2,"YES","NO"))</f>
        <v>NO</v>
      </c>
      <c r="CG63" s="1" t="str">
        <f>IF(ISBLANK('Exception Stores'!$A$6),"NO",IF('Exception Stores'!$A$6&lt;$AY$2,"YES","NO"))</f>
        <v>NO</v>
      </c>
      <c r="CI63" s="42" t="str">
        <f>IF(ISBLANK('Exception Stores'!$B$6),"NO",IF('Exception Stores'!$B$6&lt;=$AU$2,"YES","NO"))</f>
        <v>NO</v>
      </c>
      <c r="CJ63" s="42" t="str">
        <f>IF(ISBLANK('Exception Stores'!$B$6),"NO",IF('Exception Stores'!$B$6&lt;=$AV$2,"YES","NO"))</f>
        <v>NO</v>
      </c>
      <c r="CK63" s="1" t="str">
        <f>IF(ISBLANK('Exception Stores'!$B$6),"NO",IF('Exception Stores'!$B$6&lt;=$AW$2,"YES","NO"))</f>
        <v>NO</v>
      </c>
      <c r="CL63" s="1" t="str">
        <f>IF(ISBLANK('Exception Stores'!$B$6),"NO",IF('Exception Stores'!$B$6&lt;=$AX$2,"YES","NO"))</f>
        <v>NO</v>
      </c>
      <c r="CM63" s="1" t="str">
        <f>IF(ISBLANK('Exception Stores'!$B$6),"NO",IF('Exception Stores'!$B$6&lt;=$AY$2,"YES","NO"))</f>
        <v>NO</v>
      </c>
      <c r="CO63" s="1" t="e">
        <f ca="1">IF(AM63&lt;'Exception Stores'!$A$6,"YES","NO")</f>
        <v>#VALUE!</v>
      </c>
      <c r="CP63" s="1">
        <f t="shared" si="53"/>
        <v>0</v>
      </c>
      <c r="CQ63" s="1">
        <f t="shared" si="54"/>
        <v>0</v>
      </c>
      <c r="CR63" s="1">
        <f t="shared" si="55"/>
        <v>0</v>
      </c>
      <c r="CS63" s="1">
        <f t="shared" si="56"/>
        <v>0</v>
      </c>
      <c r="CT63" s="1">
        <f t="shared" si="57"/>
        <v>0</v>
      </c>
      <c r="CU63" s="1">
        <f t="shared" si="58"/>
        <v>0</v>
      </c>
      <c r="CW63" s="1" t="e">
        <f t="shared" ca="1" si="64"/>
        <v>#VALUE!</v>
      </c>
      <c r="CX63" s="1" t="e">
        <f t="shared" ca="1" si="65"/>
        <v>#VALUE!</v>
      </c>
      <c r="CY63" s="1" t="e">
        <f t="shared" ca="1" si="66"/>
        <v>#VALUE!</v>
      </c>
      <c r="CZ63" s="1" t="e">
        <f t="shared" ca="1" si="67"/>
        <v>#VALUE!</v>
      </c>
      <c r="DA63" s="1" t="e">
        <f t="shared" ca="1" si="68"/>
        <v>#VALUE!</v>
      </c>
      <c r="DB63" s="26" t="e">
        <f t="shared" ca="1" si="60"/>
        <v>#VALUE!</v>
      </c>
      <c r="DC63" s="1">
        <f t="shared" si="69"/>
        <v>0</v>
      </c>
      <c r="DD63" s="1">
        <f t="shared" si="70"/>
        <v>0</v>
      </c>
      <c r="DE63" s="1">
        <f t="shared" si="71"/>
        <v>0</v>
      </c>
      <c r="DF63" s="1">
        <f t="shared" si="72"/>
        <v>0</v>
      </c>
      <c r="DG63" s="1">
        <f t="shared" si="73"/>
        <v>0</v>
      </c>
      <c r="DH63" s="26">
        <f t="shared" si="61"/>
        <v>0</v>
      </c>
      <c r="DI63" s="1" t="e">
        <f t="shared" ca="1" si="62"/>
        <v>#VALUE!</v>
      </c>
      <c r="DK63" s="11" t="str">
        <f t="shared" si="74"/>
        <v/>
      </c>
      <c r="DL63" s="11" t="e">
        <f ca="1">IF(AND(NOT(ISBLANK('Exception Stores'!$A$6)),CO63="YES"),S63-$BH$2-(DI63*$BS$2)-(CU63*$BS$2),S63-(DB63*$BS$2))</f>
        <v>#VALUE!</v>
      </c>
      <c r="DM63" s="11" t="str">
        <f>IF(ISBLANK(A63),"",IF(COUNTIF(Remaps!$A$2:$A$200,B63)&gt;0,"YES",""))</f>
        <v>YES</v>
      </c>
      <c r="DN63" s="29">
        <f>IFERROR(INDEX(Remaps!$B$2:$B$200,MATCH(B63,Remaps!$A$2:$A$200,0),1),0)</f>
        <v>0</v>
      </c>
      <c r="DO63" s="11" t="e">
        <f t="shared" ca="1" si="75"/>
        <v>#VALUE!</v>
      </c>
      <c r="DP63" s="29" t="e">
        <f t="shared" si="76"/>
        <v>#VALUE!</v>
      </c>
      <c r="DQ63" s="11" t="e">
        <f ca="1">('Apollo Dock Status'!$Z$1-DP63)/DO63</f>
        <v>#VALUE!</v>
      </c>
      <c r="DR63" s="15" t="e">
        <f t="shared" ca="1" si="63"/>
        <v>#VALUE!</v>
      </c>
    </row>
    <row r="64" spans="1:122">
      <c r="A64" s="1" t="str">
        <f>IF(ISBLANK('Apollo Dock Status'!A64),"",'Apollo Dock Status'!A64)</f>
        <v/>
      </c>
      <c r="B64" s="1" t="str">
        <f>IF(ISBLANK('Apollo Dock Status'!B64),"",'Apollo Dock Status'!B64)</f>
        <v/>
      </c>
      <c r="C64" s="1" t="str">
        <f>IF(ISBLANK('Apollo Dock Status'!C64),"",'Apollo Dock Status'!C64)</f>
        <v/>
      </c>
      <c r="D64" s="1" t="str">
        <f>IF(ISBLANK('Apollo Dock Status'!D64),"",'Apollo Dock Status'!D64)</f>
        <v/>
      </c>
      <c r="E64" s="1" t="str">
        <f>IF(ISBLANK('Apollo Dock Status'!E64),"",'Apollo Dock Status'!E64)</f>
        <v/>
      </c>
      <c r="F64" s="1" t="str">
        <f>IF(ISBLANK('Apollo Dock Status'!F64),"",'Apollo Dock Status'!F64)</f>
        <v/>
      </c>
      <c r="G64" s="1" t="str">
        <f>IF(ISBLANK('Apollo Dock Status'!G64),"",'Apollo Dock Status'!G64)</f>
        <v/>
      </c>
      <c r="H64" s="1" t="str">
        <f>IF(ISBLANK('Apollo Dock Status'!H64),"",'Apollo Dock Status'!H64)</f>
        <v/>
      </c>
      <c r="I64" s="1" t="str">
        <f>IF(ISBLANK('Apollo Dock Status'!I64),"",'Apollo Dock Status'!I64)</f>
        <v/>
      </c>
      <c r="J64" s="1" t="str">
        <f>IF(ISBLANK('Apollo Dock Status'!J64),"",'Apollo Dock Status'!J64)</f>
        <v/>
      </c>
      <c r="K64" s="1" t="str">
        <f>IF(ISBLANK('Apollo Dock Status'!K64),"",'Apollo Dock Status'!K64)</f>
        <v/>
      </c>
      <c r="L64" s="1" t="str">
        <f>IF(ISBLANK('Apollo Dock Status'!L64),"",'Apollo Dock Status'!L64)</f>
        <v/>
      </c>
      <c r="M64" s="1" t="str">
        <f>IF(ISBLANK('Apollo Dock Status'!M64),"",'Apollo Dock Status'!M64)</f>
        <v/>
      </c>
      <c r="N64" s="1" t="str">
        <f>IF(ISBLANK('Apollo Dock Status'!N64),"",'Apollo Dock Status'!N64)</f>
        <v/>
      </c>
      <c r="O64" s="1" t="str">
        <f t="shared" si="12"/>
        <v/>
      </c>
      <c r="P64" s="1" t="str">
        <f t="shared" si="13"/>
        <v/>
      </c>
      <c r="Q64" s="1" t="str">
        <f t="shared" si="14"/>
        <v/>
      </c>
      <c r="R64" s="1" t="str">
        <f t="shared" si="15"/>
        <v/>
      </c>
      <c r="S64" s="11" t="str">
        <f t="shared" si="16"/>
        <v/>
      </c>
      <c r="T64" s="1" t="str">
        <f t="shared" si="17"/>
        <v/>
      </c>
      <c r="U64" s="11" t="str">
        <f t="shared" si="18"/>
        <v/>
      </c>
      <c r="V64" s="11" t="str">
        <f t="shared" si="19"/>
        <v/>
      </c>
      <c r="X64" s="1" t="str">
        <f t="shared" si="20"/>
        <v/>
      </c>
      <c r="Y64" s="1" t="str">
        <f t="shared" si="21"/>
        <v/>
      </c>
      <c r="Z64" s="1" t="str">
        <f t="shared" si="22"/>
        <v/>
      </c>
      <c r="AB64" s="13">
        <f t="shared" ca="1" si="23"/>
        <v>46176</v>
      </c>
      <c r="AC64" s="1">
        <f t="shared" ca="1" si="24"/>
        <v>2026</v>
      </c>
      <c r="AD64" s="1" t="str">
        <f t="shared" ca="1" si="25"/>
        <v>6</v>
      </c>
      <c r="AE64" s="1">
        <f t="shared" si="26"/>
        <v>1</v>
      </c>
      <c r="AF64" s="1" t="str">
        <f t="shared" si="27"/>
        <v/>
      </c>
      <c r="AG64" s="1">
        <f t="shared" ca="1" si="28"/>
        <v>2026</v>
      </c>
      <c r="AH64" s="1">
        <f t="shared" si="29"/>
        <v>1</v>
      </c>
      <c r="AI64" s="1" t="str">
        <f t="shared" ca="1" si="30"/>
        <v>6</v>
      </c>
      <c r="AJ64" s="13" t="e">
        <f t="shared" ca="1" si="31"/>
        <v>#VALUE!</v>
      </c>
      <c r="AK64" s="1" t="e">
        <f>IF(ISBLANK(A64),"",IFERROR(MID(F64,SEARCH(", ",F64)+LEN(", "),SEARCH(" "&amp;'Exception Stores'!$A$2,F64)-SEARCH(", ",F64)-LEN(", ")),MID(F64,SEARCH(", ",F64)+LEN(", "),SEARCH(" "&amp;'Exception Stores'!$B$2,F64)-SEARCH(", ",F64)-LEN(", "))))</f>
        <v>#VALUE!</v>
      </c>
      <c r="AL64" s="1" t="e">
        <f t="shared" si="32"/>
        <v>#VALUE!</v>
      </c>
      <c r="AM64" s="15" t="e">
        <f t="shared" ca="1" si="33"/>
        <v>#VALUE!</v>
      </c>
      <c r="AN64" s="24" t="e">
        <f t="shared" ca="1" si="34"/>
        <v>#VALUE!</v>
      </c>
      <c r="AO64" s="1" t="e">
        <f t="shared" ca="1" si="35"/>
        <v>#VALUE!</v>
      </c>
      <c r="AP64" s="13" t="e">
        <f t="shared" ca="1" si="36"/>
        <v>#VALUE!</v>
      </c>
      <c r="AQ64" s="17" t="e">
        <f t="shared" ca="1" si="37"/>
        <v>#VALUE!</v>
      </c>
      <c r="AS64" s="15" t="e">
        <f t="shared" ca="1" si="38"/>
        <v>#VALUE!</v>
      </c>
      <c r="AT64" s="5">
        <f>'Exception Stores'!$D$2</f>
        <v>0.125</v>
      </c>
      <c r="AU64" s="15" t="e">
        <f t="shared" ca="1" si="39"/>
        <v>#VALUE!</v>
      </c>
      <c r="AV64" s="15" t="e">
        <f t="shared" ca="1" si="40"/>
        <v>#VALUE!</v>
      </c>
      <c r="AW64" s="15" t="e">
        <f t="shared" ca="1" si="41"/>
        <v>#VALUE!</v>
      </c>
      <c r="AX64" s="15" t="e">
        <f t="shared" ca="1" si="42"/>
        <v>#VALUE!</v>
      </c>
      <c r="AY64" s="15" t="e">
        <f t="shared" ca="1" si="43"/>
        <v>#VALUE!</v>
      </c>
      <c r="AZ64" s="1" t="e">
        <f t="shared" ca="1" si="44"/>
        <v>#VALUE!</v>
      </c>
      <c r="BA64" s="15" t="e">
        <f t="shared" ca="1" si="45"/>
        <v>#VALUE!</v>
      </c>
      <c r="BB64" s="15" t="e">
        <f t="shared" ca="1" si="46"/>
        <v>#VALUE!</v>
      </c>
      <c r="BC64" s="1" t="e">
        <f t="shared" ca="1" si="47"/>
        <v>#VALUE!</v>
      </c>
      <c r="BE64" s="15" t="str">
        <f>IF(ISBLANK('Exception Stores'!$A$6),"",'Exception Stores'!$A$6)</f>
        <v/>
      </c>
      <c r="BF64" s="15" t="str">
        <f>IF(ISBLANK('Exception Stores'!$B$6),"",'Exception Stores'!$B$6)</f>
        <v/>
      </c>
      <c r="BG64" s="1">
        <f>IF(ISBLANK('Exception Stores'!$A$6),0,IF($AN$2&gt;$BF$2,($AN$2-$BF$2)*24,0))</f>
        <v>0</v>
      </c>
      <c r="BH64" s="11">
        <f>IF(ISBLANK('Exception Stores'!$A$6),0,($BF$2-$BE$2)*24)</f>
        <v>0</v>
      </c>
      <c r="BI6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64" s="1">
        <f>IF(ISBLANK('Exception Stores'!$A$6),0,IF($AN$2&gt;$BF$2,0,IF(AND($AN$2&lt;$BF$2,$BT$2="B"),(($BF$2-$AN$2)*24)-$BS$2,($BF$2-$AN$2)*24)))</f>
        <v>0</v>
      </c>
      <c r="BL64" s="5"/>
      <c r="BM64" s="5"/>
      <c r="BN64" s="5"/>
      <c r="BO64" s="5"/>
      <c r="BP64" s="5"/>
      <c r="BV64" s="1" t="e">
        <f t="shared" ca="1" si="48"/>
        <v>#VALUE!</v>
      </c>
      <c r="BW64" s="1" t="e">
        <f t="shared" ca="1" si="49"/>
        <v>#VALUE!</v>
      </c>
      <c r="BX64" s="1" t="e">
        <f t="shared" ca="1" si="50"/>
        <v>#VALUE!</v>
      </c>
      <c r="BY64" s="1" t="e">
        <f t="shared" ca="1" si="51"/>
        <v>#VALUE!</v>
      </c>
      <c r="BZ64" s="1" t="e">
        <f t="shared" ca="1" si="52"/>
        <v>#VALUE!</v>
      </c>
      <c r="CB64" s="1" t="str">
        <f>IF(ISBLANK('Exception Stores'!$A$6),"",WEEKDAY($BF$2))</f>
        <v/>
      </c>
      <c r="CC64" s="1" t="str">
        <f>IF(ISBLANK('Exception Stores'!$A$6),"NO",IF('Exception Stores'!$A$6&lt;$AU$2,"YES","NO"))</f>
        <v>NO</v>
      </c>
      <c r="CD64" s="1" t="str">
        <f>IF(ISBLANK('Exception Stores'!$A$6),"NO",IF('Exception Stores'!$A$6&lt;$AV$2,"YES","NO"))</f>
        <v>NO</v>
      </c>
      <c r="CE64" s="1" t="str">
        <f>IF(ISBLANK('Exception Stores'!$A$6),"NO",IF('Exception Stores'!$A$6&lt;$AW$2,"YES","NO"))</f>
        <v>NO</v>
      </c>
      <c r="CF64" s="1" t="str">
        <f>IF(ISBLANK('Exception Stores'!$A$6),"NO",IF('Exception Stores'!$A$6&lt;$AX$2,"YES","NO"))</f>
        <v>NO</v>
      </c>
      <c r="CG64" s="1" t="str">
        <f>IF(ISBLANK('Exception Stores'!$A$6),"NO",IF('Exception Stores'!$A$6&lt;$AY$2,"YES","NO"))</f>
        <v>NO</v>
      </c>
      <c r="CI64" s="42" t="str">
        <f>IF(ISBLANK('Exception Stores'!$B$6),"NO",IF('Exception Stores'!$B$6&lt;=$AU$2,"YES","NO"))</f>
        <v>NO</v>
      </c>
      <c r="CJ64" s="42" t="str">
        <f>IF(ISBLANK('Exception Stores'!$B$6),"NO",IF('Exception Stores'!$B$6&lt;=$AV$2,"YES","NO"))</f>
        <v>NO</v>
      </c>
      <c r="CK64" s="1" t="str">
        <f>IF(ISBLANK('Exception Stores'!$B$6),"NO",IF('Exception Stores'!$B$6&lt;=$AW$2,"YES","NO"))</f>
        <v>NO</v>
      </c>
      <c r="CL64" s="1" t="str">
        <f>IF(ISBLANK('Exception Stores'!$B$6),"NO",IF('Exception Stores'!$B$6&lt;=$AX$2,"YES","NO"))</f>
        <v>NO</v>
      </c>
      <c r="CM64" s="1" t="str">
        <f>IF(ISBLANK('Exception Stores'!$B$6),"NO",IF('Exception Stores'!$B$6&lt;=$AY$2,"YES","NO"))</f>
        <v>NO</v>
      </c>
      <c r="CO64" s="1" t="e">
        <f ca="1">IF(AM64&lt;'Exception Stores'!$A$6,"YES","NO")</f>
        <v>#VALUE!</v>
      </c>
      <c r="CP64" s="1">
        <f t="shared" si="53"/>
        <v>0</v>
      </c>
      <c r="CQ64" s="1">
        <f t="shared" si="54"/>
        <v>0</v>
      </c>
      <c r="CR64" s="1">
        <f t="shared" si="55"/>
        <v>0</v>
      </c>
      <c r="CS64" s="1">
        <f t="shared" si="56"/>
        <v>0</v>
      </c>
      <c r="CT64" s="1">
        <f t="shared" si="57"/>
        <v>0</v>
      </c>
      <c r="CU64" s="1">
        <f t="shared" si="58"/>
        <v>0</v>
      </c>
      <c r="CW64" s="1" t="e">
        <f t="shared" ca="1" si="64"/>
        <v>#VALUE!</v>
      </c>
      <c r="CX64" s="1" t="e">
        <f t="shared" ca="1" si="65"/>
        <v>#VALUE!</v>
      </c>
      <c r="CY64" s="1" t="e">
        <f t="shared" ca="1" si="66"/>
        <v>#VALUE!</v>
      </c>
      <c r="CZ64" s="1" t="e">
        <f t="shared" ca="1" si="67"/>
        <v>#VALUE!</v>
      </c>
      <c r="DA64" s="1" t="e">
        <f t="shared" ca="1" si="68"/>
        <v>#VALUE!</v>
      </c>
      <c r="DB64" s="26" t="e">
        <f t="shared" ca="1" si="60"/>
        <v>#VALUE!</v>
      </c>
      <c r="DC64" s="1">
        <f t="shared" si="69"/>
        <v>0</v>
      </c>
      <c r="DD64" s="1">
        <f t="shared" si="70"/>
        <v>0</v>
      </c>
      <c r="DE64" s="1">
        <f t="shared" si="71"/>
        <v>0</v>
      </c>
      <c r="DF64" s="1">
        <f t="shared" si="72"/>
        <v>0</v>
      </c>
      <c r="DG64" s="1">
        <f t="shared" si="73"/>
        <v>0</v>
      </c>
      <c r="DH64" s="26">
        <f t="shared" si="61"/>
        <v>0</v>
      </c>
      <c r="DI64" s="1" t="e">
        <f t="shared" ca="1" si="62"/>
        <v>#VALUE!</v>
      </c>
      <c r="DK64" s="11" t="str">
        <f t="shared" si="74"/>
        <v/>
      </c>
      <c r="DL64" s="11" t="e">
        <f ca="1">IF(AND(NOT(ISBLANK('Exception Stores'!$A$6)),CO64="YES"),S64-$BH$2-(DI64*$BS$2)-(CU64*$BS$2),S64-(DB64*$BS$2))</f>
        <v>#VALUE!</v>
      </c>
      <c r="DM64" s="11" t="str">
        <f>IF(ISBLANK(A64),"",IF(COUNTIF(Remaps!$A$2:$A$200,B64)&gt;0,"YES",""))</f>
        <v>YES</v>
      </c>
      <c r="DN64" s="29">
        <f>IFERROR(INDEX(Remaps!$B$2:$B$200,MATCH(B64,Remaps!$A$2:$A$200,0),1),0)</f>
        <v>0</v>
      </c>
      <c r="DO64" s="11" t="e">
        <f t="shared" ca="1" si="75"/>
        <v>#VALUE!</v>
      </c>
      <c r="DP64" s="29" t="e">
        <f t="shared" si="76"/>
        <v>#VALUE!</v>
      </c>
      <c r="DQ64" s="11" t="e">
        <f ca="1">('Apollo Dock Status'!$Z$1-DP64)/DO64</f>
        <v>#VALUE!</v>
      </c>
      <c r="DR64" s="15" t="e">
        <f t="shared" ca="1" si="63"/>
        <v>#VALUE!</v>
      </c>
    </row>
    <row r="65" spans="1:122">
      <c r="A65" s="1" t="str">
        <f>IF(ISBLANK('Apollo Dock Status'!A65),"",'Apollo Dock Status'!A65)</f>
        <v/>
      </c>
      <c r="B65" s="1" t="str">
        <f>IF(ISBLANK('Apollo Dock Status'!B65),"",'Apollo Dock Status'!B65)</f>
        <v/>
      </c>
      <c r="C65" s="1" t="str">
        <f>IF(ISBLANK('Apollo Dock Status'!C65),"",'Apollo Dock Status'!C65)</f>
        <v/>
      </c>
      <c r="D65" s="1" t="str">
        <f>IF(ISBLANK('Apollo Dock Status'!D65),"",'Apollo Dock Status'!D65)</f>
        <v/>
      </c>
      <c r="E65" s="1" t="str">
        <f>IF(ISBLANK('Apollo Dock Status'!E65),"",'Apollo Dock Status'!E65)</f>
        <v/>
      </c>
      <c r="F65" s="1" t="str">
        <f>IF(ISBLANK('Apollo Dock Status'!F65),"",'Apollo Dock Status'!F65)</f>
        <v/>
      </c>
      <c r="G65" s="1" t="str">
        <f>IF(ISBLANK('Apollo Dock Status'!G65),"",'Apollo Dock Status'!G65)</f>
        <v/>
      </c>
      <c r="H65" s="1" t="str">
        <f>IF(ISBLANK('Apollo Dock Status'!H65),"",'Apollo Dock Status'!H65)</f>
        <v/>
      </c>
      <c r="I65" s="1" t="str">
        <f>IF(ISBLANK('Apollo Dock Status'!I65),"",'Apollo Dock Status'!I65)</f>
        <v/>
      </c>
      <c r="J65" s="1" t="str">
        <f>IF(ISBLANK('Apollo Dock Status'!J65),"",'Apollo Dock Status'!J65)</f>
        <v/>
      </c>
      <c r="K65" s="1" t="str">
        <f>IF(ISBLANK('Apollo Dock Status'!K65),"",'Apollo Dock Status'!K65)</f>
        <v/>
      </c>
      <c r="L65" s="1" t="str">
        <f>IF(ISBLANK('Apollo Dock Status'!L65),"",'Apollo Dock Status'!L65)</f>
        <v/>
      </c>
      <c r="M65" s="1" t="str">
        <f>IF(ISBLANK('Apollo Dock Status'!M65),"",'Apollo Dock Status'!M65)</f>
        <v/>
      </c>
      <c r="N65" s="1" t="str">
        <f>IF(ISBLANK('Apollo Dock Status'!N65),"",'Apollo Dock Status'!N65)</f>
        <v/>
      </c>
      <c r="O65" s="1" t="str">
        <f t="shared" si="12"/>
        <v/>
      </c>
      <c r="P65" s="1" t="str">
        <f t="shared" si="13"/>
        <v/>
      </c>
      <c r="Q65" s="1" t="str">
        <f t="shared" si="14"/>
        <v/>
      </c>
      <c r="R65" s="1" t="str">
        <f t="shared" si="15"/>
        <v/>
      </c>
      <c r="S65" s="11" t="str">
        <f t="shared" si="16"/>
        <v/>
      </c>
      <c r="T65" s="1" t="str">
        <f t="shared" si="17"/>
        <v/>
      </c>
      <c r="U65" s="11" t="str">
        <f t="shared" si="18"/>
        <v/>
      </c>
      <c r="V65" s="11" t="str">
        <f t="shared" si="19"/>
        <v/>
      </c>
      <c r="X65" s="1" t="str">
        <f t="shared" si="20"/>
        <v/>
      </c>
      <c r="Y65" s="1" t="str">
        <f t="shared" si="21"/>
        <v/>
      </c>
      <c r="Z65" s="1" t="str">
        <f t="shared" si="22"/>
        <v/>
      </c>
      <c r="AB65" s="13">
        <f t="shared" ca="1" si="23"/>
        <v>46176</v>
      </c>
      <c r="AC65" s="1">
        <f t="shared" ca="1" si="24"/>
        <v>2026</v>
      </c>
      <c r="AD65" s="1" t="str">
        <f t="shared" ca="1" si="25"/>
        <v>6</v>
      </c>
      <c r="AE65" s="1">
        <f t="shared" si="26"/>
        <v>1</v>
      </c>
      <c r="AF65" s="1" t="str">
        <f t="shared" si="27"/>
        <v/>
      </c>
      <c r="AG65" s="1">
        <f t="shared" ca="1" si="28"/>
        <v>2026</v>
      </c>
      <c r="AH65" s="1">
        <f t="shared" si="29"/>
        <v>1</v>
      </c>
      <c r="AI65" s="1" t="str">
        <f t="shared" ca="1" si="30"/>
        <v>6</v>
      </c>
      <c r="AJ65" s="13" t="e">
        <f t="shared" ca="1" si="31"/>
        <v>#VALUE!</v>
      </c>
      <c r="AK65" s="1" t="e">
        <f>IF(ISBLANK(A65),"",IFERROR(MID(F65,SEARCH(", ",F65)+LEN(", "),SEARCH(" "&amp;'Exception Stores'!$A$2,F65)-SEARCH(", ",F65)-LEN(", ")),MID(F65,SEARCH(", ",F65)+LEN(", "),SEARCH(" "&amp;'Exception Stores'!$B$2,F65)-SEARCH(", ",F65)-LEN(", "))))</f>
        <v>#VALUE!</v>
      </c>
      <c r="AL65" s="1" t="e">
        <f t="shared" si="32"/>
        <v>#VALUE!</v>
      </c>
      <c r="AM65" s="15" t="e">
        <f t="shared" ca="1" si="33"/>
        <v>#VALUE!</v>
      </c>
      <c r="AN65" s="24" t="e">
        <f t="shared" ca="1" si="34"/>
        <v>#VALUE!</v>
      </c>
      <c r="AO65" s="1" t="e">
        <f t="shared" ca="1" si="35"/>
        <v>#VALUE!</v>
      </c>
      <c r="AP65" s="13" t="e">
        <f t="shared" ca="1" si="36"/>
        <v>#VALUE!</v>
      </c>
      <c r="AQ65" s="17" t="e">
        <f t="shared" ca="1" si="37"/>
        <v>#VALUE!</v>
      </c>
      <c r="AS65" s="15" t="e">
        <f t="shared" ca="1" si="38"/>
        <v>#VALUE!</v>
      </c>
      <c r="AT65" s="5">
        <f>'Exception Stores'!$D$2</f>
        <v>0.125</v>
      </c>
      <c r="AU65" s="15" t="e">
        <f t="shared" ca="1" si="39"/>
        <v>#VALUE!</v>
      </c>
      <c r="AV65" s="15" t="e">
        <f t="shared" ca="1" si="40"/>
        <v>#VALUE!</v>
      </c>
      <c r="AW65" s="15" t="e">
        <f t="shared" ca="1" si="41"/>
        <v>#VALUE!</v>
      </c>
      <c r="AX65" s="15" t="e">
        <f t="shared" ca="1" si="42"/>
        <v>#VALUE!</v>
      </c>
      <c r="AY65" s="15" t="e">
        <f t="shared" ca="1" si="43"/>
        <v>#VALUE!</v>
      </c>
      <c r="AZ65" s="1" t="e">
        <f t="shared" ca="1" si="44"/>
        <v>#VALUE!</v>
      </c>
      <c r="BA65" s="15" t="e">
        <f t="shared" ca="1" si="45"/>
        <v>#VALUE!</v>
      </c>
      <c r="BB65" s="15" t="e">
        <f t="shared" ca="1" si="46"/>
        <v>#VALUE!</v>
      </c>
      <c r="BC65" s="1" t="e">
        <f t="shared" ca="1" si="47"/>
        <v>#VALUE!</v>
      </c>
      <c r="BE65" s="15" t="str">
        <f>IF(ISBLANK('Exception Stores'!$A$6),"",'Exception Stores'!$A$6)</f>
        <v/>
      </c>
      <c r="BF65" s="15" t="str">
        <f>IF(ISBLANK('Exception Stores'!$B$6),"",'Exception Stores'!$B$6)</f>
        <v/>
      </c>
      <c r="BG65" s="1">
        <f>IF(ISBLANK('Exception Stores'!$A$6),0,IF($AN$2&gt;$BF$2,($AN$2-$BF$2)*24,0))</f>
        <v>0</v>
      </c>
      <c r="BH65" s="11">
        <f>IF(ISBLANK('Exception Stores'!$A$6),0,($BF$2-$BE$2)*24)</f>
        <v>0</v>
      </c>
      <c r="BI6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65" s="1">
        <f>IF(ISBLANK('Exception Stores'!$A$6),0,IF($AN$2&gt;$BF$2,0,IF(AND($AN$2&lt;$BF$2,$BT$2="B"),(($BF$2-$AN$2)*24)-$BS$2,($BF$2-$AN$2)*24)))</f>
        <v>0</v>
      </c>
      <c r="BL65" s="5"/>
      <c r="BM65" s="5"/>
      <c r="BN65" s="5"/>
      <c r="BO65" s="5"/>
      <c r="BP65" s="5"/>
      <c r="BV65" s="1" t="e">
        <f t="shared" ca="1" si="48"/>
        <v>#VALUE!</v>
      </c>
      <c r="BW65" s="1" t="e">
        <f t="shared" ca="1" si="49"/>
        <v>#VALUE!</v>
      </c>
      <c r="BX65" s="1" t="e">
        <f t="shared" ca="1" si="50"/>
        <v>#VALUE!</v>
      </c>
      <c r="BY65" s="1" t="e">
        <f t="shared" ca="1" si="51"/>
        <v>#VALUE!</v>
      </c>
      <c r="BZ65" s="1" t="e">
        <f t="shared" ca="1" si="52"/>
        <v>#VALUE!</v>
      </c>
      <c r="CB65" s="1" t="str">
        <f>IF(ISBLANK('Exception Stores'!$A$6),"",WEEKDAY($BF$2))</f>
        <v/>
      </c>
      <c r="CC65" s="1" t="str">
        <f>IF(ISBLANK('Exception Stores'!$A$6),"NO",IF('Exception Stores'!$A$6&lt;$AU$2,"YES","NO"))</f>
        <v>NO</v>
      </c>
      <c r="CD65" s="1" t="str">
        <f>IF(ISBLANK('Exception Stores'!$A$6),"NO",IF('Exception Stores'!$A$6&lt;$AV$2,"YES","NO"))</f>
        <v>NO</v>
      </c>
      <c r="CE65" s="1" t="str">
        <f>IF(ISBLANK('Exception Stores'!$A$6),"NO",IF('Exception Stores'!$A$6&lt;$AW$2,"YES","NO"))</f>
        <v>NO</v>
      </c>
      <c r="CF65" s="1" t="str">
        <f>IF(ISBLANK('Exception Stores'!$A$6),"NO",IF('Exception Stores'!$A$6&lt;$AX$2,"YES","NO"))</f>
        <v>NO</v>
      </c>
      <c r="CG65" s="1" t="str">
        <f>IF(ISBLANK('Exception Stores'!$A$6),"NO",IF('Exception Stores'!$A$6&lt;$AY$2,"YES","NO"))</f>
        <v>NO</v>
      </c>
      <c r="CI65" s="42" t="str">
        <f>IF(ISBLANK('Exception Stores'!$B$6),"NO",IF('Exception Stores'!$B$6&lt;=$AU$2,"YES","NO"))</f>
        <v>NO</v>
      </c>
      <c r="CJ65" s="42" t="str">
        <f>IF(ISBLANK('Exception Stores'!$B$6),"NO",IF('Exception Stores'!$B$6&lt;=$AV$2,"YES","NO"))</f>
        <v>NO</v>
      </c>
      <c r="CK65" s="1" t="str">
        <f>IF(ISBLANK('Exception Stores'!$B$6),"NO",IF('Exception Stores'!$B$6&lt;=$AW$2,"YES","NO"))</f>
        <v>NO</v>
      </c>
      <c r="CL65" s="1" t="str">
        <f>IF(ISBLANK('Exception Stores'!$B$6),"NO",IF('Exception Stores'!$B$6&lt;=$AX$2,"YES","NO"))</f>
        <v>NO</v>
      </c>
      <c r="CM65" s="1" t="str">
        <f>IF(ISBLANK('Exception Stores'!$B$6),"NO",IF('Exception Stores'!$B$6&lt;=$AY$2,"YES","NO"))</f>
        <v>NO</v>
      </c>
      <c r="CO65" s="1" t="e">
        <f ca="1">IF(AM65&lt;'Exception Stores'!$A$6,"YES","NO")</f>
        <v>#VALUE!</v>
      </c>
      <c r="CP65" s="1">
        <f t="shared" si="53"/>
        <v>0</v>
      </c>
      <c r="CQ65" s="1">
        <f t="shared" si="54"/>
        <v>0</v>
      </c>
      <c r="CR65" s="1">
        <f t="shared" si="55"/>
        <v>0</v>
      </c>
      <c r="CS65" s="1">
        <f t="shared" si="56"/>
        <v>0</v>
      </c>
      <c r="CT65" s="1">
        <f t="shared" si="57"/>
        <v>0</v>
      </c>
      <c r="CU65" s="1">
        <f t="shared" si="58"/>
        <v>0</v>
      </c>
      <c r="CW65" s="1" t="e">
        <f t="shared" ca="1" si="64"/>
        <v>#VALUE!</v>
      </c>
      <c r="CX65" s="1" t="e">
        <f t="shared" ca="1" si="65"/>
        <v>#VALUE!</v>
      </c>
      <c r="CY65" s="1" t="e">
        <f t="shared" ca="1" si="66"/>
        <v>#VALUE!</v>
      </c>
      <c r="CZ65" s="1" t="e">
        <f t="shared" ca="1" si="67"/>
        <v>#VALUE!</v>
      </c>
      <c r="DA65" s="1" t="e">
        <f t="shared" ca="1" si="68"/>
        <v>#VALUE!</v>
      </c>
      <c r="DB65" s="26" t="e">
        <f t="shared" ca="1" si="60"/>
        <v>#VALUE!</v>
      </c>
      <c r="DC65" s="1">
        <f t="shared" si="69"/>
        <v>0</v>
      </c>
      <c r="DD65" s="1">
        <f t="shared" si="70"/>
        <v>0</v>
      </c>
      <c r="DE65" s="1">
        <f t="shared" si="71"/>
        <v>0</v>
      </c>
      <c r="DF65" s="1">
        <f t="shared" si="72"/>
        <v>0</v>
      </c>
      <c r="DG65" s="1">
        <f t="shared" si="73"/>
        <v>0</v>
      </c>
      <c r="DH65" s="26">
        <f t="shared" si="61"/>
        <v>0</v>
      </c>
      <c r="DI65" s="1" t="e">
        <f t="shared" ca="1" si="62"/>
        <v>#VALUE!</v>
      </c>
      <c r="DK65" s="11" t="str">
        <f t="shared" si="74"/>
        <v/>
      </c>
      <c r="DL65" s="11" t="e">
        <f ca="1">IF(AND(NOT(ISBLANK('Exception Stores'!$A$6)),CO65="YES"),S65-$BH$2-(DI65*$BS$2)-(CU65*$BS$2),S65-(DB65*$BS$2))</f>
        <v>#VALUE!</v>
      </c>
      <c r="DM65" s="11" t="str">
        <f>IF(ISBLANK(A65),"",IF(COUNTIF(Remaps!$A$2:$A$200,B65)&gt;0,"YES",""))</f>
        <v>YES</v>
      </c>
      <c r="DN65" s="29">
        <f>IFERROR(INDEX(Remaps!$B$2:$B$200,MATCH(B65,Remaps!$A$2:$A$200,0),1),0)</f>
        <v>0</v>
      </c>
      <c r="DO65" s="11" t="e">
        <f t="shared" ca="1" si="75"/>
        <v>#VALUE!</v>
      </c>
      <c r="DP65" s="29" t="e">
        <f t="shared" si="76"/>
        <v>#VALUE!</v>
      </c>
      <c r="DQ65" s="11" t="e">
        <f ca="1">('Apollo Dock Status'!$Z$1-DP65)/DO65</f>
        <v>#VALUE!</v>
      </c>
      <c r="DR65" s="15" t="e">
        <f t="shared" ca="1" si="63"/>
        <v>#VALUE!</v>
      </c>
    </row>
    <row r="66" spans="1:122">
      <c r="A66" s="1" t="str">
        <f>IF(ISBLANK('Apollo Dock Status'!A66),"",'Apollo Dock Status'!A66)</f>
        <v/>
      </c>
      <c r="B66" s="1" t="str">
        <f>IF(ISBLANK('Apollo Dock Status'!B66),"",'Apollo Dock Status'!B66)</f>
        <v/>
      </c>
      <c r="C66" s="1" t="str">
        <f>IF(ISBLANK('Apollo Dock Status'!C66),"",'Apollo Dock Status'!C66)</f>
        <v/>
      </c>
      <c r="D66" s="1" t="str">
        <f>IF(ISBLANK('Apollo Dock Status'!D66),"",'Apollo Dock Status'!D66)</f>
        <v/>
      </c>
      <c r="E66" s="1" t="str">
        <f>IF(ISBLANK('Apollo Dock Status'!E66),"",'Apollo Dock Status'!E66)</f>
        <v/>
      </c>
      <c r="F66" s="1" t="str">
        <f>IF(ISBLANK('Apollo Dock Status'!F66),"",'Apollo Dock Status'!F66)</f>
        <v/>
      </c>
      <c r="G66" s="1" t="str">
        <f>IF(ISBLANK('Apollo Dock Status'!G66),"",'Apollo Dock Status'!G66)</f>
        <v/>
      </c>
      <c r="H66" s="1" t="str">
        <f>IF(ISBLANK('Apollo Dock Status'!H66),"",'Apollo Dock Status'!H66)</f>
        <v/>
      </c>
      <c r="I66" s="1" t="str">
        <f>IF(ISBLANK('Apollo Dock Status'!I66),"",'Apollo Dock Status'!I66)</f>
        <v/>
      </c>
      <c r="J66" s="1" t="str">
        <f>IF(ISBLANK('Apollo Dock Status'!J66),"",'Apollo Dock Status'!J66)</f>
        <v/>
      </c>
      <c r="K66" s="1" t="str">
        <f>IF(ISBLANK('Apollo Dock Status'!K66),"",'Apollo Dock Status'!K66)</f>
        <v/>
      </c>
      <c r="L66" s="1" t="str">
        <f>IF(ISBLANK('Apollo Dock Status'!L66),"",'Apollo Dock Status'!L66)</f>
        <v/>
      </c>
      <c r="M66" s="1" t="str">
        <f>IF(ISBLANK('Apollo Dock Status'!M66),"",'Apollo Dock Status'!M66)</f>
        <v/>
      </c>
      <c r="N66" s="1" t="str">
        <f>IF(ISBLANK('Apollo Dock Status'!N66),"",'Apollo Dock Status'!N66)</f>
        <v/>
      </c>
      <c r="O66" s="1" t="str">
        <f t="shared" si="12"/>
        <v/>
      </c>
      <c r="P66" s="1" t="str">
        <f t="shared" si="13"/>
        <v/>
      </c>
      <c r="Q66" s="1" t="str">
        <f t="shared" si="14"/>
        <v/>
      </c>
      <c r="R66" s="1" t="str">
        <f t="shared" si="15"/>
        <v/>
      </c>
      <c r="S66" s="11" t="str">
        <f t="shared" si="16"/>
        <v/>
      </c>
      <c r="T66" s="1" t="str">
        <f t="shared" si="17"/>
        <v/>
      </c>
      <c r="U66" s="11" t="str">
        <f t="shared" si="18"/>
        <v/>
      </c>
      <c r="V66" s="11" t="str">
        <f t="shared" si="19"/>
        <v/>
      </c>
      <c r="X66" s="1" t="str">
        <f t="shared" si="20"/>
        <v/>
      </c>
      <c r="Y66" s="1" t="str">
        <f t="shared" si="21"/>
        <v/>
      </c>
      <c r="Z66" s="1" t="str">
        <f t="shared" si="22"/>
        <v/>
      </c>
      <c r="AB66" s="13">
        <f t="shared" ca="1" si="23"/>
        <v>46176</v>
      </c>
      <c r="AC66" s="1">
        <f t="shared" ca="1" si="24"/>
        <v>2026</v>
      </c>
      <c r="AD66" s="1" t="str">
        <f t="shared" ca="1" si="25"/>
        <v>6</v>
      </c>
      <c r="AE66" s="1">
        <f t="shared" si="26"/>
        <v>1</v>
      </c>
      <c r="AF66" s="1" t="str">
        <f t="shared" si="27"/>
        <v/>
      </c>
      <c r="AG66" s="1">
        <f t="shared" ca="1" si="28"/>
        <v>2026</v>
      </c>
      <c r="AH66" s="1">
        <f t="shared" si="29"/>
        <v>1</v>
      </c>
      <c r="AI66" s="1" t="str">
        <f t="shared" ca="1" si="30"/>
        <v>6</v>
      </c>
      <c r="AJ66" s="13" t="e">
        <f t="shared" ca="1" si="31"/>
        <v>#VALUE!</v>
      </c>
      <c r="AK66" s="1" t="e">
        <f>IF(ISBLANK(A66),"",IFERROR(MID(F66,SEARCH(", ",F66)+LEN(", "),SEARCH(" "&amp;'Exception Stores'!$A$2,F66)-SEARCH(", ",F66)-LEN(", ")),MID(F66,SEARCH(", ",F66)+LEN(", "),SEARCH(" "&amp;'Exception Stores'!$B$2,F66)-SEARCH(", ",F66)-LEN(", "))))</f>
        <v>#VALUE!</v>
      </c>
      <c r="AL66" s="1" t="e">
        <f t="shared" si="32"/>
        <v>#VALUE!</v>
      </c>
      <c r="AM66" s="15" t="e">
        <f t="shared" ca="1" si="33"/>
        <v>#VALUE!</v>
      </c>
      <c r="AN66" s="24" t="e">
        <f t="shared" ca="1" si="34"/>
        <v>#VALUE!</v>
      </c>
      <c r="AO66" s="1" t="e">
        <f t="shared" ca="1" si="35"/>
        <v>#VALUE!</v>
      </c>
      <c r="AP66" s="13" t="e">
        <f t="shared" ca="1" si="36"/>
        <v>#VALUE!</v>
      </c>
      <c r="AQ66" s="17" t="e">
        <f t="shared" ca="1" si="37"/>
        <v>#VALUE!</v>
      </c>
      <c r="AS66" s="15" t="e">
        <f t="shared" ca="1" si="38"/>
        <v>#VALUE!</v>
      </c>
      <c r="AT66" s="5">
        <f>'Exception Stores'!$D$2</f>
        <v>0.125</v>
      </c>
      <c r="AU66" s="15" t="e">
        <f t="shared" ca="1" si="39"/>
        <v>#VALUE!</v>
      </c>
      <c r="AV66" s="15" t="e">
        <f t="shared" ca="1" si="40"/>
        <v>#VALUE!</v>
      </c>
      <c r="AW66" s="15" t="e">
        <f t="shared" ca="1" si="41"/>
        <v>#VALUE!</v>
      </c>
      <c r="AX66" s="15" t="e">
        <f t="shared" ca="1" si="42"/>
        <v>#VALUE!</v>
      </c>
      <c r="AY66" s="15" t="e">
        <f t="shared" ca="1" si="43"/>
        <v>#VALUE!</v>
      </c>
      <c r="AZ66" s="1" t="e">
        <f t="shared" ca="1" si="44"/>
        <v>#VALUE!</v>
      </c>
      <c r="BA66" s="15" t="e">
        <f t="shared" ca="1" si="45"/>
        <v>#VALUE!</v>
      </c>
      <c r="BB66" s="15" t="e">
        <f t="shared" ca="1" si="46"/>
        <v>#VALUE!</v>
      </c>
      <c r="BC66" s="1" t="e">
        <f t="shared" ca="1" si="47"/>
        <v>#VALUE!</v>
      </c>
      <c r="BE66" s="15" t="str">
        <f>IF(ISBLANK('Exception Stores'!$A$6),"",'Exception Stores'!$A$6)</f>
        <v/>
      </c>
      <c r="BF66" s="15" t="str">
        <f>IF(ISBLANK('Exception Stores'!$B$6),"",'Exception Stores'!$B$6)</f>
        <v/>
      </c>
      <c r="BG66" s="1">
        <f>IF(ISBLANK('Exception Stores'!$A$6),0,IF($AN$2&gt;$BF$2,($AN$2-$BF$2)*24,0))</f>
        <v>0</v>
      </c>
      <c r="BH66" s="11">
        <f>IF(ISBLANK('Exception Stores'!$A$6),0,($BF$2-$BE$2)*24)</f>
        <v>0</v>
      </c>
      <c r="BI6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66" s="1">
        <f>IF(ISBLANK('Exception Stores'!$A$6),0,IF($AN$2&gt;$BF$2,0,IF(AND($AN$2&lt;$BF$2,$BT$2="B"),(($BF$2-$AN$2)*24)-$BS$2,($BF$2-$AN$2)*24)))</f>
        <v>0</v>
      </c>
      <c r="BL66" s="5"/>
      <c r="BM66" s="5"/>
      <c r="BN66" s="5"/>
      <c r="BO66" s="5"/>
      <c r="BP66" s="5"/>
      <c r="BV66" s="1" t="e">
        <f t="shared" ca="1" si="48"/>
        <v>#VALUE!</v>
      </c>
      <c r="BW66" s="1" t="e">
        <f t="shared" ca="1" si="49"/>
        <v>#VALUE!</v>
      </c>
      <c r="BX66" s="1" t="e">
        <f t="shared" ca="1" si="50"/>
        <v>#VALUE!</v>
      </c>
      <c r="BY66" s="1" t="e">
        <f t="shared" ca="1" si="51"/>
        <v>#VALUE!</v>
      </c>
      <c r="BZ66" s="1" t="e">
        <f t="shared" ca="1" si="52"/>
        <v>#VALUE!</v>
      </c>
      <c r="CB66" s="1" t="str">
        <f>IF(ISBLANK('Exception Stores'!$A$6),"",WEEKDAY($BF$2))</f>
        <v/>
      </c>
      <c r="CC66" s="1" t="str">
        <f>IF(ISBLANK('Exception Stores'!$A$6),"NO",IF('Exception Stores'!$A$6&lt;$AU$2,"YES","NO"))</f>
        <v>NO</v>
      </c>
      <c r="CD66" s="1" t="str">
        <f>IF(ISBLANK('Exception Stores'!$A$6),"NO",IF('Exception Stores'!$A$6&lt;$AV$2,"YES","NO"))</f>
        <v>NO</v>
      </c>
      <c r="CE66" s="1" t="str">
        <f>IF(ISBLANK('Exception Stores'!$A$6),"NO",IF('Exception Stores'!$A$6&lt;$AW$2,"YES","NO"))</f>
        <v>NO</v>
      </c>
      <c r="CF66" s="1" t="str">
        <f>IF(ISBLANK('Exception Stores'!$A$6),"NO",IF('Exception Stores'!$A$6&lt;$AX$2,"YES","NO"))</f>
        <v>NO</v>
      </c>
      <c r="CG66" s="1" t="str">
        <f>IF(ISBLANK('Exception Stores'!$A$6),"NO",IF('Exception Stores'!$A$6&lt;$AY$2,"YES","NO"))</f>
        <v>NO</v>
      </c>
      <c r="CI66" s="42" t="str">
        <f>IF(ISBLANK('Exception Stores'!$B$6),"NO",IF('Exception Stores'!$B$6&lt;=$AU$2,"YES","NO"))</f>
        <v>NO</v>
      </c>
      <c r="CJ66" s="42" t="str">
        <f>IF(ISBLANK('Exception Stores'!$B$6),"NO",IF('Exception Stores'!$B$6&lt;=$AV$2,"YES","NO"))</f>
        <v>NO</v>
      </c>
      <c r="CK66" s="1" t="str">
        <f>IF(ISBLANK('Exception Stores'!$B$6),"NO",IF('Exception Stores'!$B$6&lt;=$AW$2,"YES","NO"))</f>
        <v>NO</v>
      </c>
      <c r="CL66" s="1" t="str">
        <f>IF(ISBLANK('Exception Stores'!$B$6),"NO",IF('Exception Stores'!$B$6&lt;=$AX$2,"YES","NO"))</f>
        <v>NO</v>
      </c>
      <c r="CM66" s="1" t="str">
        <f>IF(ISBLANK('Exception Stores'!$B$6),"NO",IF('Exception Stores'!$B$6&lt;=$AY$2,"YES","NO"))</f>
        <v>NO</v>
      </c>
      <c r="CO66" s="1" t="e">
        <f ca="1">IF(AM66&lt;'Exception Stores'!$A$6,"YES","NO")</f>
        <v>#VALUE!</v>
      </c>
      <c r="CP66" s="1">
        <f t="shared" si="53"/>
        <v>0</v>
      </c>
      <c r="CQ66" s="1">
        <f t="shared" si="54"/>
        <v>0</v>
      </c>
      <c r="CR66" s="1">
        <f t="shared" si="55"/>
        <v>0</v>
      </c>
      <c r="CS66" s="1">
        <f t="shared" si="56"/>
        <v>0</v>
      </c>
      <c r="CT66" s="1">
        <f t="shared" si="57"/>
        <v>0</v>
      </c>
      <c r="CU66" s="1">
        <f t="shared" si="58"/>
        <v>0</v>
      </c>
      <c r="CW66" s="1" t="e">
        <f t="shared" ref="CW66:CW97" ca="1" si="77">IF(BV66="NO",0,1)</f>
        <v>#VALUE!</v>
      </c>
      <c r="CX66" s="1" t="e">
        <f t="shared" ref="CX66:CX97" ca="1" si="78">IF(BW66="NO",0,1)</f>
        <v>#VALUE!</v>
      </c>
      <c r="CY66" s="1" t="e">
        <f t="shared" ref="CY66:CY97" ca="1" si="79">IF(BX66="NO",0,1)</f>
        <v>#VALUE!</v>
      </c>
      <c r="CZ66" s="1" t="e">
        <f t="shared" ref="CZ66:CZ97" ca="1" si="80">IF(BY66="NO",0,1)</f>
        <v>#VALUE!</v>
      </c>
      <c r="DA66" s="1" t="e">
        <f t="shared" ref="DA66:DA97" ca="1" si="81">IF(BZ66="NO",0,1)</f>
        <v>#VALUE!</v>
      </c>
      <c r="DB66" s="26" t="e">
        <f t="shared" ca="1" si="60"/>
        <v>#VALUE!</v>
      </c>
      <c r="DC66" s="1">
        <f t="shared" ref="DC66:DC97" si="82">IF(CC66="NO",0,1)</f>
        <v>0</v>
      </c>
      <c r="DD66" s="1">
        <f t="shared" ref="DD66:DD97" si="83">IF(CD66="NO",0,1)</f>
        <v>0</v>
      </c>
      <c r="DE66" s="1">
        <f t="shared" ref="DE66:DE97" si="84">IF(CE66="NO",0,1)</f>
        <v>0</v>
      </c>
      <c r="DF66" s="1">
        <f t="shared" ref="DF66:DF97" si="85">IF(CF66="NO",0,1)</f>
        <v>0</v>
      </c>
      <c r="DG66" s="1">
        <f t="shared" ref="DG66:DG97" si="86">IF(CG66="NO",0,1)</f>
        <v>0</v>
      </c>
      <c r="DH66" s="26">
        <f t="shared" si="61"/>
        <v>0</v>
      </c>
      <c r="DI66" s="1" t="e">
        <f t="shared" ca="1" si="62"/>
        <v>#VALUE!</v>
      </c>
      <c r="DK66" s="11" t="str">
        <f t="shared" ref="DK66:DK97" si="87">S66</f>
        <v/>
      </c>
      <c r="DL66" s="11" t="e">
        <f ca="1">IF(AND(NOT(ISBLANK('Exception Stores'!$A$6)),CO66="YES"),S66-$BH$2-(DI66*$BS$2)-(CU66*$BS$2),S66-(DB66*$BS$2))</f>
        <v>#VALUE!</v>
      </c>
      <c r="DM66" s="11" t="str">
        <f>IF(ISBLANK(A66),"",IF(COUNTIF(Remaps!$A$2:$A$200,B66)&gt;0,"YES",""))</f>
        <v>YES</v>
      </c>
      <c r="DN66" s="29">
        <f>IFERROR(INDEX(Remaps!$B$2:$B$200,MATCH(B66,Remaps!$A$2:$A$200,0),1),0)</f>
        <v>0</v>
      </c>
      <c r="DO66" s="11" t="e">
        <f t="shared" ref="DO66:DO97" ca="1" si="88">K66/DL66</f>
        <v>#VALUE!</v>
      </c>
      <c r="DP66" s="29" t="e">
        <f t="shared" ref="DP66:DP97" si="89">DN66+K66</f>
        <v>#VALUE!</v>
      </c>
      <c r="DQ66" s="11" t="e">
        <f ca="1">('Apollo Dock Status'!$Z$1-DP66)/DO66</f>
        <v>#VALUE!</v>
      </c>
      <c r="DR66" s="15" t="e">
        <f t="shared" ca="1" si="63"/>
        <v>#VALUE!</v>
      </c>
    </row>
    <row r="67" spans="1:122">
      <c r="A67" s="1" t="str">
        <f>IF(ISBLANK('Apollo Dock Status'!A67),"",'Apollo Dock Status'!A67)</f>
        <v/>
      </c>
      <c r="B67" s="1" t="str">
        <f>IF(ISBLANK('Apollo Dock Status'!B67),"",'Apollo Dock Status'!B67)</f>
        <v/>
      </c>
      <c r="C67" s="1" t="str">
        <f>IF(ISBLANK('Apollo Dock Status'!C67),"",'Apollo Dock Status'!C67)</f>
        <v/>
      </c>
      <c r="D67" s="1" t="str">
        <f>IF(ISBLANK('Apollo Dock Status'!D67),"",'Apollo Dock Status'!D67)</f>
        <v/>
      </c>
      <c r="E67" s="1" t="str">
        <f>IF(ISBLANK('Apollo Dock Status'!E67),"",'Apollo Dock Status'!E67)</f>
        <v/>
      </c>
      <c r="F67" s="1" t="str">
        <f>IF(ISBLANK('Apollo Dock Status'!F67),"",'Apollo Dock Status'!F67)</f>
        <v/>
      </c>
      <c r="G67" s="1" t="str">
        <f>IF(ISBLANK('Apollo Dock Status'!G67),"",'Apollo Dock Status'!G67)</f>
        <v/>
      </c>
      <c r="H67" s="1" t="str">
        <f>IF(ISBLANK('Apollo Dock Status'!H67),"",'Apollo Dock Status'!H67)</f>
        <v/>
      </c>
      <c r="I67" s="1" t="str">
        <f>IF(ISBLANK('Apollo Dock Status'!I67),"",'Apollo Dock Status'!I67)</f>
        <v/>
      </c>
      <c r="J67" s="1" t="str">
        <f>IF(ISBLANK('Apollo Dock Status'!J67),"",'Apollo Dock Status'!J67)</f>
        <v/>
      </c>
      <c r="K67" s="1" t="str">
        <f>IF(ISBLANK('Apollo Dock Status'!K67),"",'Apollo Dock Status'!K67)</f>
        <v/>
      </c>
      <c r="L67" s="1" t="str">
        <f>IF(ISBLANK('Apollo Dock Status'!L67),"",'Apollo Dock Status'!L67)</f>
        <v/>
      </c>
      <c r="M67" s="1" t="str">
        <f>IF(ISBLANK('Apollo Dock Status'!M67),"",'Apollo Dock Status'!M67)</f>
        <v/>
      </c>
      <c r="N67" s="1" t="str">
        <f>IF(ISBLANK('Apollo Dock Status'!N67),"",'Apollo Dock Status'!N67)</f>
        <v/>
      </c>
      <c r="O67" s="1" t="str">
        <f t="shared" ref="O67:O130" si="90">IF(ISBLANK(A67),"",G67)</f>
        <v/>
      </c>
      <c r="P67" s="1" t="str">
        <f t="shared" ref="P67:P130" si="91">IFERROR(LEFT(O67,(FIND(" hr",O67, 1)-1)),"")</f>
        <v/>
      </c>
      <c r="Q67" s="1" t="str">
        <f t="shared" ref="Q67:Q130" si="92">RIGHT(O67, 6)</f>
        <v/>
      </c>
      <c r="R67" s="1" t="str">
        <f t="shared" ref="R67:R130" si="93">LEFT(Q67, 2)</f>
        <v/>
      </c>
      <c r="S67" s="11" t="str">
        <f t="shared" ref="S67:S130" si="94">IFERROR(P67+R67/60,"")</f>
        <v/>
      </c>
      <c r="T67" s="1" t="str">
        <f t="shared" ref="T67:T130" si="95">IF(ISBLANK(A67),"",K67)</f>
        <v/>
      </c>
      <c r="U67" s="11" t="str">
        <f t="shared" ref="U67:U130" si="96">IFERROR(T67/S67,"")</f>
        <v/>
      </c>
      <c r="V67" s="11" t="str">
        <f t="shared" ref="V67:V130" si="97">IFERROR(I67/S67,"")</f>
        <v/>
      </c>
      <c r="X67" s="1" t="str">
        <f t="shared" ref="X67:X130" si="98">IF(ISBLANK(A67),"",B67)</f>
        <v/>
      </c>
      <c r="Y67" s="1" t="str">
        <f t="shared" ref="Y67:Y130" si="99">IF(ISBLANK(A67),"",C67)</f>
        <v/>
      </c>
      <c r="Z67" s="1" t="str">
        <f t="shared" ref="Z67:Z130" si="100">IF(ISBLANK(A67),"",RIGHT(A67,3))</f>
        <v/>
      </c>
      <c r="AB67" s="13">
        <f t="shared" ref="AB67:AB130" ca="1" si="101">IF(ISBLANK(A67),"",TODAY())</f>
        <v>46176</v>
      </c>
      <c r="AC67" s="1">
        <f t="shared" ref="AC67:AC130" ca="1" si="102">IF(ISBLANK(A67),"",YEAR($AB$2))</f>
        <v>2026</v>
      </c>
      <c r="AD67" s="1" t="str">
        <f t="shared" ref="AD67:AD130" ca="1" si="103">TEXT(AB67,"m")</f>
        <v>6</v>
      </c>
      <c r="AE67" s="1">
        <f t="shared" ref="AE67:AE130" si="104">IF(ISBLANK(A67),"",MONTH(1&amp;LEFT(F67,3)))</f>
        <v>1</v>
      </c>
      <c r="AF67" s="1" t="str">
        <f t="shared" ref="AF67:AF130" si="105">IF(ISBLANK(A67),"",MID(F67,5,2))</f>
        <v/>
      </c>
      <c r="AG67" s="1">
        <f t="shared" ref="AG67:AG130" ca="1" si="106">IF(ISBLANK(A67),"",IF(AND(VALUE($AI67)=1,VALUE($AH67)=12),$AC67-1,$AC67))</f>
        <v>2026</v>
      </c>
      <c r="AH67" s="1">
        <f t="shared" ref="AH67:AH130" si="107">AE67</f>
        <v>1</v>
      </c>
      <c r="AI67" s="1" t="str">
        <f t="shared" ref="AI67:AI130" ca="1" si="108">AD67</f>
        <v>6</v>
      </c>
      <c r="AJ67" s="13" t="e">
        <f t="shared" ref="AJ67:AJ130" ca="1" si="109">IF(ISBLANK(A67),"",DATE(AG67,AE67,AF67))</f>
        <v>#VALUE!</v>
      </c>
      <c r="AK67" s="1" t="e">
        <f>IF(ISBLANK(A67),"",IFERROR(MID(F67,SEARCH(", ",F67)+LEN(", "),SEARCH(" "&amp;'Exception Stores'!$A$2,F67)-SEARCH(", ",F67)-LEN(", ")),MID(F67,SEARCH(", ",F67)+LEN(", "),SEARCH(" "&amp;'Exception Stores'!$B$2,F67)-SEARCH(", ",F67)-LEN(", "))))</f>
        <v>#VALUE!</v>
      </c>
      <c r="AL67" s="1" t="e">
        <f t="shared" ref="AL67:AL130" si="110">IF(ISBLANK(A67),"",TEXT(AK67,"[hh]:mm"))</f>
        <v>#VALUE!</v>
      </c>
      <c r="AM67" s="15" t="e">
        <f t="shared" ref="AM67:AM130" ca="1" si="111">IF(ISBLANK(A67),"",AJ67+AL67)</f>
        <v>#VALUE!</v>
      </c>
      <c r="AN67" s="24" t="e">
        <f t="shared" ref="AN67:AN130" ca="1" si="112">IF(ISBLANK(A67),"",AM67+S67/24)</f>
        <v>#VALUE!</v>
      </c>
      <c r="AO67" s="1" t="e">
        <f t="shared" ref="AO67:AO130" ca="1" si="113">IF(ISBLANK(A67),"",WEEKDAY($AN$2))</f>
        <v>#VALUE!</v>
      </c>
      <c r="AP67" s="13" t="e">
        <f t="shared" ref="AP67:AP130" ca="1" si="114">IF(ISBLANK(A67),"",INT($AN$2))</f>
        <v>#VALUE!</v>
      </c>
      <c r="AQ67" s="17" t="e">
        <f t="shared" ref="AQ67:AQ130" ca="1" si="115">IF(ISBLANK(A67),"",$AN$2-INT($AN$2))</f>
        <v>#VALUE!</v>
      </c>
      <c r="AS67" s="15" t="e">
        <f t="shared" ref="AS67:AS130" ca="1" si="116">IF(ISBLANK(A67),"",AM67)</f>
        <v>#VALUE!</v>
      </c>
      <c r="AT67" s="5">
        <f>'Exception Stores'!$D$2</f>
        <v>0.125</v>
      </c>
      <c r="AU67" s="15" t="e">
        <f t="shared" ref="AU67:AU130" ca="1" si="117">IF($AZ$2=1,$BA$2-4,IF($AZ$2=2,$BA$2-5,IF($AZ$2=3,$BA$2-6,$BA$2-7)))</f>
        <v>#VALUE!</v>
      </c>
      <c r="AV67" s="15" t="e">
        <f t="shared" ref="AV67:AV130" ca="1" si="118">IF(OR($AZ$2=1,$AZ$2=7),$BA$2-3,IF($AZ$2=2,$BA$2-4,IF($AZ$2=3,$BA$2-5,$BA$2-6)))</f>
        <v>#VALUE!</v>
      </c>
      <c r="AW67" s="15" t="e">
        <f t="shared" ref="AW67:AW130" ca="1" si="119">IF(OR($AZ$2=4,$AZ$2=5),$BA$2-5,IF($AZ$2=3,$BA$2-4,IF($AZ$2=2,$BA$2-3,$BA$2-2)))</f>
        <v>#VALUE!</v>
      </c>
      <c r="AX67" s="15" t="e">
        <f t="shared" ref="AX67:AX130" ca="1" si="120">IF($AZ$2=4,$BA$2-4,IF($AZ$2=3,$BA$2-3,IF($AZ$2=2,$BA$2-2,$BA$2-1)))</f>
        <v>#VALUE!</v>
      </c>
      <c r="AY67" s="15" t="e">
        <f t="shared" ref="AY67:AY130" ca="1" si="121">IF($AO$2=1,$AP$2-1+$AT$2,IF($AO$2=2,$AP$2-2+$AT$2,IF($AO$2=3,$AP$2-3+$AT$2,IF(AND($AQ$2&lt;$AT$2,$AO$2=4),$AP$2-4+$AT$2,IF(AND($AQ$2&lt;$AT$2,OR($AO$2=5,$AO$2=6,$AO$2=7)),$AP$2-1+$AT$2,$AP$2+$AT$2)))))</f>
        <v>#VALUE!</v>
      </c>
      <c r="AZ67" s="1" t="e">
        <f t="shared" ref="AZ67:AZ130" ca="1" si="122">WEEKDAY($BA$2)</f>
        <v>#VALUE!</v>
      </c>
      <c r="BA67" s="15" t="e">
        <f t="shared" ref="BA67:BA130" ca="1" si="123">IF($AO$2=1,$AP$2-1+$AT$2,IF($AO$2=2,$AP$2-2+$AT$2,IF($AO$2=3,$AP$2-3+$AT$2,IF(AND($AQ$2&lt;$AT$2,$AO$2=4),$AP$2-4+$AT$2,IF(AND($AQ$2&lt;$AT$2,OR($AO$2=5,$AO$2=6,$AO$2=7)),$AP$2-1+$AT$2,$AP$2+$AT$2)))))</f>
        <v>#VALUE!</v>
      </c>
      <c r="BB67" s="15" t="e">
        <f t="shared" ref="BB67:BB130" ca="1" si="124">IF(AND($AQ$2&lt;$AT$2,OR($AO$2=4,$AO$2=5,$AO$2=6,$AO$2=7)),$AP$2+$AT$2,IF(AND($AQ$2&gt;=$AT$2,OR($AO$2=3,$AO$2=4,$AO$2=5,$AO$2=6)),$AP$2+1+$AT$2,IF(AND($AO$2=7,$AQ$2&gt;=$AT$2),$AP$2+4+$AT$2,IF($AO$2=1,$AP$2+3+$AT$2,IF($AO$2=2,$AP$2+2+$AT$2,$AP$2+1+$AT$2)))))</f>
        <v>#VALUE!</v>
      </c>
      <c r="BC67" s="1" t="e">
        <f t="shared" ref="BC67:BC130" ca="1" si="125">IF(ISBLANK(A67),"",WEEKDAY(AM67))</f>
        <v>#VALUE!</v>
      </c>
      <c r="BE67" s="15" t="str">
        <f>IF(ISBLANK('Exception Stores'!$A$6),"",'Exception Stores'!$A$6)</f>
        <v/>
      </c>
      <c r="BF67" s="15" t="str">
        <f>IF(ISBLANK('Exception Stores'!$B$6),"",'Exception Stores'!$B$6)</f>
        <v/>
      </c>
      <c r="BG67" s="1">
        <f>IF(ISBLANK('Exception Stores'!$A$6),0,IF($AN$2&gt;$BF$2,($AN$2-$BF$2)*24,0))</f>
        <v>0</v>
      </c>
      <c r="BH67" s="11">
        <f>IF(ISBLANK('Exception Stores'!$A$6),0,($BF$2-$BE$2)*24)</f>
        <v>0</v>
      </c>
      <c r="BI6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67" s="1">
        <f>IF(ISBLANK('Exception Stores'!$A$6),0,IF($AN$2&gt;$BF$2,0,IF(AND($AN$2&lt;$BF$2,$BT$2="B"),(($BF$2-$AN$2)*24)-$BS$2,($BF$2-$AN$2)*24)))</f>
        <v>0</v>
      </c>
      <c r="BL67" s="5"/>
      <c r="BM67" s="5"/>
      <c r="BN67" s="5"/>
      <c r="BO67" s="5"/>
      <c r="BP67" s="5"/>
      <c r="BV67" s="1" t="e">
        <f t="shared" ref="BV67:BV130" ca="1" si="126">IF(ISBLANK(A67),"",IF(AM67&lt;$AU$2,"YES","NO"))</f>
        <v>#VALUE!</v>
      </c>
      <c r="BW67" s="1" t="e">
        <f t="shared" ref="BW67:BW130" ca="1" si="127">IF(ISBLANK(A67),"",IF(AM67&lt;$AV$2,"YES","NO"))</f>
        <v>#VALUE!</v>
      </c>
      <c r="BX67" s="1" t="e">
        <f t="shared" ref="BX67:BX130" ca="1" si="128">IF(ISBLANK(A67),"",IF(AM67&lt;$AW$2,"YES","NO"))</f>
        <v>#VALUE!</v>
      </c>
      <c r="BY67" s="1" t="e">
        <f t="shared" ref="BY67:BY130" ca="1" si="129">IF(ISBLANK(A67),"",IF(AM67&lt;$AX$2,"YES","NO"))</f>
        <v>#VALUE!</v>
      </c>
      <c r="BZ67" s="1" t="e">
        <f t="shared" ref="BZ67:BZ130" ca="1" si="130">IF(ISBLANK(A67),"",IF(AM67&lt;$BA$2,"YES","NO"))</f>
        <v>#VALUE!</v>
      </c>
      <c r="CB67" s="1" t="str">
        <f>IF(ISBLANK('Exception Stores'!$A$6),"",WEEKDAY($BF$2))</f>
        <v/>
      </c>
      <c r="CC67" s="1" t="str">
        <f>IF(ISBLANK('Exception Stores'!$A$6),"NO",IF('Exception Stores'!$A$6&lt;$AU$2,"YES","NO"))</f>
        <v>NO</v>
      </c>
      <c r="CD67" s="1" t="str">
        <f>IF(ISBLANK('Exception Stores'!$A$6),"NO",IF('Exception Stores'!$A$6&lt;$AV$2,"YES","NO"))</f>
        <v>NO</v>
      </c>
      <c r="CE67" s="1" t="str">
        <f>IF(ISBLANK('Exception Stores'!$A$6),"NO",IF('Exception Stores'!$A$6&lt;$AW$2,"YES","NO"))</f>
        <v>NO</v>
      </c>
      <c r="CF67" s="1" t="str">
        <f>IF(ISBLANK('Exception Stores'!$A$6),"NO",IF('Exception Stores'!$A$6&lt;$AX$2,"YES","NO"))</f>
        <v>NO</v>
      </c>
      <c r="CG67" s="1" t="str">
        <f>IF(ISBLANK('Exception Stores'!$A$6),"NO",IF('Exception Stores'!$A$6&lt;$AY$2,"YES","NO"))</f>
        <v>NO</v>
      </c>
      <c r="CI67" s="42" t="str">
        <f>IF(ISBLANK('Exception Stores'!$B$6),"NO",IF('Exception Stores'!$B$6&lt;=$AU$2,"YES","NO"))</f>
        <v>NO</v>
      </c>
      <c r="CJ67" s="42" t="str">
        <f>IF(ISBLANK('Exception Stores'!$B$6),"NO",IF('Exception Stores'!$B$6&lt;=$AV$2,"YES","NO"))</f>
        <v>NO</v>
      </c>
      <c r="CK67" s="1" t="str">
        <f>IF(ISBLANK('Exception Stores'!$B$6),"NO",IF('Exception Stores'!$B$6&lt;=$AW$2,"YES","NO"))</f>
        <v>NO</v>
      </c>
      <c r="CL67" s="1" t="str">
        <f>IF(ISBLANK('Exception Stores'!$B$6),"NO",IF('Exception Stores'!$B$6&lt;=$AX$2,"YES","NO"))</f>
        <v>NO</v>
      </c>
      <c r="CM67" s="1" t="str">
        <f>IF(ISBLANK('Exception Stores'!$B$6),"NO",IF('Exception Stores'!$B$6&lt;=$AY$2,"YES","NO"))</f>
        <v>NO</v>
      </c>
      <c r="CO67" s="1" t="e">
        <f ca="1">IF(AM67&lt;'Exception Stores'!$A$6,"YES","NO")</f>
        <v>#VALUE!</v>
      </c>
      <c r="CP67" s="1">
        <f t="shared" ref="CP67:CP130" si="131">IF(CI67="NO",0,1)</f>
        <v>0</v>
      </c>
      <c r="CQ67" s="1">
        <f t="shared" ref="CQ67:CQ130" si="132">IF(CJ67="NO",0,1)</f>
        <v>0</v>
      </c>
      <c r="CR67" s="1">
        <f t="shared" ref="CR67:CR130" si="133">IF(CK67="NO",0,1)</f>
        <v>0</v>
      </c>
      <c r="CS67" s="1">
        <f t="shared" ref="CS67:CS130" si="134">IF(CL67="NO",0,1)</f>
        <v>0</v>
      </c>
      <c r="CT67" s="1">
        <f t="shared" ref="CT67:CT130" si="135">IF(CM67="NO",0,1)</f>
        <v>0</v>
      </c>
      <c r="CU67" s="1">
        <f t="shared" ref="CU67:CU130" si="136">SUM(CP67:CT67)</f>
        <v>0</v>
      </c>
      <c r="CW67" s="1" t="e">
        <f t="shared" ca="1" si="77"/>
        <v>#VALUE!</v>
      </c>
      <c r="CX67" s="1" t="e">
        <f t="shared" ca="1" si="78"/>
        <v>#VALUE!</v>
      </c>
      <c r="CY67" s="1" t="e">
        <f t="shared" ca="1" si="79"/>
        <v>#VALUE!</v>
      </c>
      <c r="CZ67" s="1" t="e">
        <f t="shared" ca="1" si="80"/>
        <v>#VALUE!</v>
      </c>
      <c r="DA67" s="1" t="e">
        <f t="shared" ca="1" si="81"/>
        <v>#VALUE!</v>
      </c>
      <c r="DB67" s="26" t="e">
        <f t="shared" ref="DB67:DB130" ca="1" si="137">SUM(CW67:DA67)</f>
        <v>#VALUE!</v>
      </c>
      <c r="DC67" s="1">
        <f t="shared" si="82"/>
        <v>0</v>
      </c>
      <c r="DD67" s="1">
        <f t="shared" si="83"/>
        <v>0</v>
      </c>
      <c r="DE67" s="1">
        <f t="shared" si="84"/>
        <v>0</v>
      </c>
      <c r="DF67" s="1">
        <f t="shared" si="85"/>
        <v>0</v>
      </c>
      <c r="DG67" s="1">
        <f t="shared" si="86"/>
        <v>0</v>
      </c>
      <c r="DH67" s="26">
        <f t="shared" ref="DH67:DH130" si="138">SUM(DC67:DG67)</f>
        <v>0</v>
      </c>
      <c r="DI67" s="1" t="e">
        <f t="shared" ref="DI67:DI130" ca="1" si="139">IF(DB67&gt;DH67,DB67-DH67,0)</f>
        <v>#VALUE!</v>
      </c>
      <c r="DK67" s="11" t="str">
        <f t="shared" si="87"/>
        <v/>
      </c>
      <c r="DL67" s="11" t="e">
        <f ca="1">IF(AND(NOT(ISBLANK('Exception Stores'!$A$6)),CO67="YES"),S67-$BH$2-(DI67*$BS$2)-(CU67*$BS$2),S67-(DB67*$BS$2))</f>
        <v>#VALUE!</v>
      </c>
      <c r="DM67" s="11" t="str">
        <f>IF(ISBLANK(A67),"",IF(COUNTIF(Remaps!$A$2:$A$200,B67)&gt;0,"YES",""))</f>
        <v>YES</v>
      </c>
      <c r="DN67" s="29">
        <f>IFERROR(INDEX(Remaps!$B$2:$B$200,MATCH(B67,Remaps!$A$2:$A$200,0),1),0)</f>
        <v>0</v>
      </c>
      <c r="DO67" s="11" t="e">
        <f t="shared" ca="1" si="88"/>
        <v>#VALUE!</v>
      </c>
      <c r="DP67" s="29" t="e">
        <f t="shared" si="89"/>
        <v>#VALUE!</v>
      </c>
      <c r="DQ67" s="11" t="e">
        <f ca="1">('Apollo Dock Status'!$Z$1-DP67)/DO67</f>
        <v>#VALUE!</v>
      </c>
      <c r="DR67" s="15" t="e">
        <f t="shared" ref="DR67:DR130" ca="1" si="140">$AN$2+(DQ67/24)</f>
        <v>#VALUE!</v>
      </c>
    </row>
    <row r="68" spans="1:122">
      <c r="A68" s="1" t="str">
        <f>IF(ISBLANK('Apollo Dock Status'!A68),"",'Apollo Dock Status'!A68)</f>
        <v/>
      </c>
      <c r="B68" s="1" t="str">
        <f>IF(ISBLANK('Apollo Dock Status'!B68),"",'Apollo Dock Status'!B68)</f>
        <v/>
      </c>
      <c r="C68" s="1" t="str">
        <f>IF(ISBLANK('Apollo Dock Status'!C68),"",'Apollo Dock Status'!C68)</f>
        <v/>
      </c>
      <c r="D68" s="1" t="str">
        <f>IF(ISBLANK('Apollo Dock Status'!D68),"",'Apollo Dock Status'!D68)</f>
        <v/>
      </c>
      <c r="E68" s="1" t="str">
        <f>IF(ISBLANK('Apollo Dock Status'!E68),"",'Apollo Dock Status'!E68)</f>
        <v/>
      </c>
      <c r="F68" s="1" t="str">
        <f>IF(ISBLANK('Apollo Dock Status'!F68),"",'Apollo Dock Status'!F68)</f>
        <v/>
      </c>
      <c r="G68" s="1" t="str">
        <f>IF(ISBLANK('Apollo Dock Status'!G68),"",'Apollo Dock Status'!G68)</f>
        <v/>
      </c>
      <c r="H68" s="1" t="str">
        <f>IF(ISBLANK('Apollo Dock Status'!H68),"",'Apollo Dock Status'!H68)</f>
        <v/>
      </c>
      <c r="I68" s="1" t="str">
        <f>IF(ISBLANK('Apollo Dock Status'!I68),"",'Apollo Dock Status'!I68)</f>
        <v/>
      </c>
      <c r="J68" s="1" t="str">
        <f>IF(ISBLANK('Apollo Dock Status'!J68),"",'Apollo Dock Status'!J68)</f>
        <v/>
      </c>
      <c r="K68" s="1" t="str">
        <f>IF(ISBLANK('Apollo Dock Status'!K68),"",'Apollo Dock Status'!K68)</f>
        <v/>
      </c>
      <c r="L68" s="1" t="str">
        <f>IF(ISBLANK('Apollo Dock Status'!L68),"",'Apollo Dock Status'!L68)</f>
        <v/>
      </c>
      <c r="M68" s="1" t="str">
        <f>IF(ISBLANK('Apollo Dock Status'!M68),"",'Apollo Dock Status'!M68)</f>
        <v/>
      </c>
      <c r="N68" s="1" t="str">
        <f>IF(ISBLANK('Apollo Dock Status'!N68),"",'Apollo Dock Status'!N68)</f>
        <v/>
      </c>
      <c r="O68" s="1" t="str">
        <f t="shared" si="90"/>
        <v/>
      </c>
      <c r="P68" s="1" t="str">
        <f t="shared" si="91"/>
        <v/>
      </c>
      <c r="Q68" s="1" t="str">
        <f t="shared" si="92"/>
        <v/>
      </c>
      <c r="R68" s="1" t="str">
        <f t="shared" si="93"/>
        <v/>
      </c>
      <c r="S68" s="11" t="str">
        <f t="shared" si="94"/>
        <v/>
      </c>
      <c r="T68" s="1" t="str">
        <f t="shared" si="95"/>
        <v/>
      </c>
      <c r="U68" s="11" t="str">
        <f t="shared" si="96"/>
        <v/>
      </c>
      <c r="V68" s="11" t="str">
        <f t="shared" si="97"/>
        <v/>
      </c>
      <c r="X68" s="1" t="str">
        <f t="shared" si="98"/>
        <v/>
      </c>
      <c r="Y68" s="1" t="str">
        <f t="shared" si="99"/>
        <v/>
      </c>
      <c r="Z68" s="1" t="str">
        <f t="shared" si="100"/>
        <v/>
      </c>
      <c r="AB68" s="13">
        <f t="shared" ca="1" si="101"/>
        <v>46176</v>
      </c>
      <c r="AC68" s="1">
        <f t="shared" ca="1" si="102"/>
        <v>2026</v>
      </c>
      <c r="AD68" s="1" t="str">
        <f t="shared" ca="1" si="103"/>
        <v>6</v>
      </c>
      <c r="AE68" s="1">
        <f t="shared" si="104"/>
        <v>1</v>
      </c>
      <c r="AF68" s="1" t="str">
        <f t="shared" si="105"/>
        <v/>
      </c>
      <c r="AG68" s="1">
        <f t="shared" ca="1" si="106"/>
        <v>2026</v>
      </c>
      <c r="AH68" s="1">
        <f t="shared" si="107"/>
        <v>1</v>
      </c>
      <c r="AI68" s="1" t="str">
        <f t="shared" ca="1" si="108"/>
        <v>6</v>
      </c>
      <c r="AJ68" s="13" t="e">
        <f t="shared" ca="1" si="109"/>
        <v>#VALUE!</v>
      </c>
      <c r="AK68" s="1" t="e">
        <f>IF(ISBLANK(A68),"",IFERROR(MID(F68,SEARCH(", ",F68)+LEN(", "),SEARCH(" "&amp;'Exception Stores'!$A$2,F68)-SEARCH(", ",F68)-LEN(", ")),MID(F68,SEARCH(", ",F68)+LEN(", "),SEARCH(" "&amp;'Exception Stores'!$B$2,F68)-SEARCH(", ",F68)-LEN(", "))))</f>
        <v>#VALUE!</v>
      </c>
      <c r="AL68" s="1" t="e">
        <f t="shared" si="110"/>
        <v>#VALUE!</v>
      </c>
      <c r="AM68" s="15" t="e">
        <f t="shared" ca="1" si="111"/>
        <v>#VALUE!</v>
      </c>
      <c r="AN68" s="24" t="e">
        <f t="shared" ca="1" si="112"/>
        <v>#VALUE!</v>
      </c>
      <c r="AO68" s="1" t="e">
        <f t="shared" ca="1" si="113"/>
        <v>#VALUE!</v>
      </c>
      <c r="AP68" s="13" t="e">
        <f t="shared" ca="1" si="114"/>
        <v>#VALUE!</v>
      </c>
      <c r="AQ68" s="17" t="e">
        <f t="shared" ca="1" si="115"/>
        <v>#VALUE!</v>
      </c>
      <c r="AS68" s="15" t="e">
        <f t="shared" ca="1" si="116"/>
        <v>#VALUE!</v>
      </c>
      <c r="AT68" s="5">
        <f>'Exception Stores'!$D$2</f>
        <v>0.125</v>
      </c>
      <c r="AU68" s="15" t="e">
        <f t="shared" ca="1" si="117"/>
        <v>#VALUE!</v>
      </c>
      <c r="AV68" s="15" t="e">
        <f t="shared" ca="1" si="118"/>
        <v>#VALUE!</v>
      </c>
      <c r="AW68" s="15" t="e">
        <f t="shared" ca="1" si="119"/>
        <v>#VALUE!</v>
      </c>
      <c r="AX68" s="15" t="e">
        <f t="shared" ca="1" si="120"/>
        <v>#VALUE!</v>
      </c>
      <c r="AY68" s="15" t="e">
        <f t="shared" ca="1" si="121"/>
        <v>#VALUE!</v>
      </c>
      <c r="AZ68" s="1" t="e">
        <f t="shared" ca="1" si="122"/>
        <v>#VALUE!</v>
      </c>
      <c r="BA68" s="15" t="e">
        <f t="shared" ca="1" si="123"/>
        <v>#VALUE!</v>
      </c>
      <c r="BB68" s="15" t="e">
        <f t="shared" ca="1" si="124"/>
        <v>#VALUE!</v>
      </c>
      <c r="BC68" s="1" t="e">
        <f t="shared" ca="1" si="125"/>
        <v>#VALUE!</v>
      </c>
      <c r="BE68" s="15" t="str">
        <f>IF(ISBLANK('Exception Stores'!$A$6),"",'Exception Stores'!$A$6)</f>
        <v/>
      </c>
      <c r="BF68" s="15" t="str">
        <f>IF(ISBLANK('Exception Stores'!$B$6),"",'Exception Stores'!$B$6)</f>
        <v/>
      </c>
      <c r="BG68" s="1">
        <f>IF(ISBLANK('Exception Stores'!$A$6),0,IF($AN$2&gt;$BF$2,($AN$2-$BF$2)*24,0))</f>
        <v>0</v>
      </c>
      <c r="BH68" s="11">
        <f>IF(ISBLANK('Exception Stores'!$A$6),0,($BF$2-$BE$2)*24)</f>
        <v>0</v>
      </c>
      <c r="BI6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68" s="1">
        <f>IF(ISBLANK('Exception Stores'!$A$6),0,IF($AN$2&gt;$BF$2,0,IF(AND($AN$2&lt;$BF$2,$BT$2="B"),(($BF$2-$AN$2)*24)-$BS$2,($BF$2-$AN$2)*24)))</f>
        <v>0</v>
      </c>
      <c r="BL68" s="5"/>
      <c r="BM68" s="5"/>
      <c r="BN68" s="5"/>
      <c r="BO68" s="5"/>
      <c r="BP68" s="5"/>
      <c r="BV68" s="1" t="e">
        <f t="shared" ca="1" si="126"/>
        <v>#VALUE!</v>
      </c>
      <c r="BW68" s="1" t="e">
        <f t="shared" ca="1" si="127"/>
        <v>#VALUE!</v>
      </c>
      <c r="BX68" s="1" t="e">
        <f t="shared" ca="1" si="128"/>
        <v>#VALUE!</v>
      </c>
      <c r="BY68" s="1" t="e">
        <f t="shared" ca="1" si="129"/>
        <v>#VALUE!</v>
      </c>
      <c r="BZ68" s="1" t="e">
        <f t="shared" ca="1" si="130"/>
        <v>#VALUE!</v>
      </c>
      <c r="CB68" s="1" t="str">
        <f>IF(ISBLANK('Exception Stores'!$A$6),"",WEEKDAY($BF$2))</f>
        <v/>
      </c>
      <c r="CC68" s="1" t="str">
        <f>IF(ISBLANK('Exception Stores'!$A$6),"NO",IF('Exception Stores'!$A$6&lt;$AU$2,"YES","NO"))</f>
        <v>NO</v>
      </c>
      <c r="CD68" s="1" t="str">
        <f>IF(ISBLANK('Exception Stores'!$A$6),"NO",IF('Exception Stores'!$A$6&lt;$AV$2,"YES","NO"))</f>
        <v>NO</v>
      </c>
      <c r="CE68" s="1" t="str">
        <f>IF(ISBLANK('Exception Stores'!$A$6),"NO",IF('Exception Stores'!$A$6&lt;$AW$2,"YES","NO"))</f>
        <v>NO</v>
      </c>
      <c r="CF68" s="1" t="str">
        <f>IF(ISBLANK('Exception Stores'!$A$6),"NO",IF('Exception Stores'!$A$6&lt;$AX$2,"YES","NO"))</f>
        <v>NO</v>
      </c>
      <c r="CG68" s="1" t="str">
        <f>IF(ISBLANK('Exception Stores'!$A$6),"NO",IF('Exception Stores'!$A$6&lt;$AY$2,"YES","NO"))</f>
        <v>NO</v>
      </c>
      <c r="CI68" s="42" t="str">
        <f>IF(ISBLANK('Exception Stores'!$B$6),"NO",IF('Exception Stores'!$B$6&lt;=$AU$2,"YES","NO"))</f>
        <v>NO</v>
      </c>
      <c r="CJ68" s="42" t="str">
        <f>IF(ISBLANK('Exception Stores'!$B$6),"NO",IF('Exception Stores'!$B$6&lt;=$AV$2,"YES","NO"))</f>
        <v>NO</v>
      </c>
      <c r="CK68" s="1" t="str">
        <f>IF(ISBLANK('Exception Stores'!$B$6),"NO",IF('Exception Stores'!$B$6&lt;=$AW$2,"YES","NO"))</f>
        <v>NO</v>
      </c>
      <c r="CL68" s="1" t="str">
        <f>IF(ISBLANK('Exception Stores'!$B$6),"NO",IF('Exception Stores'!$B$6&lt;=$AX$2,"YES","NO"))</f>
        <v>NO</v>
      </c>
      <c r="CM68" s="1" t="str">
        <f>IF(ISBLANK('Exception Stores'!$B$6),"NO",IF('Exception Stores'!$B$6&lt;=$AY$2,"YES","NO"))</f>
        <v>NO</v>
      </c>
      <c r="CO68" s="1" t="e">
        <f ca="1">IF(AM68&lt;'Exception Stores'!$A$6,"YES","NO")</f>
        <v>#VALUE!</v>
      </c>
      <c r="CP68" s="1">
        <f t="shared" si="131"/>
        <v>0</v>
      </c>
      <c r="CQ68" s="1">
        <f t="shared" si="132"/>
        <v>0</v>
      </c>
      <c r="CR68" s="1">
        <f t="shared" si="133"/>
        <v>0</v>
      </c>
      <c r="CS68" s="1">
        <f t="shared" si="134"/>
        <v>0</v>
      </c>
      <c r="CT68" s="1">
        <f t="shared" si="135"/>
        <v>0</v>
      </c>
      <c r="CU68" s="1">
        <f t="shared" si="136"/>
        <v>0</v>
      </c>
      <c r="CW68" s="1" t="e">
        <f t="shared" ca="1" si="77"/>
        <v>#VALUE!</v>
      </c>
      <c r="CX68" s="1" t="e">
        <f t="shared" ca="1" si="78"/>
        <v>#VALUE!</v>
      </c>
      <c r="CY68" s="1" t="e">
        <f t="shared" ca="1" si="79"/>
        <v>#VALUE!</v>
      </c>
      <c r="CZ68" s="1" t="e">
        <f t="shared" ca="1" si="80"/>
        <v>#VALUE!</v>
      </c>
      <c r="DA68" s="1" t="e">
        <f t="shared" ca="1" si="81"/>
        <v>#VALUE!</v>
      </c>
      <c r="DB68" s="26" t="e">
        <f t="shared" ca="1" si="137"/>
        <v>#VALUE!</v>
      </c>
      <c r="DC68" s="1">
        <f t="shared" si="82"/>
        <v>0</v>
      </c>
      <c r="DD68" s="1">
        <f t="shared" si="83"/>
        <v>0</v>
      </c>
      <c r="DE68" s="1">
        <f t="shared" si="84"/>
        <v>0</v>
      </c>
      <c r="DF68" s="1">
        <f t="shared" si="85"/>
        <v>0</v>
      </c>
      <c r="DG68" s="1">
        <f t="shared" si="86"/>
        <v>0</v>
      </c>
      <c r="DH68" s="26">
        <f t="shared" si="138"/>
        <v>0</v>
      </c>
      <c r="DI68" s="1" t="e">
        <f t="shared" ca="1" si="139"/>
        <v>#VALUE!</v>
      </c>
      <c r="DK68" s="11" t="str">
        <f t="shared" si="87"/>
        <v/>
      </c>
      <c r="DL68" s="11" t="e">
        <f ca="1">IF(AND(NOT(ISBLANK('Exception Stores'!$A$6)),CO68="YES"),S68-$BH$2-(DI68*$BS$2)-(CU68*$BS$2),S68-(DB68*$BS$2))</f>
        <v>#VALUE!</v>
      </c>
      <c r="DM68" s="11" t="str">
        <f>IF(ISBLANK(A68),"",IF(COUNTIF(Remaps!$A$2:$A$200,B68)&gt;0,"YES",""))</f>
        <v>YES</v>
      </c>
      <c r="DN68" s="29">
        <f>IFERROR(INDEX(Remaps!$B$2:$B$200,MATCH(B68,Remaps!$A$2:$A$200,0),1),0)</f>
        <v>0</v>
      </c>
      <c r="DO68" s="11" t="e">
        <f t="shared" ca="1" si="88"/>
        <v>#VALUE!</v>
      </c>
      <c r="DP68" s="29" t="e">
        <f t="shared" si="89"/>
        <v>#VALUE!</v>
      </c>
      <c r="DQ68" s="11" t="e">
        <f ca="1">('Apollo Dock Status'!$Z$1-DP68)/DO68</f>
        <v>#VALUE!</v>
      </c>
      <c r="DR68" s="15" t="e">
        <f t="shared" ca="1" si="140"/>
        <v>#VALUE!</v>
      </c>
    </row>
    <row r="69" spans="1:122">
      <c r="A69" s="1" t="str">
        <f>IF(ISBLANK('Apollo Dock Status'!A69),"",'Apollo Dock Status'!A69)</f>
        <v/>
      </c>
      <c r="B69" s="1" t="str">
        <f>IF(ISBLANK('Apollo Dock Status'!B69),"",'Apollo Dock Status'!B69)</f>
        <v/>
      </c>
      <c r="C69" s="1" t="str">
        <f>IF(ISBLANK('Apollo Dock Status'!C69),"",'Apollo Dock Status'!C69)</f>
        <v/>
      </c>
      <c r="D69" s="1" t="str">
        <f>IF(ISBLANK('Apollo Dock Status'!D69),"",'Apollo Dock Status'!D69)</f>
        <v/>
      </c>
      <c r="E69" s="1" t="str">
        <f>IF(ISBLANK('Apollo Dock Status'!E69),"",'Apollo Dock Status'!E69)</f>
        <v/>
      </c>
      <c r="F69" s="1" t="str">
        <f>IF(ISBLANK('Apollo Dock Status'!F69),"",'Apollo Dock Status'!F69)</f>
        <v/>
      </c>
      <c r="G69" s="1" t="str">
        <f>IF(ISBLANK('Apollo Dock Status'!G69),"",'Apollo Dock Status'!G69)</f>
        <v/>
      </c>
      <c r="H69" s="1" t="str">
        <f>IF(ISBLANK('Apollo Dock Status'!H69),"",'Apollo Dock Status'!H69)</f>
        <v/>
      </c>
      <c r="I69" s="1" t="str">
        <f>IF(ISBLANK('Apollo Dock Status'!I69),"",'Apollo Dock Status'!I69)</f>
        <v/>
      </c>
      <c r="J69" s="1" t="str">
        <f>IF(ISBLANK('Apollo Dock Status'!J69),"",'Apollo Dock Status'!J69)</f>
        <v/>
      </c>
      <c r="K69" s="1" t="str">
        <f>IF(ISBLANK('Apollo Dock Status'!K69),"",'Apollo Dock Status'!K69)</f>
        <v/>
      </c>
      <c r="L69" s="1" t="str">
        <f>IF(ISBLANK('Apollo Dock Status'!L69),"",'Apollo Dock Status'!L69)</f>
        <v/>
      </c>
      <c r="M69" s="1" t="str">
        <f>IF(ISBLANK('Apollo Dock Status'!M69),"",'Apollo Dock Status'!M69)</f>
        <v/>
      </c>
      <c r="N69" s="1" t="str">
        <f>IF(ISBLANK('Apollo Dock Status'!N69),"",'Apollo Dock Status'!N69)</f>
        <v/>
      </c>
      <c r="O69" s="1" t="str">
        <f t="shared" si="90"/>
        <v/>
      </c>
      <c r="P69" s="1" t="str">
        <f t="shared" si="91"/>
        <v/>
      </c>
      <c r="Q69" s="1" t="str">
        <f t="shared" si="92"/>
        <v/>
      </c>
      <c r="R69" s="1" t="str">
        <f t="shared" si="93"/>
        <v/>
      </c>
      <c r="S69" s="11" t="str">
        <f t="shared" si="94"/>
        <v/>
      </c>
      <c r="T69" s="1" t="str">
        <f t="shared" si="95"/>
        <v/>
      </c>
      <c r="U69" s="11" t="str">
        <f t="shared" si="96"/>
        <v/>
      </c>
      <c r="V69" s="11" t="str">
        <f t="shared" si="97"/>
        <v/>
      </c>
      <c r="X69" s="1" t="str">
        <f t="shared" si="98"/>
        <v/>
      </c>
      <c r="Y69" s="1" t="str">
        <f t="shared" si="99"/>
        <v/>
      </c>
      <c r="Z69" s="1" t="str">
        <f t="shared" si="100"/>
        <v/>
      </c>
      <c r="AB69" s="13">
        <f t="shared" ca="1" si="101"/>
        <v>46176</v>
      </c>
      <c r="AC69" s="1">
        <f t="shared" ca="1" si="102"/>
        <v>2026</v>
      </c>
      <c r="AD69" s="1" t="str">
        <f t="shared" ca="1" si="103"/>
        <v>6</v>
      </c>
      <c r="AE69" s="1">
        <f t="shared" si="104"/>
        <v>1</v>
      </c>
      <c r="AF69" s="1" t="str">
        <f t="shared" si="105"/>
        <v/>
      </c>
      <c r="AG69" s="1">
        <f t="shared" ca="1" si="106"/>
        <v>2026</v>
      </c>
      <c r="AH69" s="1">
        <f t="shared" si="107"/>
        <v>1</v>
      </c>
      <c r="AI69" s="1" t="str">
        <f t="shared" ca="1" si="108"/>
        <v>6</v>
      </c>
      <c r="AJ69" s="13" t="e">
        <f t="shared" ca="1" si="109"/>
        <v>#VALUE!</v>
      </c>
      <c r="AK69" s="1" t="e">
        <f>IF(ISBLANK(A69),"",IFERROR(MID(F69,SEARCH(", ",F69)+LEN(", "),SEARCH(" "&amp;'Exception Stores'!$A$2,F69)-SEARCH(", ",F69)-LEN(", ")),MID(F69,SEARCH(", ",F69)+LEN(", "),SEARCH(" "&amp;'Exception Stores'!$B$2,F69)-SEARCH(", ",F69)-LEN(", "))))</f>
        <v>#VALUE!</v>
      </c>
      <c r="AL69" s="1" t="e">
        <f t="shared" si="110"/>
        <v>#VALUE!</v>
      </c>
      <c r="AM69" s="15" t="e">
        <f t="shared" ca="1" si="111"/>
        <v>#VALUE!</v>
      </c>
      <c r="AN69" s="24" t="e">
        <f t="shared" ca="1" si="112"/>
        <v>#VALUE!</v>
      </c>
      <c r="AO69" s="1" t="e">
        <f t="shared" ca="1" si="113"/>
        <v>#VALUE!</v>
      </c>
      <c r="AP69" s="13" t="e">
        <f t="shared" ca="1" si="114"/>
        <v>#VALUE!</v>
      </c>
      <c r="AQ69" s="17" t="e">
        <f t="shared" ca="1" si="115"/>
        <v>#VALUE!</v>
      </c>
      <c r="AS69" s="15" t="e">
        <f t="shared" ca="1" si="116"/>
        <v>#VALUE!</v>
      </c>
      <c r="AT69" s="5">
        <f>'Exception Stores'!$D$2</f>
        <v>0.125</v>
      </c>
      <c r="AU69" s="15" t="e">
        <f t="shared" ca="1" si="117"/>
        <v>#VALUE!</v>
      </c>
      <c r="AV69" s="15" t="e">
        <f t="shared" ca="1" si="118"/>
        <v>#VALUE!</v>
      </c>
      <c r="AW69" s="15" t="e">
        <f t="shared" ca="1" si="119"/>
        <v>#VALUE!</v>
      </c>
      <c r="AX69" s="15" t="e">
        <f t="shared" ca="1" si="120"/>
        <v>#VALUE!</v>
      </c>
      <c r="AY69" s="15" t="e">
        <f t="shared" ca="1" si="121"/>
        <v>#VALUE!</v>
      </c>
      <c r="AZ69" s="1" t="e">
        <f t="shared" ca="1" si="122"/>
        <v>#VALUE!</v>
      </c>
      <c r="BA69" s="15" t="e">
        <f t="shared" ca="1" si="123"/>
        <v>#VALUE!</v>
      </c>
      <c r="BB69" s="15" t="e">
        <f t="shared" ca="1" si="124"/>
        <v>#VALUE!</v>
      </c>
      <c r="BC69" s="1" t="e">
        <f t="shared" ca="1" si="125"/>
        <v>#VALUE!</v>
      </c>
      <c r="BE69" s="15" t="str">
        <f>IF(ISBLANK('Exception Stores'!$A$6),"",'Exception Stores'!$A$6)</f>
        <v/>
      </c>
      <c r="BF69" s="15" t="str">
        <f>IF(ISBLANK('Exception Stores'!$B$6),"",'Exception Stores'!$B$6)</f>
        <v/>
      </c>
      <c r="BG69" s="1">
        <f>IF(ISBLANK('Exception Stores'!$A$6),0,IF($AN$2&gt;$BF$2,($AN$2-$BF$2)*24,0))</f>
        <v>0</v>
      </c>
      <c r="BH69" s="11">
        <f>IF(ISBLANK('Exception Stores'!$A$6),0,($BF$2-$BE$2)*24)</f>
        <v>0</v>
      </c>
      <c r="BI6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69" s="1">
        <f>IF(ISBLANK('Exception Stores'!$A$6),0,IF($AN$2&gt;$BF$2,0,IF(AND($AN$2&lt;$BF$2,$BT$2="B"),(($BF$2-$AN$2)*24)-$BS$2,($BF$2-$AN$2)*24)))</f>
        <v>0</v>
      </c>
      <c r="BL69" s="5"/>
      <c r="BM69" s="5"/>
      <c r="BN69" s="5"/>
      <c r="BO69" s="5"/>
      <c r="BP69" s="5"/>
      <c r="BV69" s="1" t="e">
        <f t="shared" ca="1" si="126"/>
        <v>#VALUE!</v>
      </c>
      <c r="BW69" s="1" t="e">
        <f t="shared" ca="1" si="127"/>
        <v>#VALUE!</v>
      </c>
      <c r="BX69" s="1" t="e">
        <f t="shared" ca="1" si="128"/>
        <v>#VALUE!</v>
      </c>
      <c r="BY69" s="1" t="e">
        <f t="shared" ca="1" si="129"/>
        <v>#VALUE!</v>
      </c>
      <c r="BZ69" s="1" t="e">
        <f t="shared" ca="1" si="130"/>
        <v>#VALUE!</v>
      </c>
      <c r="CB69" s="1" t="str">
        <f>IF(ISBLANK('Exception Stores'!$A$6),"",WEEKDAY($BF$2))</f>
        <v/>
      </c>
      <c r="CC69" s="1" t="str">
        <f>IF(ISBLANK('Exception Stores'!$A$6),"NO",IF('Exception Stores'!$A$6&lt;$AU$2,"YES","NO"))</f>
        <v>NO</v>
      </c>
      <c r="CD69" s="1" t="str">
        <f>IF(ISBLANK('Exception Stores'!$A$6),"NO",IF('Exception Stores'!$A$6&lt;$AV$2,"YES","NO"))</f>
        <v>NO</v>
      </c>
      <c r="CE69" s="1" t="str">
        <f>IF(ISBLANK('Exception Stores'!$A$6),"NO",IF('Exception Stores'!$A$6&lt;$AW$2,"YES","NO"))</f>
        <v>NO</v>
      </c>
      <c r="CF69" s="1" t="str">
        <f>IF(ISBLANK('Exception Stores'!$A$6),"NO",IF('Exception Stores'!$A$6&lt;$AX$2,"YES","NO"))</f>
        <v>NO</v>
      </c>
      <c r="CG69" s="1" t="str">
        <f>IF(ISBLANK('Exception Stores'!$A$6),"NO",IF('Exception Stores'!$A$6&lt;$AY$2,"YES","NO"))</f>
        <v>NO</v>
      </c>
      <c r="CI69" s="42" t="str">
        <f>IF(ISBLANK('Exception Stores'!$B$6),"NO",IF('Exception Stores'!$B$6&lt;=$AU$2,"YES","NO"))</f>
        <v>NO</v>
      </c>
      <c r="CJ69" s="42" t="str">
        <f>IF(ISBLANK('Exception Stores'!$B$6),"NO",IF('Exception Stores'!$B$6&lt;=$AV$2,"YES","NO"))</f>
        <v>NO</v>
      </c>
      <c r="CK69" s="1" t="str">
        <f>IF(ISBLANK('Exception Stores'!$B$6),"NO",IF('Exception Stores'!$B$6&lt;=$AW$2,"YES","NO"))</f>
        <v>NO</v>
      </c>
      <c r="CL69" s="1" t="str">
        <f>IF(ISBLANK('Exception Stores'!$B$6),"NO",IF('Exception Stores'!$B$6&lt;=$AX$2,"YES","NO"))</f>
        <v>NO</v>
      </c>
      <c r="CM69" s="1" t="str">
        <f>IF(ISBLANK('Exception Stores'!$B$6),"NO",IF('Exception Stores'!$B$6&lt;=$AY$2,"YES","NO"))</f>
        <v>NO</v>
      </c>
      <c r="CO69" s="1" t="e">
        <f ca="1">IF(AM69&lt;'Exception Stores'!$A$6,"YES","NO")</f>
        <v>#VALUE!</v>
      </c>
      <c r="CP69" s="1">
        <f t="shared" si="131"/>
        <v>0</v>
      </c>
      <c r="CQ69" s="1">
        <f t="shared" si="132"/>
        <v>0</v>
      </c>
      <c r="CR69" s="1">
        <f t="shared" si="133"/>
        <v>0</v>
      </c>
      <c r="CS69" s="1">
        <f t="shared" si="134"/>
        <v>0</v>
      </c>
      <c r="CT69" s="1">
        <f t="shared" si="135"/>
        <v>0</v>
      </c>
      <c r="CU69" s="1">
        <f t="shared" si="136"/>
        <v>0</v>
      </c>
      <c r="CW69" s="1" t="e">
        <f t="shared" ca="1" si="77"/>
        <v>#VALUE!</v>
      </c>
      <c r="CX69" s="1" t="e">
        <f t="shared" ca="1" si="78"/>
        <v>#VALUE!</v>
      </c>
      <c r="CY69" s="1" t="e">
        <f t="shared" ca="1" si="79"/>
        <v>#VALUE!</v>
      </c>
      <c r="CZ69" s="1" t="e">
        <f t="shared" ca="1" si="80"/>
        <v>#VALUE!</v>
      </c>
      <c r="DA69" s="1" t="e">
        <f t="shared" ca="1" si="81"/>
        <v>#VALUE!</v>
      </c>
      <c r="DB69" s="26" t="e">
        <f t="shared" ca="1" si="137"/>
        <v>#VALUE!</v>
      </c>
      <c r="DC69" s="1">
        <f t="shared" si="82"/>
        <v>0</v>
      </c>
      <c r="DD69" s="1">
        <f t="shared" si="83"/>
        <v>0</v>
      </c>
      <c r="DE69" s="1">
        <f t="shared" si="84"/>
        <v>0</v>
      </c>
      <c r="DF69" s="1">
        <f t="shared" si="85"/>
        <v>0</v>
      </c>
      <c r="DG69" s="1">
        <f t="shared" si="86"/>
        <v>0</v>
      </c>
      <c r="DH69" s="26">
        <f t="shared" si="138"/>
        <v>0</v>
      </c>
      <c r="DI69" s="1" t="e">
        <f t="shared" ca="1" si="139"/>
        <v>#VALUE!</v>
      </c>
      <c r="DK69" s="11" t="str">
        <f t="shared" si="87"/>
        <v/>
      </c>
      <c r="DL69" s="11" t="e">
        <f ca="1">IF(AND(NOT(ISBLANK('Exception Stores'!$A$6)),CO69="YES"),S69-$BH$2-(DI69*$BS$2)-(CU69*$BS$2),S69-(DB69*$BS$2))</f>
        <v>#VALUE!</v>
      </c>
      <c r="DM69" s="11" t="str">
        <f>IF(ISBLANK(A69),"",IF(COUNTIF(Remaps!$A$2:$A$200,B69)&gt;0,"YES",""))</f>
        <v>YES</v>
      </c>
      <c r="DN69" s="29">
        <f>IFERROR(INDEX(Remaps!$B$2:$B$200,MATCH(B69,Remaps!$A$2:$A$200,0),1),0)</f>
        <v>0</v>
      </c>
      <c r="DO69" s="11" t="e">
        <f t="shared" ca="1" si="88"/>
        <v>#VALUE!</v>
      </c>
      <c r="DP69" s="29" t="e">
        <f t="shared" si="89"/>
        <v>#VALUE!</v>
      </c>
      <c r="DQ69" s="11" t="e">
        <f ca="1">('Apollo Dock Status'!$Z$1-DP69)/DO69</f>
        <v>#VALUE!</v>
      </c>
      <c r="DR69" s="15" t="e">
        <f t="shared" ca="1" si="140"/>
        <v>#VALUE!</v>
      </c>
    </row>
    <row r="70" spans="1:122">
      <c r="A70" s="1" t="str">
        <f>IF(ISBLANK('Apollo Dock Status'!A70),"",'Apollo Dock Status'!A70)</f>
        <v/>
      </c>
      <c r="B70" s="1" t="str">
        <f>IF(ISBLANK('Apollo Dock Status'!B70),"",'Apollo Dock Status'!B70)</f>
        <v/>
      </c>
      <c r="C70" s="1" t="str">
        <f>IF(ISBLANK('Apollo Dock Status'!C70),"",'Apollo Dock Status'!C70)</f>
        <v/>
      </c>
      <c r="D70" s="1" t="str">
        <f>IF(ISBLANK('Apollo Dock Status'!D70),"",'Apollo Dock Status'!D70)</f>
        <v/>
      </c>
      <c r="E70" s="1" t="str">
        <f>IF(ISBLANK('Apollo Dock Status'!E70),"",'Apollo Dock Status'!E70)</f>
        <v/>
      </c>
      <c r="F70" s="1" t="str">
        <f>IF(ISBLANK('Apollo Dock Status'!F70),"",'Apollo Dock Status'!F70)</f>
        <v/>
      </c>
      <c r="G70" s="1" t="str">
        <f>IF(ISBLANK('Apollo Dock Status'!G70),"",'Apollo Dock Status'!G70)</f>
        <v/>
      </c>
      <c r="H70" s="1" t="str">
        <f>IF(ISBLANK('Apollo Dock Status'!H70),"",'Apollo Dock Status'!H70)</f>
        <v/>
      </c>
      <c r="I70" s="1" t="str">
        <f>IF(ISBLANK('Apollo Dock Status'!I70),"",'Apollo Dock Status'!I70)</f>
        <v/>
      </c>
      <c r="J70" s="1" t="str">
        <f>IF(ISBLANK('Apollo Dock Status'!J70),"",'Apollo Dock Status'!J70)</f>
        <v/>
      </c>
      <c r="K70" s="1" t="str">
        <f>IF(ISBLANK('Apollo Dock Status'!K70),"",'Apollo Dock Status'!K70)</f>
        <v/>
      </c>
      <c r="L70" s="1" t="str">
        <f>IF(ISBLANK('Apollo Dock Status'!L70),"",'Apollo Dock Status'!L70)</f>
        <v/>
      </c>
      <c r="M70" s="1" t="str">
        <f>IF(ISBLANK('Apollo Dock Status'!M70),"",'Apollo Dock Status'!M70)</f>
        <v/>
      </c>
      <c r="N70" s="1" t="str">
        <f>IF(ISBLANK('Apollo Dock Status'!N70),"",'Apollo Dock Status'!N70)</f>
        <v/>
      </c>
      <c r="O70" s="1" t="str">
        <f t="shared" si="90"/>
        <v/>
      </c>
      <c r="P70" s="1" t="str">
        <f t="shared" si="91"/>
        <v/>
      </c>
      <c r="Q70" s="1" t="str">
        <f t="shared" si="92"/>
        <v/>
      </c>
      <c r="R70" s="1" t="str">
        <f t="shared" si="93"/>
        <v/>
      </c>
      <c r="S70" s="11" t="str">
        <f t="shared" si="94"/>
        <v/>
      </c>
      <c r="T70" s="1" t="str">
        <f t="shared" si="95"/>
        <v/>
      </c>
      <c r="U70" s="11" t="str">
        <f t="shared" si="96"/>
        <v/>
      </c>
      <c r="V70" s="11" t="str">
        <f t="shared" si="97"/>
        <v/>
      </c>
      <c r="X70" s="1" t="str">
        <f t="shared" si="98"/>
        <v/>
      </c>
      <c r="Y70" s="1" t="str">
        <f t="shared" si="99"/>
        <v/>
      </c>
      <c r="Z70" s="1" t="str">
        <f t="shared" si="100"/>
        <v/>
      </c>
      <c r="AB70" s="13">
        <f t="shared" ca="1" si="101"/>
        <v>46176</v>
      </c>
      <c r="AC70" s="1">
        <f t="shared" ca="1" si="102"/>
        <v>2026</v>
      </c>
      <c r="AD70" s="1" t="str">
        <f t="shared" ca="1" si="103"/>
        <v>6</v>
      </c>
      <c r="AE70" s="1">
        <f t="shared" si="104"/>
        <v>1</v>
      </c>
      <c r="AF70" s="1" t="str">
        <f t="shared" si="105"/>
        <v/>
      </c>
      <c r="AG70" s="1">
        <f t="shared" ca="1" si="106"/>
        <v>2026</v>
      </c>
      <c r="AH70" s="1">
        <f t="shared" si="107"/>
        <v>1</v>
      </c>
      <c r="AI70" s="1" t="str">
        <f t="shared" ca="1" si="108"/>
        <v>6</v>
      </c>
      <c r="AJ70" s="13" t="e">
        <f t="shared" ca="1" si="109"/>
        <v>#VALUE!</v>
      </c>
      <c r="AK70" s="1" t="e">
        <f>IF(ISBLANK(A70),"",IFERROR(MID(F70,SEARCH(", ",F70)+LEN(", "),SEARCH(" "&amp;'Exception Stores'!$A$2,F70)-SEARCH(", ",F70)-LEN(", ")),MID(F70,SEARCH(", ",F70)+LEN(", "),SEARCH(" "&amp;'Exception Stores'!$B$2,F70)-SEARCH(", ",F70)-LEN(", "))))</f>
        <v>#VALUE!</v>
      </c>
      <c r="AL70" s="1" t="e">
        <f t="shared" si="110"/>
        <v>#VALUE!</v>
      </c>
      <c r="AM70" s="15" t="e">
        <f t="shared" ca="1" si="111"/>
        <v>#VALUE!</v>
      </c>
      <c r="AN70" s="24" t="e">
        <f t="shared" ca="1" si="112"/>
        <v>#VALUE!</v>
      </c>
      <c r="AO70" s="1" t="e">
        <f t="shared" ca="1" si="113"/>
        <v>#VALUE!</v>
      </c>
      <c r="AP70" s="13" t="e">
        <f t="shared" ca="1" si="114"/>
        <v>#VALUE!</v>
      </c>
      <c r="AQ70" s="17" t="e">
        <f t="shared" ca="1" si="115"/>
        <v>#VALUE!</v>
      </c>
      <c r="AS70" s="15" t="e">
        <f t="shared" ca="1" si="116"/>
        <v>#VALUE!</v>
      </c>
      <c r="AT70" s="5">
        <f>'Exception Stores'!$D$2</f>
        <v>0.125</v>
      </c>
      <c r="AU70" s="15" t="e">
        <f t="shared" ca="1" si="117"/>
        <v>#VALUE!</v>
      </c>
      <c r="AV70" s="15" t="e">
        <f t="shared" ca="1" si="118"/>
        <v>#VALUE!</v>
      </c>
      <c r="AW70" s="15" t="e">
        <f t="shared" ca="1" si="119"/>
        <v>#VALUE!</v>
      </c>
      <c r="AX70" s="15" t="e">
        <f t="shared" ca="1" si="120"/>
        <v>#VALUE!</v>
      </c>
      <c r="AY70" s="15" t="e">
        <f t="shared" ca="1" si="121"/>
        <v>#VALUE!</v>
      </c>
      <c r="AZ70" s="1" t="e">
        <f t="shared" ca="1" si="122"/>
        <v>#VALUE!</v>
      </c>
      <c r="BA70" s="15" t="e">
        <f t="shared" ca="1" si="123"/>
        <v>#VALUE!</v>
      </c>
      <c r="BB70" s="15" t="e">
        <f t="shared" ca="1" si="124"/>
        <v>#VALUE!</v>
      </c>
      <c r="BC70" s="1" t="e">
        <f t="shared" ca="1" si="125"/>
        <v>#VALUE!</v>
      </c>
      <c r="BE70" s="15" t="str">
        <f>IF(ISBLANK('Exception Stores'!$A$6),"",'Exception Stores'!$A$6)</f>
        <v/>
      </c>
      <c r="BF70" s="15" t="str">
        <f>IF(ISBLANK('Exception Stores'!$B$6),"",'Exception Stores'!$B$6)</f>
        <v/>
      </c>
      <c r="BG70" s="1">
        <f>IF(ISBLANK('Exception Stores'!$A$6),0,IF($AN$2&gt;$BF$2,($AN$2-$BF$2)*24,0))</f>
        <v>0</v>
      </c>
      <c r="BH70" s="11">
        <f>IF(ISBLANK('Exception Stores'!$A$6),0,($BF$2-$BE$2)*24)</f>
        <v>0</v>
      </c>
      <c r="BI7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70" s="1">
        <f>IF(ISBLANK('Exception Stores'!$A$6),0,IF($AN$2&gt;$BF$2,0,IF(AND($AN$2&lt;$BF$2,$BT$2="B"),(($BF$2-$AN$2)*24)-$BS$2,($BF$2-$AN$2)*24)))</f>
        <v>0</v>
      </c>
      <c r="BL70" s="5"/>
      <c r="BM70" s="5"/>
      <c r="BN70" s="5"/>
      <c r="BO70" s="5"/>
      <c r="BP70" s="5"/>
      <c r="BV70" s="1" t="e">
        <f t="shared" ca="1" si="126"/>
        <v>#VALUE!</v>
      </c>
      <c r="BW70" s="1" t="e">
        <f t="shared" ca="1" si="127"/>
        <v>#VALUE!</v>
      </c>
      <c r="BX70" s="1" t="e">
        <f t="shared" ca="1" si="128"/>
        <v>#VALUE!</v>
      </c>
      <c r="BY70" s="1" t="e">
        <f t="shared" ca="1" si="129"/>
        <v>#VALUE!</v>
      </c>
      <c r="BZ70" s="1" t="e">
        <f t="shared" ca="1" si="130"/>
        <v>#VALUE!</v>
      </c>
      <c r="CB70" s="1" t="str">
        <f>IF(ISBLANK('Exception Stores'!$A$6),"",WEEKDAY($BF$2))</f>
        <v/>
      </c>
      <c r="CC70" s="1" t="str">
        <f>IF(ISBLANK('Exception Stores'!$A$6),"NO",IF('Exception Stores'!$A$6&lt;$AU$2,"YES","NO"))</f>
        <v>NO</v>
      </c>
      <c r="CD70" s="1" t="str">
        <f>IF(ISBLANK('Exception Stores'!$A$6),"NO",IF('Exception Stores'!$A$6&lt;$AV$2,"YES","NO"))</f>
        <v>NO</v>
      </c>
      <c r="CE70" s="1" t="str">
        <f>IF(ISBLANK('Exception Stores'!$A$6),"NO",IF('Exception Stores'!$A$6&lt;$AW$2,"YES","NO"))</f>
        <v>NO</v>
      </c>
      <c r="CF70" s="1" t="str">
        <f>IF(ISBLANK('Exception Stores'!$A$6),"NO",IF('Exception Stores'!$A$6&lt;$AX$2,"YES","NO"))</f>
        <v>NO</v>
      </c>
      <c r="CG70" s="1" t="str">
        <f>IF(ISBLANK('Exception Stores'!$A$6),"NO",IF('Exception Stores'!$A$6&lt;$AY$2,"YES","NO"))</f>
        <v>NO</v>
      </c>
      <c r="CI70" s="42" t="str">
        <f>IF(ISBLANK('Exception Stores'!$B$6),"NO",IF('Exception Stores'!$B$6&lt;=$AU$2,"YES","NO"))</f>
        <v>NO</v>
      </c>
      <c r="CJ70" s="42" t="str">
        <f>IF(ISBLANK('Exception Stores'!$B$6),"NO",IF('Exception Stores'!$B$6&lt;=$AV$2,"YES","NO"))</f>
        <v>NO</v>
      </c>
      <c r="CK70" s="1" t="str">
        <f>IF(ISBLANK('Exception Stores'!$B$6),"NO",IF('Exception Stores'!$B$6&lt;=$AW$2,"YES","NO"))</f>
        <v>NO</v>
      </c>
      <c r="CL70" s="1" t="str">
        <f>IF(ISBLANK('Exception Stores'!$B$6),"NO",IF('Exception Stores'!$B$6&lt;=$AX$2,"YES","NO"))</f>
        <v>NO</v>
      </c>
      <c r="CM70" s="1" t="str">
        <f>IF(ISBLANK('Exception Stores'!$B$6),"NO",IF('Exception Stores'!$B$6&lt;=$AY$2,"YES","NO"))</f>
        <v>NO</v>
      </c>
      <c r="CO70" s="1" t="e">
        <f ca="1">IF(AM70&lt;'Exception Stores'!$A$6,"YES","NO")</f>
        <v>#VALUE!</v>
      </c>
      <c r="CP70" s="1">
        <f t="shared" si="131"/>
        <v>0</v>
      </c>
      <c r="CQ70" s="1">
        <f t="shared" si="132"/>
        <v>0</v>
      </c>
      <c r="CR70" s="1">
        <f t="shared" si="133"/>
        <v>0</v>
      </c>
      <c r="CS70" s="1">
        <f t="shared" si="134"/>
        <v>0</v>
      </c>
      <c r="CT70" s="1">
        <f t="shared" si="135"/>
        <v>0</v>
      </c>
      <c r="CU70" s="1">
        <f t="shared" si="136"/>
        <v>0</v>
      </c>
      <c r="CW70" s="1" t="e">
        <f t="shared" ca="1" si="77"/>
        <v>#VALUE!</v>
      </c>
      <c r="CX70" s="1" t="e">
        <f t="shared" ca="1" si="78"/>
        <v>#VALUE!</v>
      </c>
      <c r="CY70" s="1" t="e">
        <f t="shared" ca="1" si="79"/>
        <v>#VALUE!</v>
      </c>
      <c r="CZ70" s="1" t="e">
        <f t="shared" ca="1" si="80"/>
        <v>#VALUE!</v>
      </c>
      <c r="DA70" s="1" t="e">
        <f t="shared" ca="1" si="81"/>
        <v>#VALUE!</v>
      </c>
      <c r="DB70" s="26" t="e">
        <f t="shared" ca="1" si="137"/>
        <v>#VALUE!</v>
      </c>
      <c r="DC70" s="1">
        <f t="shared" si="82"/>
        <v>0</v>
      </c>
      <c r="DD70" s="1">
        <f t="shared" si="83"/>
        <v>0</v>
      </c>
      <c r="DE70" s="1">
        <f t="shared" si="84"/>
        <v>0</v>
      </c>
      <c r="DF70" s="1">
        <f t="shared" si="85"/>
        <v>0</v>
      </c>
      <c r="DG70" s="1">
        <f t="shared" si="86"/>
        <v>0</v>
      </c>
      <c r="DH70" s="26">
        <f t="shared" si="138"/>
        <v>0</v>
      </c>
      <c r="DI70" s="1" t="e">
        <f t="shared" ca="1" si="139"/>
        <v>#VALUE!</v>
      </c>
      <c r="DK70" s="11" t="str">
        <f t="shared" si="87"/>
        <v/>
      </c>
      <c r="DL70" s="11" t="e">
        <f ca="1">IF(AND(NOT(ISBLANK('Exception Stores'!$A$6)),CO70="YES"),S70-$BH$2-(DI70*$BS$2)-(CU70*$BS$2),S70-(DB70*$BS$2))</f>
        <v>#VALUE!</v>
      </c>
      <c r="DM70" s="11" t="str">
        <f>IF(ISBLANK(A70),"",IF(COUNTIF(Remaps!$A$2:$A$200,B70)&gt;0,"YES",""))</f>
        <v>YES</v>
      </c>
      <c r="DN70" s="29">
        <f>IFERROR(INDEX(Remaps!$B$2:$B$200,MATCH(B70,Remaps!$A$2:$A$200,0),1),0)</f>
        <v>0</v>
      </c>
      <c r="DO70" s="11" t="e">
        <f t="shared" ca="1" si="88"/>
        <v>#VALUE!</v>
      </c>
      <c r="DP70" s="29" t="e">
        <f t="shared" si="89"/>
        <v>#VALUE!</v>
      </c>
      <c r="DQ70" s="11" t="e">
        <f ca="1">('Apollo Dock Status'!$Z$1-DP70)/DO70</f>
        <v>#VALUE!</v>
      </c>
      <c r="DR70" s="15" t="e">
        <f t="shared" ca="1" si="140"/>
        <v>#VALUE!</v>
      </c>
    </row>
    <row r="71" spans="1:122">
      <c r="A71" s="1" t="str">
        <f>IF(ISBLANK('Apollo Dock Status'!A71),"",'Apollo Dock Status'!A71)</f>
        <v/>
      </c>
      <c r="B71" s="1" t="str">
        <f>IF(ISBLANK('Apollo Dock Status'!B71),"",'Apollo Dock Status'!B71)</f>
        <v/>
      </c>
      <c r="C71" s="1" t="str">
        <f>IF(ISBLANK('Apollo Dock Status'!C71),"",'Apollo Dock Status'!C71)</f>
        <v/>
      </c>
      <c r="D71" s="1" t="str">
        <f>IF(ISBLANK('Apollo Dock Status'!D71),"",'Apollo Dock Status'!D71)</f>
        <v/>
      </c>
      <c r="E71" s="1" t="str">
        <f>IF(ISBLANK('Apollo Dock Status'!E71),"",'Apollo Dock Status'!E71)</f>
        <v/>
      </c>
      <c r="F71" s="1" t="str">
        <f>IF(ISBLANK('Apollo Dock Status'!F71),"",'Apollo Dock Status'!F71)</f>
        <v/>
      </c>
      <c r="G71" s="1" t="str">
        <f>IF(ISBLANK('Apollo Dock Status'!G71),"",'Apollo Dock Status'!G71)</f>
        <v/>
      </c>
      <c r="H71" s="1" t="str">
        <f>IF(ISBLANK('Apollo Dock Status'!H71),"",'Apollo Dock Status'!H71)</f>
        <v/>
      </c>
      <c r="I71" s="1" t="str">
        <f>IF(ISBLANK('Apollo Dock Status'!I71),"",'Apollo Dock Status'!I71)</f>
        <v/>
      </c>
      <c r="J71" s="1" t="str">
        <f>IF(ISBLANK('Apollo Dock Status'!J71),"",'Apollo Dock Status'!J71)</f>
        <v/>
      </c>
      <c r="K71" s="1" t="str">
        <f>IF(ISBLANK('Apollo Dock Status'!K71),"",'Apollo Dock Status'!K71)</f>
        <v/>
      </c>
      <c r="L71" s="1" t="str">
        <f>IF(ISBLANK('Apollo Dock Status'!L71),"",'Apollo Dock Status'!L71)</f>
        <v/>
      </c>
      <c r="M71" s="1" t="str">
        <f>IF(ISBLANK('Apollo Dock Status'!M71),"",'Apollo Dock Status'!M71)</f>
        <v/>
      </c>
      <c r="N71" s="1" t="str">
        <f>IF(ISBLANK('Apollo Dock Status'!N71),"",'Apollo Dock Status'!N71)</f>
        <v/>
      </c>
      <c r="O71" s="1" t="str">
        <f t="shared" si="90"/>
        <v/>
      </c>
      <c r="P71" s="1" t="str">
        <f t="shared" si="91"/>
        <v/>
      </c>
      <c r="Q71" s="1" t="str">
        <f t="shared" si="92"/>
        <v/>
      </c>
      <c r="R71" s="1" t="str">
        <f t="shared" si="93"/>
        <v/>
      </c>
      <c r="S71" s="11" t="str">
        <f t="shared" si="94"/>
        <v/>
      </c>
      <c r="T71" s="1" t="str">
        <f t="shared" si="95"/>
        <v/>
      </c>
      <c r="U71" s="11" t="str">
        <f t="shared" si="96"/>
        <v/>
      </c>
      <c r="V71" s="11" t="str">
        <f t="shared" si="97"/>
        <v/>
      </c>
      <c r="X71" s="1" t="str">
        <f t="shared" si="98"/>
        <v/>
      </c>
      <c r="Y71" s="1" t="str">
        <f t="shared" si="99"/>
        <v/>
      </c>
      <c r="Z71" s="1" t="str">
        <f t="shared" si="100"/>
        <v/>
      </c>
      <c r="AB71" s="13">
        <f t="shared" ca="1" si="101"/>
        <v>46176</v>
      </c>
      <c r="AC71" s="1">
        <f t="shared" ca="1" si="102"/>
        <v>2026</v>
      </c>
      <c r="AD71" s="1" t="str">
        <f t="shared" ca="1" si="103"/>
        <v>6</v>
      </c>
      <c r="AE71" s="1">
        <f t="shared" si="104"/>
        <v>1</v>
      </c>
      <c r="AF71" s="1" t="str">
        <f t="shared" si="105"/>
        <v/>
      </c>
      <c r="AG71" s="1">
        <f t="shared" ca="1" si="106"/>
        <v>2026</v>
      </c>
      <c r="AH71" s="1">
        <f t="shared" si="107"/>
        <v>1</v>
      </c>
      <c r="AI71" s="1" t="str">
        <f t="shared" ca="1" si="108"/>
        <v>6</v>
      </c>
      <c r="AJ71" s="13" t="e">
        <f t="shared" ca="1" si="109"/>
        <v>#VALUE!</v>
      </c>
      <c r="AK71" s="1" t="e">
        <f>IF(ISBLANK(A71),"",IFERROR(MID(F71,SEARCH(", ",F71)+LEN(", "),SEARCH(" "&amp;'Exception Stores'!$A$2,F71)-SEARCH(", ",F71)-LEN(", ")),MID(F71,SEARCH(", ",F71)+LEN(", "),SEARCH(" "&amp;'Exception Stores'!$B$2,F71)-SEARCH(", ",F71)-LEN(", "))))</f>
        <v>#VALUE!</v>
      </c>
      <c r="AL71" s="1" t="e">
        <f t="shared" si="110"/>
        <v>#VALUE!</v>
      </c>
      <c r="AM71" s="15" t="e">
        <f t="shared" ca="1" si="111"/>
        <v>#VALUE!</v>
      </c>
      <c r="AN71" s="24" t="e">
        <f t="shared" ca="1" si="112"/>
        <v>#VALUE!</v>
      </c>
      <c r="AO71" s="1" t="e">
        <f t="shared" ca="1" si="113"/>
        <v>#VALUE!</v>
      </c>
      <c r="AP71" s="13" t="e">
        <f t="shared" ca="1" si="114"/>
        <v>#VALUE!</v>
      </c>
      <c r="AQ71" s="17" t="e">
        <f t="shared" ca="1" si="115"/>
        <v>#VALUE!</v>
      </c>
      <c r="AS71" s="15" t="e">
        <f t="shared" ca="1" si="116"/>
        <v>#VALUE!</v>
      </c>
      <c r="AT71" s="5">
        <f>'Exception Stores'!$D$2</f>
        <v>0.125</v>
      </c>
      <c r="AU71" s="15" t="e">
        <f t="shared" ca="1" si="117"/>
        <v>#VALUE!</v>
      </c>
      <c r="AV71" s="15" t="e">
        <f t="shared" ca="1" si="118"/>
        <v>#VALUE!</v>
      </c>
      <c r="AW71" s="15" t="e">
        <f t="shared" ca="1" si="119"/>
        <v>#VALUE!</v>
      </c>
      <c r="AX71" s="15" t="e">
        <f t="shared" ca="1" si="120"/>
        <v>#VALUE!</v>
      </c>
      <c r="AY71" s="15" t="e">
        <f t="shared" ca="1" si="121"/>
        <v>#VALUE!</v>
      </c>
      <c r="AZ71" s="1" t="e">
        <f t="shared" ca="1" si="122"/>
        <v>#VALUE!</v>
      </c>
      <c r="BA71" s="15" t="e">
        <f t="shared" ca="1" si="123"/>
        <v>#VALUE!</v>
      </c>
      <c r="BB71" s="15" t="e">
        <f t="shared" ca="1" si="124"/>
        <v>#VALUE!</v>
      </c>
      <c r="BC71" s="1" t="e">
        <f t="shared" ca="1" si="125"/>
        <v>#VALUE!</v>
      </c>
      <c r="BE71" s="15" t="str">
        <f>IF(ISBLANK('Exception Stores'!$A$6),"",'Exception Stores'!$A$6)</f>
        <v/>
      </c>
      <c r="BF71" s="15" t="str">
        <f>IF(ISBLANK('Exception Stores'!$B$6),"",'Exception Stores'!$B$6)</f>
        <v/>
      </c>
      <c r="BG71" s="1">
        <f>IF(ISBLANK('Exception Stores'!$A$6),0,IF($AN$2&gt;$BF$2,($AN$2-$BF$2)*24,0))</f>
        <v>0</v>
      </c>
      <c r="BH71" s="11">
        <f>IF(ISBLANK('Exception Stores'!$A$6),0,($BF$2-$BE$2)*24)</f>
        <v>0</v>
      </c>
      <c r="BI7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71" s="1">
        <f>IF(ISBLANK('Exception Stores'!$A$6),0,IF($AN$2&gt;$BF$2,0,IF(AND($AN$2&lt;$BF$2,$BT$2="B"),(($BF$2-$AN$2)*24)-$BS$2,($BF$2-$AN$2)*24)))</f>
        <v>0</v>
      </c>
      <c r="BL71" s="5"/>
      <c r="BM71" s="5"/>
      <c r="BN71" s="5"/>
      <c r="BO71" s="5"/>
      <c r="BP71" s="5"/>
      <c r="BV71" s="1" t="e">
        <f t="shared" ca="1" si="126"/>
        <v>#VALUE!</v>
      </c>
      <c r="BW71" s="1" t="e">
        <f t="shared" ca="1" si="127"/>
        <v>#VALUE!</v>
      </c>
      <c r="BX71" s="1" t="e">
        <f t="shared" ca="1" si="128"/>
        <v>#VALUE!</v>
      </c>
      <c r="BY71" s="1" t="e">
        <f t="shared" ca="1" si="129"/>
        <v>#VALUE!</v>
      </c>
      <c r="BZ71" s="1" t="e">
        <f t="shared" ca="1" si="130"/>
        <v>#VALUE!</v>
      </c>
      <c r="CB71" s="1" t="str">
        <f>IF(ISBLANK('Exception Stores'!$A$6),"",WEEKDAY($BF$2))</f>
        <v/>
      </c>
      <c r="CC71" s="1" t="str">
        <f>IF(ISBLANK('Exception Stores'!$A$6),"NO",IF('Exception Stores'!$A$6&lt;$AU$2,"YES","NO"))</f>
        <v>NO</v>
      </c>
      <c r="CD71" s="1" t="str">
        <f>IF(ISBLANK('Exception Stores'!$A$6),"NO",IF('Exception Stores'!$A$6&lt;$AV$2,"YES","NO"))</f>
        <v>NO</v>
      </c>
      <c r="CE71" s="1" t="str">
        <f>IF(ISBLANK('Exception Stores'!$A$6),"NO",IF('Exception Stores'!$A$6&lt;$AW$2,"YES","NO"))</f>
        <v>NO</v>
      </c>
      <c r="CF71" s="1" t="str">
        <f>IF(ISBLANK('Exception Stores'!$A$6),"NO",IF('Exception Stores'!$A$6&lt;$AX$2,"YES","NO"))</f>
        <v>NO</v>
      </c>
      <c r="CG71" s="1" t="str">
        <f>IF(ISBLANK('Exception Stores'!$A$6),"NO",IF('Exception Stores'!$A$6&lt;$AY$2,"YES","NO"))</f>
        <v>NO</v>
      </c>
      <c r="CI71" s="42" t="str">
        <f>IF(ISBLANK('Exception Stores'!$B$6),"NO",IF('Exception Stores'!$B$6&lt;=$AU$2,"YES","NO"))</f>
        <v>NO</v>
      </c>
      <c r="CJ71" s="42" t="str">
        <f>IF(ISBLANK('Exception Stores'!$B$6),"NO",IF('Exception Stores'!$B$6&lt;=$AV$2,"YES","NO"))</f>
        <v>NO</v>
      </c>
      <c r="CK71" s="1" t="str">
        <f>IF(ISBLANK('Exception Stores'!$B$6),"NO",IF('Exception Stores'!$B$6&lt;=$AW$2,"YES","NO"))</f>
        <v>NO</v>
      </c>
      <c r="CL71" s="1" t="str">
        <f>IF(ISBLANK('Exception Stores'!$B$6),"NO",IF('Exception Stores'!$B$6&lt;=$AX$2,"YES","NO"))</f>
        <v>NO</v>
      </c>
      <c r="CM71" s="1" t="str">
        <f>IF(ISBLANK('Exception Stores'!$B$6),"NO",IF('Exception Stores'!$B$6&lt;=$AY$2,"YES","NO"))</f>
        <v>NO</v>
      </c>
      <c r="CO71" s="1" t="e">
        <f ca="1">IF(AM71&lt;'Exception Stores'!$A$6,"YES","NO")</f>
        <v>#VALUE!</v>
      </c>
      <c r="CP71" s="1">
        <f t="shared" si="131"/>
        <v>0</v>
      </c>
      <c r="CQ71" s="1">
        <f t="shared" si="132"/>
        <v>0</v>
      </c>
      <c r="CR71" s="1">
        <f t="shared" si="133"/>
        <v>0</v>
      </c>
      <c r="CS71" s="1">
        <f t="shared" si="134"/>
        <v>0</v>
      </c>
      <c r="CT71" s="1">
        <f t="shared" si="135"/>
        <v>0</v>
      </c>
      <c r="CU71" s="1">
        <f t="shared" si="136"/>
        <v>0</v>
      </c>
      <c r="CW71" s="1" t="e">
        <f t="shared" ca="1" si="77"/>
        <v>#VALUE!</v>
      </c>
      <c r="CX71" s="1" t="e">
        <f t="shared" ca="1" si="78"/>
        <v>#VALUE!</v>
      </c>
      <c r="CY71" s="1" t="e">
        <f t="shared" ca="1" si="79"/>
        <v>#VALUE!</v>
      </c>
      <c r="CZ71" s="1" t="e">
        <f t="shared" ca="1" si="80"/>
        <v>#VALUE!</v>
      </c>
      <c r="DA71" s="1" t="e">
        <f t="shared" ca="1" si="81"/>
        <v>#VALUE!</v>
      </c>
      <c r="DB71" s="26" t="e">
        <f t="shared" ca="1" si="137"/>
        <v>#VALUE!</v>
      </c>
      <c r="DC71" s="1">
        <f t="shared" si="82"/>
        <v>0</v>
      </c>
      <c r="DD71" s="1">
        <f t="shared" si="83"/>
        <v>0</v>
      </c>
      <c r="DE71" s="1">
        <f t="shared" si="84"/>
        <v>0</v>
      </c>
      <c r="DF71" s="1">
        <f t="shared" si="85"/>
        <v>0</v>
      </c>
      <c r="DG71" s="1">
        <f t="shared" si="86"/>
        <v>0</v>
      </c>
      <c r="DH71" s="26">
        <f t="shared" si="138"/>
        <v>0</v>
      </c>
      <c r="DI71" s="1" t="e">
        <f t="shared" ca="1" si="139"/>
        <v>#VALUE!</v>
      </c>
      <c r="DK71" s="11" t="str">
        <f t="shared" si="87"/>
        <v/>
      </c>
      <c r="DL71" s="11" t="e">
        <f ca="1">IF(AND(NOT(ISBLANK('Exception Stores'!$A$6)),CO71="YES"),S71-$BH$2-(DI71*$BS$2)-(CU71*$BS$2),S71-(DB71*$BS$2))</f>
        <v>#VALUE!</v>
      </c>
      <c r="DM71" s="11" t="str">
        <f>IF(ISBLANK(A71),"",IF(COUNTIF(Remaps!$A$2:$A$200,B71)&gt;0,"YES",""))</f>
        <v>YES</v>
      </c>
      <c r="DN71" s="29">
        <f>IFERROR(INDEX(Remaps!$B$2:$B$200,MATCH(B71,Remaps!$A$2:$A$200,0),1),0)</f>
        <v>0</v>
      </c>
      <c r="DO71" s="11" t="e">
        <f t="shared" ca="1" si="88"/>
        <v>#VALUE!</v>
      </c>
      <c r="DP71" s="29" t="e">
        <f t="shared" si="89"/>
        <v>#VALUE!</v>
      </c>
      <c r="DQ71" s="11" t="e">
        <f ca="1">('Apollo Dock Status'!$Z$1-DP71)/DO71</f>
        <v>#VALUE!</v>
      </c>
      <c r="DR71" s="15" t="e">
        <f t="shared" ca="1" si="140"/>
        <v>#VALUE!</v>
      </c>
    </row>
    <row r="72" spans="1:122">
      <c r="A72" s="1" t="str">
        <f>IF(ISBLANK('Apollo Dock Status'!A72),"",'Apollo Dock Status'!A72)</f>
        <v/>
      </c>
      <c r="B72" s="1" t="str">
        <f>IF(ISBLANK('Apollo Dock Status'!B72),"",'Apollo Dock Status'!B72)</f>
        <v/>
      </c>
      <c r="C72" s="1" t="str">
        <f>IF(ISBLANK('Apollo Dock Status'!C72),"",'Apollo Dock Status'!C72)</f>
        <v/>
      </c>
      <c r="D72" s="1" t="str">
        <f>IF(ISBLANK('Apollo Dock Status'!D72),"",'Apollo Dock Status'!D72)</f>
        <v/>
      </c>
      <c r="E72" s="1" t="str">
        <f>IF(ISBLANK('Apollo Dock Status'!E72),"",'Apollo Dock Status'!E72)</f>
        <v/>
      </c>
      <c r="F72" s="1" t="str">
        <f>IF(ISBLANK('Apollo Dock Status'!F72),"",'Apollo Dock Status'!F72)</f>
        <v/>
      </c>
      <c r="G72" s="1" t="str">
        <f>IF(ISBLANK('Apollo Dock Status'!G72),"",'Apollo Dock Status'!G72)</f>
        <v/>
      </c>
      <c r="H72" s="1" t="str">
        <f>IF(ISBLANK('Apollo Dock Status'!H72),"",'Apollo Dock Status'!H72)</f>
        <v/>
      </c>
      <c r="I72" s="1" t="str">
        <f>IF(ISBLANK('Apollo Dock Status'!I72),"",'Apollo Dock Status'!I72)</f>
        <v/>
      </c>
      <c r="J72" s="1" t="str">
        <f>IF(ISBLANK('Apollo Dock Status'!J72),"",'Apollo Dock Status'!J72)</f>
        <v/>
      </c>
      <c r="K72" s="1" t="str">
        <f>IF(ISBLANK('Apollo Dock Status'!K72),"",'Apollo Dock Status'!K72)</f>
        <v/>
      </c>
      <c r="L72" s="1" t="str">
        <f>IF(ISBLANK('Apollo Dock Status'!L72),"",'Apollo Dock Status'!L72)</f>
        <v/>
      </c>
      <c r="M72" s="1" t="str">
        <f>IF(ISBLANK('Apollo Dock Status'!M72),"",'Apollo Dock Status'!M72)</f>
        <v/>
      </c>
      <c r="N72" s="1" t="str">
        <f>IF(ISBLANK('Apollo Dock Status'!N72),"",'Apollo Dock Status'!N72)</f>
        <v/>
      </c>
      <c r="O72" s="1" t="str">
        <f t="shared" si="90"/>
        <v/>
      </c>
      <c r="P72" s="1" t="str">
        <f t="shared" si="91"/>
        <v/>
      </c>
      <c r="Q72" s="1" t="str">
        <f t="shared" si="92"/>
        <v/>
      </c>
      <c r="R72" s="1" t="str">
        <f t="shared" si="93"/>
        <v/>
      </c>
      <c r="S72" s="11" t="str">
        <f t="shared" si="94"/>
        <v/>
      </c>
      <c r="T72" s="1" t="str">
        <f t="shared" si="95"/>
        <v/>
      </c>
      <c r="U72" s="11" t="str">
        <f t="shared" si="96"/>
        <v/>
      </c>
      <c r="V72" s="11" t="str">
        <f t="shared" si="97"/>
        <v/>
      </c>
      <c r="X72" s="1" t="str">
        <f t="shared" si="98"/>
        <v/>
      </c>
      <c r="Y72" s="1" t="str">
        <f t="shared" si="99"/>
        <v/>
      </c>
      <c r="Z72" s="1" t="str">
        <f t="shared" si="100"/>
        <v/>
      </c>
      <c r="AB72" s="13">
        <f t="shared" ca="1" si="101"/>
        <v>46176</v>
      </c>
      <c r="AC72" s="1">
        <f t="shared" ca="1" si="102"/>
        <v>2026</v>
      </c>
      <c r="AD72" s="1" t="str">
        <f t="shared" ca="1" si="103"/>
        <v>6</v>
      </c>
      <c r="AE72" s="1">
        <f t="shared" si="104"/>
        <v>1</v>
      </c>
      <c r="AF72" s="1" t="str">
        <f t="shared" si="105"/>
        <v/>
      </c>
      <c r="AG72" s="1">
        <f t="shared" ca="1" si="106"/>
        <v>2026</v>
      </c>
      <c r="AH72" s="1">
        <f t="shared" si="107"/>
        <v>1</v>
      </c>
      <c r="AI72" s="1" t="str">
        <f t="shared" ca="1" si="108"/>
        <v>6</v>
      </c>
      <c r="AJ72" s="13" t="e">
        <f t="shared" ca="1" si="109"/>
        <v>#VALUE!</v>
      </c>
      <c r="AK72" s="1" t="e">
        <f>IF(ISBLANK(A72),"",IFERROR(MID(F72,SEARCH(", ",F72)+LEN(", "),SEARCH(" "&amp;'Exception Stores'!$A$2,F72)-SEARCH(", ",F72)-LEN(", ")),MID(F72,SEARCH(", ",F72)+LEN(", "),SEARCH(" "&amp;'Exception Stores'!$B$2,F72)-SEARCH(", ",F72)-LEN(", "))))</f>
        <v>#VALUE!</v>
      </c>
      <c r="AL72" s="1" t="e">
        <f t="shared" si="110"/>
        <v>#VALUE!</v>
      </c>
      <c r="AM72" s="15" t="e">
        <f t="shared" ca="1" si="111"/>
        <v>#VALUE!</v>
      </c>
      <c r="AN72" s="24" t="e">
        <f t="shared" ca="1" si="112"/>
        <v>#VALUE!</v>
      </c>
      <c r="AO72" s="1" t="e">
        <f t="shared" ca="1" si="113"/>
        <v>#VALUE!</v>
      </c>
      <c r="AP72" s="13" t="e">
        <f t="shared" ca="1" si="114"/>
        <v>#VALUE!</v>
      </c>
      <c r="AQ72" s="17" t="e">
        <f t="shared" ca="1" si="115"/>
        <v>#VALUE!</v>
      </c>
      <c r="AS72" s="15" t="e">
        <f t="shared" ca="1" si="116"/>
        <v>#VALUE!</v>
      </c>
      <c r="AT72" s="5">
        <f>'Exception Stores'!$D$2</f>
        <v>0.125</v>
      </c>
      <c r="AU72" s="15" t="e">
        <f t="shared" ca="1" si="117"/>
        <v>#VALUE!</v>
      </c>
      <c r="AV72" s="15" t="e">
        <f t="shared" ca="1" si="118"/>
        <v>#VALUE!</v>
      </c>
      <c r="AW72" s="15" t="e">
        <f t="shared" ca="1" si="119"/>
        <v>#VALUE!</v>
      </c>
      <c r="AX72" s="15" t="e">
        <f t="shared" ca="1" si="120"/>
        <v>#VALUE!</v>
      </c>
      <c r="AY72" s="15" t="e">
        <f t="shared" ca="1" si="121"/>
        <v>#VALUE!</v>
      </c>
      <c r="AZ72" s="1" t="e">
        <f t="shared" ca="1" si="122"/>
        <v>#VALUE!</v>
      </c>
      <c r="BA72" s="15" t="e">
        <f t="shared" ca="1" si="123"/>
        <v>#VALUE!</v>
      </c>
      <c r="BB72" s="15" t="e">
        <f t="shared" ca="1" si="124"/>
        <v>#VALUE!</v>
      </c>
      <c r="BC72" s="1" t="e">
        <f t="shared" ca="1" si="125"/>
        <v>#VALUE!</v>
      </c>
      <c r="BE72" s="15" t="str">
        <f>IF(ISBLANK('Exception Stores'!$A$6),"",'Exception Stores'!$A$6)</f>
        <v/>
      </c>
      <c r="BF72" s="15" t="str">
        <f>IF(ISBLANK('Exception Stores'!$B$6),"",'Exception Stores'!$B$6)</f>
        <v/>
      </c>
      <c r="BG72" s="1">
        <f>IF(ISBLANK('Exception Stores'!$A$6),0,IF($AN$2&gt;$BF$2,($AN$2-$BF$2)*24,0))</f>
        <v>0</v>
      </c>
      <c r="BH72" s="11">
        <f>IF(ISBLANK('Exception Stores'!$A$6),0,($BF$2-$BE$2)*24)</f>
        <v>0</v>
      </c>
      <c r="BI7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72" s="1">
        <f>IF(ISBLANK('Exception Stores'!$A$6),0,IF($AN$2&gt;$BF$2,0,IF(AND($AN$2&lt;$BF$2,$BT$2="B"),(($BF$2-$AN$2)*24)-$BS$2,($BF$2-$AN$2)*24)))</f>
        <v>0</v>
      </c>
      <c r="BL72" s="5"/>
      <c r="BM72" s="5"/>
      <c r="BN72" s="5"/>
      <c r="BO72" s="5"/>
      <c r="BP72" s="5"/>
      <c r="BV72" s="1" t="e">
        <f t="shared" ca="1" si="126"/>
        <v>#VALUE!</v>
      </c>
      <c r="BW72" s="1" t="e">
        <f t="shared" ca="1" si="127"/>
        <v>#VALUE!</v>
      </c>
      <c r="BX72" s="1" t="e">
        <f t="shared" ca="1" si="128"/>
        <v>#VALUE!</v>
      </c>
      <c r="BY72" s="1" t="e">
        <f t="shared" ca="1" si="129"/>
        <v>#VALUE!</v>
      </c>
      <c r="BZ72" s="1" t="e">
        <f t="shared" ca="1" si="130"/>
        <v>#VALUE!</v>
      </c>
      <c r="CB72" s="1" t="str">
        <f>IF(ISBLANK('Exception Stores'!$A$6),"",WEEKDAY($BF$2))</f>
        <v/>
      </c>
      <c r="CC72" s="1" t="str">
        <f>IF(ISBLANK('Exception Stores'!$A$6),"NO",IF('Exception Stores'!$A$6&lt;$AU$2,"YES","NO"))</f>
        <v>NO</v>
      </c>
      <c r="CD72" s="1" t="str">
        <f>IF(ISBLANK('Exception Stores'!$A$6),"NO",IF('Exception Stores'!$A$6&lt;$AV$2,"YES","NO"))</f>
        <v>NO</v>
      </c>
      <c r="CE72" s="1" t="str">
        <f>IF(ISBLANK('Exception Stores'!$A$6),"NO",IF('Exception Stores'!$A$6&lt;$AW$2,"YES","NO"))</f>
        <v>NO</v>
      </c>
      <c r="CF72" s="1" t="str">
        <f>IF(ISBLANK('Exception Stores'!$A$6),"NO",IF('Exception Stores'!$A$6&lt;$AX$2,"YES","NO"))</f>
        <v>NO</v>
      </c>
      <c r="CG72" s="1" t="str">
        <f>IF(ISBLANK('Exception Stores'!$A$6),"NO",IF('Exception Stores'!$A$6&lt;$AY$2,"YES","NO"))</f>
        <v>NO</v>
      </c>
      <c r="CI72" s="42" t="str">
        <f>IF(ISBLANK('Exception Stores'!$B$6),"NO",IF('Exception Stores'!$B$6&lt;=$AU$2,"YES","NO"))</f>
        <v>NO</v>
      </c>
      <c r="CJ72" s="42" t="str">
        <f>IF(ISBLANK('Exception Stores'!$B$6),"NO",IF('Exception Stores'!$B$6&lt;=$AV$2,"YES","NO"))</f>
        <v>NO</v>
      </c>
      <c r="CK72" s="1" t="str">
        <f>IF(ISBLANK('Exception Stores'!$B$6),"NO",IF('Exception Stores'!$B$6&lt;=$AW$2,"YES","NO"))</f>
        <v>NO</v>
      </c>
      <c r="CL72" s="1" t="str">
        <f>IF(ISBLANK('Exception Stores'!$B$6),"NO",IF('Exception Stores'!$B$6&lt;=$AX$2,"YES","NO"))</f>
        <v>NO</v>
      </c>
      <c r="CM72" s="1" t="str">
        <f>IF(ISBLANK('Exception Stores'!$B$6),"NO",IF('Exception Stores'!$B$6&lt;=$AY$2,"YES","NO"))</f>
        <v>NO</v>
      </c>
      <c r="CO72" s="1" t="e">
        <f ca="1">IF(AM72&lt;'Exception Stores'!$A$6,"YES","NO")</f>
        <v>#VALUE!</v>
      </c>
      <c r="CP72" s="1">
        <f t="shared" si="131"/>
        <v>0</v>
      </c>
      <c r="CQ72" s="1">
        <f t="shared" si="132"/>
        <v>0</v>
      </c>
      <c r="CR72" s="1">
        <f t="shared" si="133"/>
        <v>0</v>
      </c>
      <c r="CS72" s="1">
        <f t="shared" si="134"/>
        <v>0</v>
      </c>
      <c r="CT72" s="1">
        <f t="shared" si="135"/>
        <v>0</v>
      </c>
      <c r="CU72" s="1">
        <f t="shared" si="136"/>
        <v>0</v>
      </c>
      <c r="CW72" s="1" t="e">
        <f t="shared" ca="1" si="77"/>
        <v>#VALUE!</v>
      </c>
      <c r="CX72" s="1" t="e">
        <f t="shared" ca="1" si="78"/>
        <v>#VALUE!</v>
      </c>
      <c r="CY72" s="1" t="e">
        <f t="shared" ca="1" si="79"/>
        <v>#VALUE!</v>
      </c>
      <c r="CZ72" s="1" t="e">
        <f t="shared" ca="1" si="80"/>
        <v>#VALUE!</v>
      </c>
      <c r="DA72" s="1" t="e">
        <f t="shared" ca="1" si="81"/>
        <v>#VALUE!</v>
      </c>
      <c r="DB72" s="26" t="e">
        <f t="shared" ca="1" si="137"/>
        <v>#VALUE!</v>
      </c>
      <c r="DC72" s="1">
        <f t="shared" si="82"/>
        <v>0</v>
      </c>
      <c r="DD72" s="1">
        <f t="shared" si="83"/>
        <v>0</v>
      </c>
      <c r="DE72" s="1">
        <f t="shared" si="84"/>
        <v>0</v>
      </c>
      <c r="DF72" s="1">
        <f t="shared" si="85"/>
        <v>0</v>
      </c>
      <c r="DG72" s="1">
        <f t="shared" si="86"/>
        <v>0</v>
      </c>
      <c r="DH72" s="26">
        <f t="shared" si="138"/>
        <v>0</v>
      </c>
      <c r="DI72" s="1" t="e">
        <f t="shared" ca="1" si="139"/>
        <v>#VALUE!</v>
      </c>
      <c r="DK72" s="11" t="str">
        <f t="shared" si="87"/>
        <v/>
      </c>
      <c r="DL72" s="11" t="e">
        <f ca="1">IF(AND(NOT(ISBLANK('Exception Stores'!$A$6)),CO72="YES"),S72-$BH$2-(DI72*$BS$2)-(CU72*$BS$2),S72-(DB72*$BS$2))</f>
        <v>#VALUE!</v>
      </c>
      <c r="DM72" s="11" t="str">
        <f>IF(ISBLANK(A72),"",IF(COUNTIF(Remaps!$A$2:$A$200,B72)&gt;0,"YES",""))</f>
        <v>YES</v>
      </c>
      <c r="DN72" s="29">
        <f>IFERROR(INDEX(Remaps!$B$2:$B$200,MATCH(B72,Remaps!$A$2:$A$200,0),1),0)</f>
        <v>0</v>
      </c>
      <c r="DO72" s="11" t="e">
        <f t="shared" ca="1" si="88"/>
        <v>#VALUE!</v>
      </c>
      <c r="DP72" s="29" t="e">
        <f t="shared" si="89"/>
        <v>#VALUE!</v>
      </c>
      <c r="DQ72" s="11" t="e">
        <f ca="1">('Apollo Dock Status'!$Z$1-DP72)/DO72</f>
        <v>#VALUE!</v>
      </c>
      <c r="DR72" s="15" t="e">
        <f t="shared" ca="1" si="140"/>
        <v>#VALUE!</v>
      </c>
    </row>
    <row r="73" spans="1:122">
      <c r="A73" s="1" t="str">
        <f>IF(ISBLANK('Apollo Dock Status'!A73),"",'Apollo Dock Status'!A73)</f>
        <v/>
      </c>
      <c r="B73" s="1" t="str">
        <f>IF(ISBLANK('Apollo Dock Status'!B73),"",'Apollo Dock Status'!B73)</f>
        <v/>
      </c>
      <c r="C73" s="1" t="str">
        <f>IF(ISBLANK('Apollo Dock Status'!C73),"",'Apollo Dock Status'!C73)</f>
        <v/>
      </c>
      <c r="D73" s="1" t="str">
        <f>IF(ISBLANK('Apollo Dock Status'!D73),"",'Apollo Dock Status'!D73)</f>
        <v/>
      </c>
      <c r="E73" s="1" t="str">
        <f>IF(ISBLANK('Apollo Dock Status'!E73),"",'Apollo Dock Status'!E73)</f>
        <v/>
      </c>
      <c r="F73" s="1" t="str">
        <f>IF(ISBLANK('Apollo Dock Status'!F73),"",'Apollo Dock Status'!F73)</f>
        <v/>
      </c>
      <c r="G73" s="1" t="str">
        <f>IF(ISBLANK('Apollo Dock Status'!G73),"",'Apollo Dock Status'!G73)</f>
        <v/>
      </c>
      <c r="H73" s="1" t="str">
        <f>IF(ISBLANK('Apollo Dock Status'!H73),"",'Apollo Dock Status'!H73)</f>
        <v/>
      </c>
      <c r="I73" s="1" t="str">
        <f>IF(ISBLANK('Apollo Dock Status'!I73),"",'Apollo Dock Status'!I73)</f>
        <v/>
      </c>
      <c r="J73" s="1" t="str">
        <f>IF(ISBLANK('Apollo Dock Status'!J73),"",'Apollo Dock Status'!J73)</f>
        <v/>
      </c>
      <c r="K73" s="1" t="str">
        <f>IF(ISBLANK('Apollo Dock Status'!K73),"",'Apollo Dock Status'!K73)</f>
        <v/>
      </c>
      <c r="L73" s="1" t="str">
        <f>IF(ISBLANK('Apollo Dock Status'!L73),"",'Apollo Dock Status'!L73)</f>
        <v/>
      </c>
      <c r="M73" s="1" t="str">
        <f>IF(ISBLANK('Apollo Dock Status'!M73),"",'Apollo Dock Status'!M73)</f>
        <v/>
      </c>
      <c r="N73" s="1" t="str">
        <f>IF(ISBLANK('Apollo Dock Status'!N73),"",'Apollo Dock Status'!N73)</f>
        <v/>
      </c>
      <c r="O73" s="1" t="str">
        <f t="shared" si="90"/>
        <v/>
      </c>
      <c r="P73" s="1" t="str">
        <f t="shared" si="91"/>
        <v/>
      </c>
      <c r="Q73" s="1" t="str">
        <f t="shared" si="92"/>
        <v/>
      </c>
      <c r="R73" s="1" t="str">
        <f t="shared" si="93"/>
        <v/>
      </c>
      <c r="S73" s="11" t="str">
        <f t="shared" si="94"/>
        <v/>
      </c>
      <c r="T73" s="1" t="str">
        <f t="shared" si="95"/>
        <v/>
      </c>
      <c r="U73" s="11" t="str">
        <f t="shared" si="96"/>
        <v/>
      </c>
      <c r="V73" s="11" t="str">
        <f t="shared" si="97"/>
        <v/>
      </c>
      <c r="X73" s="1" t="str">
        <f t="shared" si="98"/>
        <v/>
      </c>
      <c r="Y73" s="1" t="str">
        <f t="shared" si="99"/>
        <v/>
      </c>
      <c r="Z73" s="1" t="str">
        <f t="shared" si="100"/>
        <v/>
      </c>
      <c r="AB73" s="13">
        <f t="shared" ca="1" si="101"/>
        <v>46176</v>
      </c>
      <c r="AC73" s="1">
        <f t="shared" ca="1" si="102"/>
        <v>2026</v>
      </c>
      <c r="AD73" s="1" t="str">
        <f t="shared" ca="1" si="103"/>
        <v>6</v>
      </c>
      <c r="AE73" s="1">
        <f t="shared" si="104"/>
        <v>1</v>
      </c>
      <c r="AF73" s="1" t="str">
        <f t="shared" si="105"/>
        <v/>
      </c>
      <c r="AG73" s="1">
        <f t="shared" ca="1" si="106"/>
        <v>2026</v>
      </c>
      <c r="AH73" s="1">
        <f t="shared" si="107"/>
        <v>1</v>
      </c>
      <c r="AI73" s="1" t="str">
        <f t="shared" ca="1" si="108"/>
        <v>6</v>
      </c>
      <c r="AJ73" s="13" t="e">
        <f t="shared" ca="1" si="109"/>
        <v>#VALUE!</v>
      </c>
      <c r="AK73" s="1" t="e">
        <f>IF(ISBLANK(A73),"",IFERROR(MID(F73,SEARCH(", ",F73)+LEN(", "),SEARCH(" "&amp;'Exception Stores'!$A$2,F73)-SEARCH(", ",F73)-LEN(", ")),MID(F73,SEARCH(", ",F73)+LEN(", "),SEARCH(" "&amp;'Exception Stores'!$B$2,F73)-SEARCH(", ",F73)-LEN(", "))))</f>
        <v>#VALUE!</v>
      </c>
      <c r="AL73" s="1" t="e">
        <f t="shared" si="110"/>
        <v>#VALUE!</v>
      </c>
      <c r="AM73" s="15" t="e">
        <f t="shared" ca="1" si="111"/>
        <v>#VALUE!</v>
      </c>
      <c r="AN73" s="24" t="e">
        <f t="shared" ca="1" si="112"/>
        <v>#VALUE!</v>
      </c>
      <c r="AO73" s="1" t="e">
        <f t="shared" ca="1" si="113"/>
        <v>#VALUE!</v>
      </c>
      <c r="AP73" s="13" t="e">
        <f t="shared" ca="1" si="114"/>
        <v>#VALUE!</v>
      </c>
      <c r="AQ73" s="17" t="e">
        <f t="shared" ca="1" si="115"/>
        <v>#VALUE!</v>
      </c>
      <c r="AS73" s="15" t="e">
        <f t="shared" ca="1" si="116"/>
        <v>#VALUE!</v>
      </c>
      <c r="AT73" s="5">
        <f>'Exception Stores'!$D$2</f>
        <v>0.125</v>
      </c>
      <c r="AU73" s="15" t="e">
        <f t="shared" ca="1" si="117"/>
        <v>#VALUE!</v>
      </c>
      <c r="AV73" s="15" t="e">
        <f t="shared" ca="1" si="118"/>
        <v>#VALUE!</v>
      </c>
      <c r="AW73" s="15" t="e">
        <f t="shared" ca="1" si="119"/>
        <v>#VALUE!</v>
      </c>
      <c r="AX73" s="15" t="e">
        <f t="shared" ca="1" si="120"/>
        <v>#VALUE!</v>
      </c>
      <c r="AY73" s="15" t="e">
        <f t="shared" ca="1" si="121"/>
        <v>#VALUE!</v>
      </c>
      <c r="AZ73" s="1" t="e">
        <f t="shared" ca="1" si="122"/>
        <v>#VALUE!</v>
      </c>
      <c r="BA73" s="15" t="e">
        <f t="shared" ca="1" si="123"/>
        <v>#VALUE!</v>
      </c>
      <c r="BB73" s="15" t="e">
        <f t="shared" ca="1" si="124"/>
        <v>#VALUE!</v>
      </c>
      <c r="BC73" s="1" t="e">
        <f t="shared" ca="1" si="125"/>
        <v>#VALUE!</v>
      </c>
      <c r="BE73" s="15" t="str">
        <f>IF(ISBLANK('Exception Stores'!$A$6),"",'Exception Stores'!$A$6)</f>
        <v/>
      </c>
      <c r="BF73" s="15" t="str">
        <f>IF(ISBLANK('Exception Stores'!$B$6),"",'Exception Stores'!$B$6)</f>
        <v/>
      </c>
      <c r="BG73" s="1">
        <f>IF(ISBLANK('Exception Stores'!$A$6),0,IF($AN$2&gt;$BF$2,($AN$2-$BF$2)*24,0))</f>
        <v>0</v>
      </c>
      <c r="BH73" s="11">
        <f>IF(ISBLANK('Exception Stores'!$A$6),0,($BF$2-$BE$2)*24)</f>
        <v>0</v>
      </c>
      <c r="BI7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73" s="1">
        <f>IF(ISBLANK('Exception Stores'!$A$6),0,IF($AN$2&gt;$BF$2,0,IF(AND($AN$2&lt;$BF$2,$BT$2="B"),(($BF$2-$AN$2)*24)-$BS$2,($BF$2-$AN$2)*24)))</f>
        <v>0</v>
      </c>
      <c r="BL73" s="5"/>
      <c r="BM73" s="5"/>
      <c r="BN73" s="5"/>
      <c r="BO73" s="5"/>
      <c r="BP73" s="5"/>
      <c r="BV73" s="1" t="e">
        <f t="shared" ca="1" si="126"/>
        <v>#VALUE!</v>
      </c>
      <c r="BW73" s="1" t="e">
        <f t="shared" ca="1" si="127"/>
        <v>#VALUE!</v>
      </c>
      <c r="BX73" s="1" t="e">
        <f t="shared" ca="1" si="128"/>
        <v>#VALUE!</v>
      </c>
      <c r="BY73" s="1" t="e">
        <f t="shared" ca="1" si="129"/>
        <v>#VALUE!</v>
      </c>
      <c r="BZ73" s="1" t="e">
        <f t="shared" ca="1" si="130"/>
        <v>#VALUE!</v>
      </c>
      <c r="CB73" s="1" t="str">
        <f>IF(ISBLANK('Exception Stores'!$A$6),"",WEEKDAY($BF$2))</f>
        <v/>
      </c>
      <c r="CC73" s="1" t="str">
        <f>IF(ISBLANK('Exception Stores'!$A$6),"NO",IF('Exception Stores'!$A$6&lt;$AU$2,"YES","NO"))</f>
        <v>NO</v>
      </c>
      <c r="CD73" s="1" t="str">
        <f>IF(ISBLANK('Exception Stores'!$A$6),"NO",IF('Exception Stores'!$A$6&lt;$AV$2,"YES","NO"))</f>
        <v>NO</v>
      </c>
      <c r="CE73" s="1" t="str">
        <f>IF(ISBLANK('Exception Stores'!$A$6),"NO",IF('Exception Stores'!$A$6&lt;$AW$2,"YES","NO"))</f>
        <v>NO</v>
      </c>
      <c r="CF73" s="1" t="str">
        <f>IF(ISBLANK('Exception Stores'!$A$6),"NO",IF('Exception Stores'!$A$6&lt;$AX$2,"YES","NO"))</f>
        <v>NO</v>
      </c>
      <c r="CG73" s="1" t="str">
        <f>IF(ISBLANK('Exception Stores'!$A$6),"NO",IF('Exception Stores'!$A$6&lt;$AY$2,"YES","NO"))</f>
        <v>NO</v>
      </c>
      <c r="CI73" s="42" t="str">
        <f>IF(ISBLANK('Exception Stores'!$B$6),"NO",IF('Exception Stores'!$B$6&lt;=$AU$2,"YES","NO"))</f>
        <v>NO</v>
      </c>
      <c r="CJ73" s="42" t="str">
        <f>IF(ISBLANK('Exception Stores'!$B$6),"NO",IF('Exception Stores'!$B$6&lt;=$AV$2,"YES","NO"))</f>
        <v>NO</v>
      </c>
      <c r="CK73" s="1" t="str">
        <f>IF(ISBLANK('Exception Stores'!$B$6),"NO",IF('Exception Stores'!$B$6&lt;=$AW$2,"YES","NO"))</f>
        <v>NO</v>
      </c>
      <c r="CL73" s="1" t="str">
        <f>IF(ISBLANK('Exception Stores'!$B$6),"NO",IF('Exception Stores'!$B$6&lt;=$AX$2,"YES","NO"))</f>
        <v>NO</v>
      </c>
      <c r="CM73" s="1" t="str">
        <f>IF(ISBLANK('Exception Stores'!$B$6),"NO",IF('Exception Stores'!$B$6&lt;=$AY$2,"YES","NO"))</f>
        <v>NO</v>
      </c>
      <c r="CO73" s="1" t="e">
        <f ca="1">IF(AM73&lt;'Exception Stores'!$A$6,"YES","NO")</f>
        <v>#VALUE!</v>
      </c>
      <c r="CP73" s="1">
        <f t="shared" si="131"/>
        <v>0</v>
      </c>
      <c r="CQ73" s="1">
        <f t="shared" si="132"/>
        <v>0</v>
      </c>
      <c r="CR73" s="1">
        <f t="shared" si="133"/>
        <v>0</v>
      </c>
      <c r="CS73" s="1">
        <f t="shared" si="134"/>
        <v>0</v>
      </c>
      <c r="CT73" s="1">
        <f t="shared" si="135"/>
        <v>0</v>
      </c>
      <c r="CU73" s="1">
        <f t="shared" si="136"/>
        <v>0</v>
      </c>
      <c r="CW73" s="1" t="e">
        <f t="shared" ca="1" si="77"/>
        <v>#VALUE!</v>
      </c>
      <c r="CX73" s="1" t="e">
        <f t="shared" ca="1" si="78"/>
        <v>#VALUE!</v>
      </c>
      <c r="CY73" s="1" t="e">
        <f t="shared" ca="1" si="79"/>
        <v>#VALUE!</v>
      </c>
      <c r="CZ73" s="1" t="e">
        <f t="shared" ca="1" si="80"/>
        <v>#VALUE!</v>
      </c>
      <c r="DA73" s="1" t="e">
        <f t="shared" ca="1" si="81"/>
        <v>#VALUE!</v>
      </c>
      <c r="DB73" s="26" t="e">
        <f t="shared" ca="1" si="137"/>
        <v>#VALUE!</v>
      </c>
      <c r="DC73" s="1">
        <f t="shared" si="82"/>
        <v>0</v>
      </c>
      <c r="DD73" s="1">
        <f t="shared" si="83"/>
        <v>0</v>
      </c>
      <c r="DE73" s="1">
        <f t="shared" si="84"/>
        <v>0</v>
      </c>
      <c r="DF73" s="1">
        <f t="shared" si="85"/>
        <v>0</v>
      </c>
      <c r="DG73" s="1">
        <f t="shared" si="86"/>
        <v>0</v>
      </c>
      <c r="DH73" s="26">
        <f t="shared" si="138"/>
        <v>0</v>
      </c>
      <c r="DI73" s="1" t="e">
        <f t="shared" ca="1" si="139"/>
        <v>#VALUE!</v>
      </c>
      <c r="DK73" s="11" t="str">
        <f t="shared" si="87"/>
        <v/>
      </c>
      <c r="DL73" s="11" t="e">
        <f ca="1">IF(AND(NOT(ISBLANK('Exception Stores'!$A$6)),CO73="YES"),S73-$BH$2-(DI73*$BS$2)-(CU73*$BS$2),S73-(DB73*$BS$2))</f>
        <v>#VALUE!</v>
      </c>
      <c r="DM73" s="11" t="str">
        <f>IF(ISBLANK(A73),"",IF(COUNTIF(Remaps!$A$2:$A$200,B73)&gt;0,"YES",""))</f>
        <v>YES</v>
      </c>
      <c r="DN73" s="29">
        <f>IFERROR(INDEX(Remaps!$B$2:$B$200,MATCH(B73,Remaps!$A$2:$A$200,0),1),0)</f>
        <v>0</v>
      </c>
      <c r="DO73" s="11" t="e">
        <f t="shared" ca="1" si="88"/>
        <v>#VALUE!</v>
      </c>
      <c r="DP73" s="29" t="e">
        <f t="shared" si="89"/>
        <v>#VALUE!</v>
      </c>
      <c r="DQ73" s="11" t="e">
        <f ca="1">('Apollo Dock Status'!$Z$1-DP73)/DO73</f>
        <v>#VALUE!</v>
      </c>
      <c r="DR73" s="15" t="e">
        <f t="shared" ca="1" si="140"/>
        <v>#VALUE!</v>
      </c>
    </row>
    <row r="74" spans="1:122">
      <c r="A74" s="1" t="str">
        <f>IF(ISBLANK('Apollo Dock Status'!A74),"",'Apollo Dock Status'!A74)</f>
        <v/>
      </c>
      <c r="B74" s="1" t="str">
        <f>IF(ISBLANK('Apollo Dock Status'!B74),"",'Apollo Dock Status'!B74)</f>
        <v/>
      </c>
      <c r="C74" s="1" t="str">
        <f>IF(ISBLANK('Apollo Dock Status'!C74),"",'Apollo Dock Status'!C74)</f>
        <v/>
      </c>
      <c r="D74" s="1" t="str">
        <f>IF(ISBLANK('Apollo Dock Status'!D74),"",'Apollo Dock Status'!D74)</f>
        <v/>
      </c>
      <c r="E74" s="1" t="str">
        <f>IF(ISBLANK('Apollo Dock Status'!E74),"",'Apollo Dock Status'!E74)</f>
        <v/>
      </c>
      <c r="F74" s="1" t="str">
        <f>IF(ISBLANK('Apollo Dock Status'!F74),"",'Apollo Dock Status'!F74)</f>
        <v/>
      </c>
      <c r="G74" s="1" t="str">
        <f>IF(ISBLANK('Apollo Dock Status'!G74),"",'Apollo Dock Status'!G74)</f>
        <v/>
      </c>
      <c r="H74" s="1" t="str">
        <f>IF(ISBLANK('Apollo Dock Status'!H74),"",'Apollo Dock Status'!H74)</f>
        <v/>
      </c>
      <c r="I74" s="1" t="str">
        <f>IF(ISBLANK('Apollo Dock Status'!I74),"",'Apollo Dock Status'!I74)</f>
        <v/>
      </c>
      <c r="J74" s="1" t="str">
        <f>IF(ISBLANK('Apollo Dock Status'!J74),"",'Apollo Dock Status'!J74)</f>
        <v/>
      </c>
      <c r="K74" s="1" t="str">
        <f>IF(ISBLANK('Apollo Dock Status'!K74),"",'Apollo Dock Status'!K74)</f>
        <v/>
      </c>
      <c r="L74" s="1" t="str">
        <f>IF(ISBLANK('Apollo Dock Status'!L74),"",'Apollo Dock Status'!L74)</f>
        <v/>
      </c>
      <c r="M74" s="1" t="str">
        <f>IF(ISBLANK('Apollo Dock Status'!M74),"",'Apollo Dock Status'!M74)</f>
        <v/>
      </c>
      <c r="N74" s="1" t="str">
        <f>IF(ISBLANK('Apollo Dock Status'!N74),"",'Apollo Dock Status'!N74)</f>
        <v/>
      </c>
      <c r="O74" s="1" t="str">
        <f t="shared" si="90"/>
        <v/>
      </c>
      <c r="P74" s="1" t="str">
        <f t="shared" si="91"/>
        <v/>
      </c>
      <c r="Q74" s="1" t="str">
        <f t="shared" si="92"/>
        <v/>
      </c>
      <c r="R74" s="1" t="str">
        <f t="shared" si="93"/>
        <v/>
      </c>
      <c r="S74" s="11" t="str">
        <f t="shared" si="94"/>
        <v/>
      </c>
      <c r="T74" s="1" t="str">
        <f t="shared" si="95"/>
        <v/>
      </c>
      <c r="U74" s="11" t="str">
        <f t="shared" si="96"/>
        <v/>
      </c>
      <c r="V74" s="11" t="str">
        <f t="shared" si="97"/>
        <v/>
      </c>
      <c r="X74" s="1" t="str">
        <f t="shared" si="98"/>
        <v/>
      </c>
      <c r="Y74" s="1" t="str">
        <f t="shared" si="99"/>
        <v/>
      </c>
      <c r="Z74" s="1" t="str">
        <f t="shared" si="100"/>
        <v/>
      </c>
      <c r="AB74" s="13">
        <f t="shared" ca="1" si="101"/>
        <v>46176</v>
      </c>
      <c r="AC74" s="1">
        <f t="shared" ca="1" si="102"/>
        <v>2026</v>
      </c>
      <c r="AD74" s="1" t="str">
        <f t="shared" ca="1" si="103"/>
        <v>6</v>
      </c>
      <c r="AE74" s="1">
        <f t="shared" si="104"/>
        <v>1</v>
      </c>
      <c r="AF74" s="1" t="str">
        <f t="shared" si="105"/>
        <v/>
      </c>
      <c r="AG74" s="1">
        <f t="shared" ca="1" si="106"/>
        <v>2026</v>
      </c>
      <c r="AH74" s="1">
        <f t="shared" si="107"/>
        <v>1</v>
      </c>
      <c r="AI74" s="1" t="str">
        <f t="shared" ca="1" si="108"/>
        <v>6</v>
      </c>
      <c r="AJ74" s="13" t="e">
        <f t="shared" ca="1" si="109"/>
        <v>#VALUE!</v>
      </c>
      <c r="AK74" s="1" t="e">
        <f>IF(ISBLANK(A74),"",IFERROR(MID(F74,SEARCH(", ",F74)+LEN(", "),SEARCH(" "&amp;'Exception Stores'!$A$2,F74)-SEARCH(", ",F74)-LEN(", ")),MID(F74,SEARCH(", ",F74)+LEN(", "),SEARCH(" "&amp;'Exception Stores'!$B$2,F74)-SEARCH(", ",F74)-LEN(", "))))</f>
        <v>#VALUE!</v>
      </c>
      <c r="AL74" s="1" t="e">
        <f t="shared" si="110"/>
        <v>#VALUE!</v>
      </c>
      <c r="AM74" s="15" t="e">
        <f t="shared" ca="1" si="111"/>
        <v>#VALUE!</v>
      </c>
      <c r="AN74" s="24" t="e">
        <f t="shared" ca="1" si="112"/>
        <v>#VALUE!</v>
      </c>
      <c r="AO74" s="1" t="e">
        <f t="shared" ca="1" si="113"/>
        <v>#VALUE!</v>
      </c>
      <c r="AP74" s="13" t="e">
        <f t="shared" ca="1" si="114"/>
        <v>#VALUE!</v>
      </c>
      <c r="AQ74" s="17" t="e">
        <f t="shared" ca="1" si="115"/>
        <v>#VALUE!</v>
      </c>
      <c r="AS74" s="15" t="e">
        <f t="shared" ca="1" si="116"/>
        <v>#VALUE!</v>
      </c>
      <c r="AT74" s="5">
        <f>'Exception Stores'!$D$2</f>
        <v>0.125</v>
      </c>
      <c r="AU74" s="15" t="e">
        <f t="shared" ca="1" si="117"/>
        <v>#VALUE!</v>
      </c>
      <c r="AV74" s="15" t="e">
        <f t="shared" ca="1" si="118"/>
        <v>#VALUE!</v>
      </c>
      <c r="AW74" s="15" t="e">
        <f t="shared" ca="1" si="119"/>
        <v>#VALUE!</v>
      </c>
      <c r="AX74" s="15" t="e">
        <f t="shared" ca="1" si="120"/>
        <v>#VALUE!</v>
      </c>
      <c r="AY74" s="15" t="e">
        <f t="shared" ca="1" si="121"/>
        <v>#VALUE!</v>
      </c>
      <c r="AZ74" s="1" t="e">
        <f t="shared" ca="1" si="122"/>
        <v>#VALUE!</v>
      </c>
      <c r="BA74" s="15" t="e">
        <f t="shared" ca="1" si="123"/>
        <v>#VALUE!</v>
      </c>
      <c r="BB74" s="15" t="e">
        <f t="shared" ca="1" si="124"/>
        <v>#VALUE!</v>
      </c>
      <c r="BC74" s="1" t="e">
        <f t="shared" ca="1" si="125"/>
        <v>#VALUE!</v>
      </c>
      <c r="BE74" s="15" t="str">
        <f>IF(ISBLANK('Exception Stores'!$A$6),"",'Exception Stores'!$A$6)</f>
        <v/>
      </c>
      <c r="BF74" s="15" t="str">
        <f>IF(ISBLANK('Exception Stores'!$B$6),"",'Exception Stores'!$B$6)</f>
        <v/>
      </c>
      <c r="BG74" s="1">
        <f>IF(ISBLANK('Exception Stores'!$A$6),0,IF($AN$2&gt;$BF$2,($AN$2-$BF$2)*24,0))</f>
        <v>0</v>
      </c>
      <c r="BH74" s="11">
        <f>IF(ISBLANK('Exception Stores'!$A$6),0,($BF$2-$BE$2)*24)</f>
        <v>0</v>
      </c>
      <c r="BI7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74" s="1">
        <f>IF(ISBLANK('Exception Stores'!$A$6),0,IF($AN$2&gt;$BF$2,0,IF(AND($AN$2&lt;$BF$2,$BT$2="B"),(($BF$2-$AN$2)*24)-$BS$2,($BF$2-$AN$2)*24)))</f>
        <v>0</v>
      </c>
      <c r="BL74" s="5"/>
      <c r="BM74" s="5"/>
      <c r="BN74" s="5"/>
      <c r="BO74" s="5"/>
      <c r="BP74" s="5"/>
      <c r="BV74" s="1" t="e">
        <f t="shared" ca="1" si="126"/>
        <v>#VALUE!</v>
      </c>
      <c r="BW74" s="1" t="e">
        <f t="shared" ca="1" si="127"/>
        <v>#VALUE!</v>
      </c>
      <c r="BX74" s="1" t="e">
        <f t="shared" ca="1" si="128"/>
        <v>#VALUE!</v>
      </c>
      <c r="BY74" s="1" t="e">
        <f t="shared" ca="1" si="129"/>
        <v>#VALUE!</v>
      </c>
      <c r="BZ74" s="1" t="e">
        <f t="shared" ca="1" si="130"/>
        <v>#VALUE!</v>
      </c>
      <c r="CB74" s="1" t="str">
        <f>IF(ISBLANK('Exception Stores'!$A$6),"",WEEKDAY($BF$2))</f>
        <v/>
      </c>
      <c r="CC74" s="1" t="str">
        <f>IF(ISBLANK('Exception Stores'!$A$6),"NO",IF('Exception Stores'!$A$6&lt;$AU$2,"YES","NO"))</f>
        <v>NO</v>
      </c>
      <c r="CD74" s="1" t="str">
        <f>IF(ISBLANK('Exception Stores'!$A$6),"NO",IF('Exception Stores'!$A$6&lt;$AV$2,"YES","NO"))</f>
        <v>NO</v>
      </c>
      <c r="CE74" s="1" t="str">
        <f>IF(ISBLANK('Exception Stores'!$A$6),"NO",IF('Exception Stores'!$A$6&lt;$AW$2,"YES","NO"))</f>
        <v>NO</v>
      </c>
      <c r="CF74" s="1" t="str">
        <f>IF(ISBLANK('Exception Stores'!$A$6),"NO",IF('Exception Stores'!$A$6&lt;$AX$2,"YES","NO"))</f>
        <v>NO</v>
      </c>
      <c r="CG74" s="1" t="str">
        <f>IF(ISBLANK('Exception Stores'!$A$6),"NO",IF('Exception Stores'!$A$6&lt;$AY$2,"YES","NO"))</f>
        <v>NO</v>
      </c>
      <c r="CI74" s="42" t="str">
        <f>IF(ISBLANK('Exception Stores'!$B$6),"NO",IF('Exception Stores'!$B$6&lt;=$AU$2,"YES","NO"))</f>
        <v>NO</v>
      </c>
      <c r="CJ74" s="42" t="str">
        <f>IF(ISBLANK('Exception Stores'!$B$6),"NO",IF('Exception Stores'!$B$6&lt;=$AV$2,"YES","NO"))</f>
        <v>NO</v>
      </c>
      <c r="CK74" s="1" t="str">
        <f>IF(ISBLANK('Exception Stores'!$B$6),"NO",IF('Exception Stores'!$B$6&lt;=$AW$2,"YES","NO"))</f>
        <v>NO</v>
      </c>
      <c r="CL74" s="1" t="str">
        <f>IF(ISBLANK('Exception Stores'!$B$6),"NO",IF('Exception Stores'!$B$6&lt;=$AX$2,"YES","NO"))</f>
        <v>NO</v>
      </c>
      <c r="CM74" s="1" t="str">
        <f>IF(ISBLANK('Exception Stores'!$B$6),"NO",IF('Exception Stores'!$B$6&lt;=$AY$2,"YES","NO"))</f>
        <v>NO</v>
      </c>
      <c r="CO74" s="1" t="e">
        <f ca="1">IF(AM74&lt;'Exception Stores'!$A$6,"YES","NO")</f>
        <v>#VALUE!</v>
      </c>
      <c r="CP74" s="1">
        <f t="shared" si="131"/>
        <v>0</v>
      </c>
      <c r="CQ74" s="1">
        <f t="shared" si="132"/>
        <v>0</v>
      </c>
      <c r="CR74" s="1">
        <f t="shared" si="133"/>
        <v>0</v>
      </c>
      <c r="CS74" s="1">
        <f t="shared" si="134"/>
        <v>0</v>
      </c>
      <c r="CT74" s="1">
        <f t="shared" si="135"/>
        <v>0</v>
      </c>
      <c r="CU74" s="1">
        <f t="shared" si="136"/>
        <v>0</v>
      </c>
      <c r="CW74" s="1" t="e">
        <f t="shared" ca="1" si="77"/>
        <v>#VALUE!</v>
      </c>
      <c r="CX74" s="1" t="e">
        <f t="shared" ca="1" si="78"/>
        <v>#VALUE!</v>
      </c>
      <c r="CY74" s="1" t="e">
        <f t="shared" ca="1" si="79"/>
        <v>#VALUE!</v>
      </c>
      <c r="CZ74" s="1" t="e">
        <f t="shared" ca="1" si="80"/>
        <v>#VALUE!</v>
      </c>
      <c r="DA74" s="1" t="e">
        <f t="shared" ca="1" si="81"/>
        <v>#VALUE!</v>
      </c>
      <c r="DB74" s="26" t="e">
        <f t="shared" ca="1" si="137"/>
        <v>#VALUE!</v>
      </c>
      <c r="DC74" s="1">
        <f t="shared" si="82"/>
        <v>0</v>
      </c>
      <c r="DD74" s="1">
        <f t="shared" si="83"/>
        <v>0</v>
      </c>
      <c r="DE74" s="1">
        <f t="shared" si="84"/>
        <v>0</v>
      </c>
      <c r="DF74" s="1">
        <f t="shared" si="85"/>
        <v>0</v>
      </c>
      <c r="DG74" s="1">
        <f t="shared" si="86"/>
        <v>0</v>
      </c>
      <c r="DH74" s="26">
        <f t="shared" si="138"/>
        <v>0</v>
      </c>
      <c r="DI74" s="1" t="e">
        <f t="shared" ca="1" si="139"/>
        <v>#VALUE!</v>
      </c>
      <c r="DK74" s="11" t="str">
        <f t="shared" si="87"/>
        <v/>
      </c>
      <c r="DL74" s="11" t="e">
        <f ca="1">IF(AND(NOT(ISBLANK('Exception Stores'!$A$6)),CO74="YES"),S74-$BH$2-(DI74*$BS$2)-(CU74*$BS$2),S74-(DB74*$BS$2))</f>
        <v>#VALUE!</v>
      </c>
      <c r="DM74" s="11" t="str">
        <f>IF(ISBLANK(A74),"",IF(COUNTIF(Remaps!$A$2:$A$200,B74)&gt;0,"YES",""))</f>
        <v>YES</v>
      </c>
      <c r="DN74" s="29">
        <f>IFERROR(INDEX(Remaps!$B$2:$B$200,MATCH(B74,Remaps!$A$2:$A$200,0),1),0)</f>
        <v>0</v>
      </c>
      <c r="DO74" s="11" t="e">
        <f t="shared" ca="1" si="88"/>
        <v>#VALUE!</v>
      </c>
      <c r="DP74" s="29" t="e">
        <f t="shared" si="89"/>
        <v>#VALUE!</v>
      </c>
      <c r="DQ74" s="11" t="e">
        <f ca="1">('Apollo Dock Status'!$Z$1-DP74)/DO74</f>
        <v>#VALUE!</v>
      </c>
      <c r="DR74" s="15" t="e">
        <f t="shared" ca="1" si="140"/>
        <v>#VALUE!</v>
      </c>
    </row>
    <row r="75" spans="1:122">
      <c r="A75" s="1" t="str">
        <f>IF(ISBLANK('Apollo Dock Status'!A75),"",'Apollo Dock Status'!A75)</f>
        <v/>
      </c>
      <c r="B75" s="1" t="str">
        <f>IF(ISBLANK('Apollo Dock Status'!B75),"",'Apollo Dock Status'!B75)</f>
        <v/>
      </c>
      <c r="C75" s="1" t="str">
        <f>IF(ISBLANK('Apollo Dock Status'!C75),"",'Apollo Dock Status'!C75)</f>
        <v/>
      </c>
      <c r="D75" s="1" t="str">
        <f>IF(ISBLANK('Apollo Dock Status'!D75),"",'Apollo Dock Status'!D75)</f>
        <v/>
      </c>
      <c r="E75" s="1" t="str">
        <f>IF(ISBLANK('Apollo Dock Status'!E75),"",'Apollo Dock Status'!E75)</f>
        <v/>
      </c>
      <c r="F75" s="1" t="str">
        <f>IF(ISBLANK('Apollo Dock Status'!F75),"",'Apollo Dock Status'!F75)</f>
        <v/>
      </c>
      <c r="G75" s="1" t="str">
        <f>IF(ISBLANK('Apollo Dock Status'!G75),"",'Apollo Dock Status'!G75)</f>
        <v/>
      </c>
      <c r="H75" s="1" t="str">
        <f>IF(ISBLANK('Apollo Dock Status'!H75),"",'Apollo Dock Status'!H75)</f>
        <v/>
      </c>
      <c r="I75" s="1" t="str">
        <f>IF(ISBLANK('Apollo Dock Status'!I75),"",'Apollo Dock Status'!I75)</f>
        <v/>
      </c>
      <c r="J75" s="1" t="str">
        <f>IF(ISBLANK('Apollo Dock Status'!J75),"",'Apollo Dock Status'!J75)</f>
        <v/>
      </c>
      <c r="K75" s="1" t="str">
        <f>IF(ISBLANK('Apollo Dock Status'!K75),"",'Apollo Dock Status'!K75)</f>
        <v/>
      </c>
      <c r="L75" s="1" t="str">
        <f>IF(ISBLANK('Apollo Dock Status'!L75),"",'Apollo Dock Status'!L75)</f>
        <v/>
      </c>
      <c r="M75" s="1" t="str">
        <f>IF(ISBLANK('Apollo Dock Status'!M75),"",'Apollo Dock Status'!M75)</f>
        <v/>
      </c>
      <c r="N75" s="1" t="str">
        <f>IF(ISBLANK('Apollo Dock Status'!N75),"",'Apollo Dock Status'!N75)</f>
        <v/>
      </c>
      <c r="O75" s="1" t="str">
        <f t="shared" si="90"/>
        <v/>
      </c>
      <c r="P75" s="1" t="str">
        <f t="shared" si="91"/>
        <v/>
      </c>
      <c r="Q75" s="1" t="str">
        <f t="shared" si="92"/>
        <v/>
      </c>
      <c r="R75" s="1" t="str">
        <f t="shared" si="93"/>
        <v/>
      </c>
      <c r="S75" s="11" t="str">
        <f t="shared" si="94"/>
        <v/>
      </c>
      <c r="T75" s="1" t="str">
        <f t="shared" si="95"/>
        <v/>
      </c>
      <c r="U75" s="11" t="str">
        <f t="shared" si="96"/>
        <v/>
      </c>
      <c r="V75" s="11" t="str">
        <f t="shared" si="97"/>
        <v/>
      </c>
      <c r="X75" s="1" t="str">
        <f t="shared" si="98"/>
        <v/>
      </c>
      <c r="Y75" s="1" t="str">
        <f t="shared" si="99"/>
        <v/>
      </c>
      <c r="Z75" s="1" t="str">
        <f t="shared" si="100"/>
        <v/>
      </c>
      <c r="AB75" s="13">
        <f t="shared" ca="1" si="101"/>
        <v>46176</v>
      </c>
      <c r="AC75" s="1">
        <f t="shared" ca="1" si="102"/>
        <v>2026</v>
      </c>
      <c r="AD75" s="1" t="str">
        <f t="shared" ca="1" si="103"/>
        <v>6</v>
      </c>
      <c r="AE75" s="1">
        <f t="shared" si="104"/>
        <v>1</v>
      </c>
      <c r="AF75" s="1" t="str">
        <f t="shared" si="105"/>
        <v/>
      </c>
      <c r="AG75" s="1">
        <f t="shared" ca="1" si="106"/>
        <v>2026</v>
      </c>
      <c r="AH75" s="1">
        <f t="shared" si="107"/>
        <v>1</v>
      </c>
      <c r="AI75" s="1" t="str">
        <f t="shared" ca="1" si="108"/>
        <v>6</v>
      </c>
      <c r="AJ75" s="13" t="e">
        <f t="shared" ca="1" si="109"/>
        <v>#VALUE!</v>
      </c>
      <c r="AK75" s="1" t="e">
        <f>IF(ISBLANK(A75),"",IFERROR(MID(F75,SEARCH(", ",F75)+LEN(", "),SEARCH(" "&amp;'Exception Stores'!$A$2,F75)-SEARCH(", ",F75)-LEN(", ")),MID(F75,SEARCH(", ",F75)+LEN(", "),SEARCH(" "&amp;'Exception Stores'!$B$2,F75)-SEARCH(", ",F75)-LEN(", "))))</f>
        <v>#VALUE!</v>
      </c>
      <c r="AL75" s="1" t="e">
        <f t="shared" si="110"/>
        <v>#VALUE!</v>
      </c>
      <c r="AM75" s="15" t="e">
        <f t="shared" ca="1" si="111"/>
        <v>#VALUE!</v>
      </c>
      <c r="AN75" s="24" t="e">
        <f t="shared" ca="1" si="112"/>
        <v>#VALUE!</v>
      </c>
      <c r="AO75" s="1" t="e">
        <f t="shared" ca="1" si="113"/>
        <v>#VALUE!</v>
      </c>
      <c r="AP75" s="13" t="e">
        <f t="shared" ca="1" si="114"/>
        <v>#VALUE!</v>
      </c>
      <c r="AQ75" s="17" t="e">
        <f t="shared" ca="1" si="115"/>
        <v>#VALUE!</v>
      </c>
      <c r="AS75" s="15" t="e">
        <f t="shared" ca="1" si="116"/>
        <v>#VALUE!</v>
      </c>
      <c r="AT75" s="5">
        <f>'Exception Stores'!$D$2</f>
        <v>0.125</v>
      </c>
      <c r="AU75" s="15" t="e">
        <f t="shared" ca="1" si="117"/>
        <v>#VALUE!</v>
      </c>
      <c r="AV75" s="15" t="e">
        <f t="shared" ca="1" si="118"/>
        <v>#VALUE!</v>
      </c>
      <c r="AW75" s="15" t="e">
        <f t="shared" ca="1" si="119"/>
        <v>#VALUE!</v>
      </c>
      <c r="AX75" s="15" t="e">
        <f t="shared" ca="1" si="120"/>
        <v>#VALUE!</v>
      </c>
      <c r="AY75" s="15" t="e">
        <f t="shared" ca="1" si="121"/>
        <v>#VALUE!</v>
      </c>
      <c r="AZ75" s="1" t="e">
        <f t="shared" ca="1" si="122"/>
        <v>#VALUE!</v>
      </c>
      <c r="BA75" s="15" t="e">
        <f t="shared" ca="1" si="123"/>
        <v>#VALUE!</v>
      </c>
      <c r="BB75" s="15" t="e">
        <f t="shared" ca="1" si="124"/>
        <v>#VALUE!</v>
      </c>
      <c r="BC75" s="1" t="e">
        <f t="shared" ca="1" si="125"/>
        <v>#VALUE!</v>
      </c>
      <c r="BE75" s="15" t="str">
        <f>IF(ISBLANK('Exception Stores'!$A$6),"",'Exception Stores'!$A$6)</f>
        <v/>
      </c>
      <c r="BF75" s="15" t="str">
        <f>IF(ISBLANK('Exception Stores'!$B$6),"",'Exception Stores'!$B$6)</f>
        <v/>
      </c>
      <c r="BG75" s="1">
        <f>IF(ISBLANK('Exception Stores'!$A$6),0,IF($AN$2&gt;$BF$2,($AN$2-$BF$2)*24,0))</f>
        <v>0</v>
      </c>
      <c r="BH75" s="11">
        <f>IF(ISBLANK('Exception Stores'!$A$6),0,($BF$2-$BE$2)*24)</f>
        <v>0</v>
      </c>
      <c r="BI7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75" s="1">
        <f>IF(ISBLANK('Exception Stores'!$A$6),0,IF($AN$2&gt;$BF$2,0,IF(AND($AN$2&lt;$BF$2,$BT$2="B"),(($BF$2-$AN$2)*24)-$BS$2,($BF$2-$AN$2)*24)))</f>
        <v>0</v>
      </c>
      <c r="BL75" s="5"/>
      <c r="BM75" s="5"/>
      <c r="BN75" s="5"/>
      <c r="BO75" s="5"/>
      <c r="BP75" s="5"/>
      <c r="BV75" s="1" t="e">
        <f t="shared" ca="1" si="126"/>
        <v>#VALUE!</v>
      </c>
      <c r="BW75" s="1" t="e">
        <f t="shared" ca="1" si="127"/>
        <v>#VALUE!</v>
      </c>
      <c r="BX75" s="1" t="e">
        <f t="shared" ca="1" si="128"/>
        <v>#VALUE!</v>
      </c>
      <c r="BY75" s="1" t="e">
        <f t="shared" ca="1" si="129"/>
        <v>#VALUE!</v>
      </c>
      <c r="BZ75" s="1" t="e">
        <f t="shared" ca="1" si="130"/>
        <v>#VALUE!</v>
      </c>
      <c r="CB75" s="1" t="str">
        <f>IF(ISBLANK('Exception Stores'!$A$6),"",WEEKDAY($BF$2))</f>
        <v/>
      </c>
      <c r="CC75" s="1" t="str">
        <f>IF(ISBLANK('Exception Stores'!$A$6),"NO",IF('Exception Stores'!$A$6&lt;$AU$2,"YES","NO"))</f>
        <v>NO</v>
      </c>
      <c r="CD75" s="1" t="str">
        <f>IF(ISBLANK('Exception Stores'!$A$6),"NO",IF('Exception Stores'!$A$6&lt;$AV$2,"YES","NO"))</f>
        <v>NO</v>
      </c>
      <c r="CE75" s="1" t="str">
        <f>IF(ISBLANK('Exception Stores'!$A$6),"NO",IF('Exception Stores'!$A$6&lt;$AW$2,"YES","NO"))</f>
        <v>NO</v>
      </c>
      <c r="CF75" s="1" t="str">
        <f>IF(ISBLANK('Exception Stores'!$A$6),"NO",IF('Exception Stores'!$A$6&lt;$AX$2,"YES","NO"))</f>
        <v>NO</v>
      </c>
      <c r="CG75" s="1" t="str">
        <f>IF(ISBLANK('Exception Stores'!$A$6),"NO",IF('Exception Stores'!$A$6&lt;$AY$2,"YES","NO"))</f>
        <v>NO</v>
      </c>
      <c r="CI75" s="42" t="str">
        <f>IF(ISBLANK('Exception Stores'!$B$6),"NO",IF('Exception Stores'!$B$6&lt;=$AU$2,"YES","NO"))</f>
        <v>NO</v>
      </c>
      <c r="CJ75" s="42" t="str">
        <f>IF(ISBLANK('Exception Stores'!$B$6),"NO",IF('Exception Stores'!$B$6&lt;=$AV$2,"YES","NO"))</f>
        <v>NO</v>
      </c>
      <c r="CK75" s="1" t="str">
        <f>IF(ISBLANK('Exception Stores'!$B$6),"NO",IF('Exception Stores'!$B$6&lt;=$AW$2,"YES","NO"))</f>
        <v>NO</v>
      </c>
      <c r="CL75" s="1" t="str">
        <f>IF(ISBLANK('Exception Stores'!$B$6),"NO",IF('Exception Stores'!$B$6&lt;=$AX$2,"YES","NO"))</f>
        <v>NO</v>
      </c>
      <c r="CM75" s="1" t="str">
        <f>IF(ISBLANK('Exception Stores'!$B$6),"NO",IF('Exception Stores'!$B$6&lt;=$AY$2,"YES","NO"))</f>
        <v>NO</v>
      </c>
      <c r="CO75" s="1" t="e">
        <f ca="1">IF(AM75&lt;'Exception Stores'!$A$6,"YES","NO")</f>
        <v>#VALUE!</v>
      </c>
      <c r="CP75" s="1">
        <f t="shared" si="131"/>
        <v>0</v>
      </c>
      <c r="CQ75" s="1">
        <f t="shared" si="132"/>
        <v>0</v>
      </c>
      <c r="CR75" s="1">
        <f t="shared" si="133"/>
        <v>0</v>
      </c>
      <c r="CS75" s="1">
        <f t="shared" si="134"/>
        <v>0</v>
      </c>
      <c r="CT75" s="1">
        <f t="shared" si="135"/>
        <v>0</v>
      </c>
      <c r="CU75" s="1">
        <f t="shared" si="136"/>
        <v>0</v>
      </c>
      <c r="CW75" s="1" t="e">
        <f t="shared" ca="1" si="77"/>
        <v>#VALUE!</v>
      </c>
      <c r="CX75" s="1" t="e">
        <f t="shared" ca="1" si="78"/>
        <v>#VALUE!</v>
      </c>
      <c r="CY75" s="1" t="e">
        <f t="shared" ca="1" si="79"/>
        <v>#VALUE!</v>
      </c>
      <c r="CZ75" s="1" t="e">
        <f t="shared" ca="1" si="80"/>
        <v>#VALUE!</v>
      </c>
      <c r="DA75" s="1" t="e">
        <f t="shared" ca="1" si="81"/>
        <v>#VALUE!</v>
      </c>
      <c r="DB75" s="26" t="e">
        <f t="shared" ca="1" si="137"/>
        <v>#VALUE!</v>
      </c>
      <c r="DC75" s="1">
        <f t="shared" si="82"/>
        <v>0</v>
      </c>
      <c r="DD75" s="1">
        <f t="shared" si="83"/>
        <v>0</v>
      </c>
      <c r="DE75" s="1">
        <f t="shared" si="84"/>
        <v>0</v>
      </c>
      <c r="DF75" s="1">
        <f t="shared" si="85"/>
        <v>0</v>
      </c>
      <c r="DG75" s="1">
        <f t="shared" si="86"/>
        <v>0</v>
      </c>
      <c r="DH75" s="26">
        <f t="shared" si="138"/>
        <v>0</v>
      </c>
      <c r="DI75" s="1" t="e">
        <f t="shared" ca="1" si="139"/>
        <v>#VALUE!</v>
      </c>
      <c r="DK75" s="11" t="str">
        <f t="shared" si="87"/>
        <v/>
      </c>
      <c r="DL75" s="11" t="e">
        <f ca="1">IF(AND(NOT(ISBLANK('Exception Stores'!$A$6)),CO75="YES"),S75-$BH$2-(DI75*$BS$2)-(CU75*$BS$2),S75-(DB75*$BS$2))</f>
        <v>#VALUE!</v>
      </c>
      <c r="DM75" s="11" t="str">
        <f>IF(ISBLANK(A75),"",IF(COUNTIF(Remaps!$A$2:$A$200,B75)&gt;0,"YES",""))</f>
        <v>YES</v>
      </c>
      <c r="DN75" s="29">
        <f>IFERROR(INDEX(Remaps!$B$2:$B$200,MATCH(B75,Remaps!$A$2:$A$200,0),1),0)</f>
        <v>0</v>
      </c>
      <c r="DO75" s="11" t="e">
        <f t="shared" ca="1" si="88"/>
        <v>#VALUE!</v>
      </c>
      <c r="DP75" s="29" t="e">
        <f t="shared" si="89"/>
        <v>#VALUE!</v>
      </c>
      <c r="DQ75" s="11" t="e">
        <f ca="1">('Apollo Dock Status'!$Z$1-DP75)/DO75</f>
        <v>#VALUE!</v>
      </c>
      <c r="DR75" s="15" t="e">
        <f t="shared" ca="1" si="140"/>
        <v>#VALUE!</v>
      </c>
    </row>
    <row r="76" spans="1:122">
      <c r="A76" s="1" t="str">
        <f>IF(ISBLANK('Apollo Dock Status'!A76),"",'Apollo Dock Status'!A76)</f>
        <v/>
      </c>
      <c r="B76" s="1" t="str">
        <f>IF(ISBLANK('Apollo Dock Status'!B76),"",'Apollo Dock Status'!B76)</f>
        <v/>
      </c>
      <c r="C76" s="1" t="str">
        <f>IF(ISBLANK('Apollo Dock Status'!C76),"",'Apollo Dock Status'!C76)</f>
        <v/>
      </c>
      <c r="D76" s="1" t="str">
        <f>IF(ISBLANK('Apollo Dock Status'!D76),"",'Apollo Dock Status'!D76)</f>
        <v/>
      </c>
      <c r="E76" s="1" t="str">
        <f>IF(ISBLANK('Apollo Dock Status'!E76),"",'Apollo Dock Status'!E76)</f>
        <v/>
      </c>
      <c r="F76" s="1" t="str">
        <f>IF(ISBLANK('Apollo Dock Status'!F76),"",'Apollo Dock Status'!F76)</f>
        <v/>
      </c>
      <c r="G76" s="1" t="str">
        <f>IF(ISBLANK('Apollo Dock Status'!G76),"",'Apollo Dock Status'!G76)</f>
        <v/>
      </c>
      <c r="H76" s="1" t="str">
        <f>IF(ISBLANK('Apollo Dock Status'!H76),"",'Apollo Dock Status'!H76)</f>
        <v/>
      </c>
      <c r="I76" s="1" t="str">
        <f>IF(ISBLANK('Apollo Dock Status'!I76),"",'Apollo Dock Status'!I76)</f>
        <v/>
      </c>
      <c r="J76" s="1" t="str">
        <f>IF(ISBLANK('Apollo Dock Status'!J76),"",'Apollo Dock Status'!J76)</f>
        <v/>
      </c>
      <c r="K76" s="1" t="str">
        <f>IF(ISBLANK('Apollo Dock Status'!K76),"",'Apollo Dock Status'!K76)</f>
        <v/>
      </c>
      <c r="L76" s="1" t="str">
        <f>IF(ISBLANK('Apollo Dock Status'!L76),"",'Apollo Dock Status'!L76)</f>
        <v/>
      </c>
      <c r="M76" s="1" t="str">
        <f>IF(ISBLANK('Apollo Dock Status'!M76),"",'Apollo Dock Status'!M76)</f>
        <v/>
      </c>
      <c r="N76" s="1" t="str">
        <f>IF(ISBLANK('Apollo Dock Status'!N76),"",'Apollo Dock Status'!N76)</f>
        <v/>
      </c>
      <c r="O76" s="1" t="str">
        <f t="shared" si="90"/>
        <v/>
      </c>
      <c r="P76" s="1" t="str">
        <f t="shared" si="91"/>
        <v/>
      </c>
      <c r="Q76" s="1" t="str">
        <f t="shared" si="92"/>
        <v/>
      </c>
      <c r="R76" s="1" t="str">
        <f t="shared" si="93"/>
        <v/>
      </c>
      <c r="S76" s="11" t="str">
        <f t="shared" si="94"/>
        <v/>
      </c>
      <c r="T76" s="1" t="str">
        <f t="shared" si="95"/>
        <v/>
      </c>
      <c r="U76" s="11" t="str">
        <f t="shared" si="96"/>
        <v/>
      </c>
      <c r="V76" s="11" t="str">
        <f t="shared" si="97"/>
        <v/>
      </c>
      <c r="X76" s="1" t="str">
        <f t="shared" si="98"/>
        <v/>
      </c>
      <c r="Y76" s="1" t="str">
        <f t="shared" si="99"/>
        <v/>
      </c>
      <c r="Z76" s="1" t="str">
        <f t="shared" si="100"/>
        <v/>
      </c>
      <c r="AB76" s="13">
        <f t="shared" ca="1" si="101"/>
        <v>46176</v>
      </c>
      <c r="AC76" s="1">
        <f t="shared" ca="1" si="102"/>
        <v>2026</v>
      </c>
      <c r="AD76" s="1" t="str">
        <f t="shared" ca="1" si="103"/>
        <v>6</v>
      </c>
      <c r="AE76" s="1">
        <f t="shared" si="104"/>
        <v>1</v>
      </c>
      <c r="AF76" s="1" t="str">
        <f t="shared" si="105"/>
        <v/>
      </c>
      <c r="AG76" s="1">
        <f t="shared" ca="1" si="106"/>
        <v>2026</v>
      </c>
      <c r="AH76" s="1">
        <f t="shared" si="107"/>
        <v>1</v>
      </c>
      <c r="AI76" s="1" t="str">
        <f t="shared" ca="1" si="108"/>
        <v>6</v>
      </c>
      <c r="AJ76" s="13" t="e">
        <f t="shared" ca="1" si="109"/>
        <v>#VALUE!</v>
      </c>
      <c r="AK76" s="1" t="e">
        <f>IF(ISBLANK(A76),"",IFERROR(MID(F76,SEARCH(", ",F76)+LEN(", "),SEARCH(" "&amp;'Exception Stores'!$A$2,F76)-SEARCH(", ",F76)-LEN(", ")),MID(F76,SEARCH(", ",F76)+LEN(", "),SEARCH(" "&amp;'Exception Stores'!$B$2,F76)-SEARCH(", ",F76)-LEN(", "))))</f>
        <v>#VALUE!</v>
      </c>
      <c r="AL76" s="1" t="e">
        <f t="shared" si="110"/>
        <v>#VALUE!</v>
      </c>
      <c r="AM76" s="15" t="e">
        <f t="shared" ca="1" si="111"/>
        <v>#VALUE!</v>
      </c>
      <c r="AN76" s="24" t="e">
        <f t="shared" ca="1" si="112"/>
        <v>#VALUE!</v>
      </c>
      <c r="AO76" s="1" t="e">
        <f t="shared" ca="1" si="113"/>
        <v>#VALUE!</v>
      </c>
      <c r="AP76" s="13" t="e">
        <f t="shared" ca="1" si="114"/>
        <v>#VALUE!</v>
      </c>
      <c r="AQ76" s="17" t="e">
        <f t="shared" ca="1" si="115"/>
        <v>#VALUE!</v>
      </c>
      <c r="AS76" s="15" t="e">
        <f t="shared" ca="1" si="116"/>
        <v>#VALUE!</v>
      </c>
      <c r="AT76" s="5">
        <f>'Exception Stores'!$D$2</f>
        <v>0.125</v>
      </c>
      <c r="AU76" s="15" t="e">
        <f t="shared" ca="1" si="117"/>
        <v>#VALUE!</v>
      </c>
      <c r="AV76" s="15" t="e">
        <f t="shared" ca="1" si="118"/>
        <v>#VALUE!</v>
      </c>
      <c r="AW76" s="15" t="e">
        <f t="shared" ca="1" si="119"/>
        <v>#VALUE!</v>
      </c>
      <c r="AX76" s="15" t="e">
        <f t="shared" ca="1" si="120"/>
        <v>#VALUE!</v>
      </c>
      <c r="AY76" s="15" t="e">
        <f t="shared" ca="1" si="121"/>
        <v>#VALUE!</v>
      </c>
      <c r="AZ76" s="1" t="e">
        <f t="shared" ca="1" si="122"/>
        <v>#VALUE!</v>
      </c>
      <c r="BA76" s="15" t="e">
        <f t="shared" ca="1" si="123"/>
        <v>#VALUE!</v>
      </c>
      <c r="BB76" s="15" t="e">
        <f t="shared" ca="1" si="124"/>
        <v>#VALUE!</v>
      </c>
      <c r="BC76" s="1" t="e">
        <f t="shared" ca="1" si="125"/>
        <v>#VALUE!</v>
      </c>
      <c r="BE76" s="15" t="str">
        <f>IF(ISBLANK('Exception Stores'!$A$6),"",'Exception Stores'!$A$6)</f>
        <v/>
      </c>
      <c r="BF76" s="15" t="str">
        <f>IF(ISBLANK('Exception Stores'!$B$6),"",'Exception Stores'!$B$6)</f>
        <v/>
      </c>
      <c r="BG76" s="1">
        <f>IF(ISBLANK('Exception Stores'!$A$6),0,IF($AN$2&gt;$BF$2,($AN$2-$BF$2)*24,0))</f>
        <v>0</v>
      </c>
      <c r="BH76" s="11">
        <f>IF(ISBLANK('Exception Stores'!$A$6),0,($BF$2-$BE$2)*24)</f>
        <v>0</v>
      </c>
      <c r="BI7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76" s="1">
        <f>IF(ISBLANK('Exception Stores'!$A$6),0,IF($AN$2&gt;$BF$2,0,IF(AND($AN$2&lt;$BF$2,$BT$2="B"),(($BF$2-$AN$2)*24)-$BS$2,($BF$2-$AN$2)*24)))</f>
        <v>0</v>
      </c>
      <c r="BL76" s="5"/>
      <c r="BM76" s="5"/>
      <c r="BN76" s="5"/>
      <c r="BO76" s="5"/>
      <c r="BP76" s="5"/>
      <c r="BV76" s="1" t="e">
        <f t="shared" ca="1" si="126"/>
        <v>#VALUE!</v>
      </c>
      <c r="BW76" s="1" t="e">
        <f t="shared" ca="1" si="127"/>
        <v>#VALUE!</v>
      </c>
      <c r="BX76" s="1" t="e">
        <f t="shared" ca="1" si="128"/>
        <v>#VALUE!</v>
      </c>
      <c r="BY76" s="1" t="e">
        <f t="shared" ca="1" si="129"/>
        <v>#VALUE!</v>
      </c>
      <c r="BZ76" s="1" t="e">
        <f t="shared" ca="1" si="130"/>
        <v>#VALUE!</v>
      </c>
      <c r="CB76" s="1" t="str">
        <f>IF(ISBLANK('Exception Stores'!$A$6),"",WEEKDAY($BF$2))</f>
        <v/>
      </c>
      <c r="CC76" s="1" t="str">
        <f>IF(ISBLANK('Exception Stores'!$A$6),"NO",IF('Exception Stores'!$A$6&lt;$AU$2,"YES","NO"))</f>
        <v>NO</v>
      </c>
      <c r="CD76" s="1" t="str">
        <f>IF(ISBLANK('Exception Stores'!$A$6),"NO",IF('Exception Stores'!$A$6&lt;$AV$2,"YES","NO"))</f>
        <v>NO</v>
      </c>
      <c r="CE76" s="1" t="str">
        <f>IF(ISBLANK('Exception Stores'!$A$6),"NO",IF('Exception Stores'!$A$6&lt;$AW$2,"YES","NO"))</f>
        <v>NO</v>
      </c>
      <c r="CF76" s="1" t="str">
        <f>IF(ISBLANK('Exception Stores'!$A$6),"NO",IF('Exception Stores'!$A$6&lt;$AX$2,"YES","NO"))</f>
        <v>NO</v>
      </c>
      <c r="CG76" s="1" t="str">
        <f>IF(ISBLANK('Exception Stores'!$A$6),"NO",IF('Exception Stores'!$A$6&lt;$AY$2,"YES","NO"))</f>
        <v>NO</v>
      </c>
      <c r="CI76" s="42" t="str">
        <f>IF(ISBLANK('Exception Stores'!$B$6),"NO",IF('Exception Stores'!$B$6&lt;=$AU$2,"YES","NO"))</f>
        <v>NO</v>
      </c>
      <c r="CJ76" s="42" t="str">
        <f>IF(ISBLANK('Exception Stores'!$B$6),"NO",IF('Exception Stores'!$B$6&lt;=$AV$2,"YES","NO"))</f>
        <v>NO</v>
      </c>
      <c r="CK76" s="1" t="str">
        <f>IF(ISBLANK('Exception Stores'!$B$6),"NO",IF('Exception Stores'!$B$6&lt;=$AW$2,"YES","NO"))</f>
        <v>NO</v>
      </c>
      <c r="CL76" s="1" t="str">
        <f>IF(ISBLANK('Exception Stores'!$B$6),"NO",IF('Exception Stores'!$B$6&lt;=$AX$2,"YES","NO"))</f>
        <v>NO</v>
      </c>
      <c r="CM76" s="1" t="str">
        <f>IF(ISBLANK('Exception Stores'!$B$6),"NO",IF('Exception Stores'!$B$6&lt;=$AY$2,"YES","NO"))</f>
        <v>NO</v>
      </c>
      <c r="CO76" s="1" t="e">
        <f ca="1">IF(AM76&lt;'Exception Stores'!$A$6,"YES","NO")</f>
        <v>#VALUE!</v>
      </c>
      <c r="CP76" s="1">
        <f t="shared" si="131"/>
        <v>0</v>
      </c>
      <c r="CQ76" s="1">
        <f t="shared" si="132"/>
        <v>0</v>
      </c>
      <c r="CR76" s="1">
        <f t="shared" si="133"/>
        <v>0</v>
      </c>
      <c r="CS76" s="1">
        <f t="shared" si="134"/>
        <v>0</v>
      </c>
      <c r="CT76" s="1">
        <f t="shared" si="135"/>
        <v>0</v>
      </c>
      <c r="CU76" s="1">
        <f t="shared" si="136"/>
        <v>0</v>
      </c>
      <c r="CW76" s="1" t="e">
        <f t="shared" ca="1" si="77"/>
        <v>#VALUE!</v>
      </c>
      <c r="CX76" s="1" t="e">
        <f t="shared" ca="1" si="78"/>
        <v>#VALUE!</v>
      </c>
      <c r="CY76" s="1" t="e">
        <f t="shared" ca="1" si="79"/>
        <v>#VALUE!</v>
      </c>
      <c r="CZ76" s="1" t="e">
        <f t="shared" ca="1" si="80"/>
        <v>#VALUE!</v>
      </c>
      <c r="DA76" s="1" t="e">
        <f t="shared" ca="1" si="81"/>
        <v>#VALUE!</v>
      </c>
      <c r="DB76" s="26" t="e">
        <f t="shared" ca="1" si="137"/>
        <v>#VALUE!</v>
      </c>
      <c r="DC76" s="1">
        <f t="shared" si="82"/>
        <v>0</v>
      </c>
      <c r="DD76" s="1">
        <f t="shared" si="83"/>
        <v>0</v>
      </c>
      <c r="DE76" s="1">
        <f t="shared" si="84"/>
        <v>0</v>
      </c>
      <c r="DF76" s="1">
        <f t="shared" si="85"/>
        <v>0</v>
      </c>
      <c r="DG76" s="1">
        <f t="shared" si="86"/>
        <v>0</v>
      </c>
      <c r="DH76" s="26">
        <f t="shared" si="138"/>
        <v>0</v>
      </c>
      <c r="DI76" s="1" t="e">
        <f t="shared" ca="1" si="139"/>
        <v>#VALUE!</v>
      </c>
      <c r="DK76" s="11" t="str">
        <f t="shared" si="87"/>
        <v/>
      </c>
      <c r="DL76" s="11" t="e">
        <f ca="1">IF(AND(NOT(ISBLANK('Exception Stores'!$A$6)),CO76="YES"),S76-$BH$2-(DI76*$BS$2)-(CU76*$BS$2),S76-(DB76*$BS$2))</f>
        <v>#VALUE!</v>
      </c>
      <c r="DM76" s="11" t="str">
        <f>IF(ISBLANK(A76),"",IF(COUNTIF(Remaps!$A$2:$A$200,B76)&gt;0,"YES",""))</f>
        <v>YES</v>
      </c>
      <c r="DN76" s="29">
        <f>IFERROR(INDEX(Remaps!$B$2:$B$200,MATCH(B76,Remaps!$A$2:$A$200,0),1),0)</f>
        <v>0</v>
      </c>
      <c r="DO76" s="11" t="e">
        <f t="shared" ca="1" si="88"/>
        <v>#VALUE!</v>
      </c>
      <c r="DP76" s="29" t="e">
        <f t="shared" si="89"/>
        <v>#VALUE!</v>
      </c>
      <c r="DQ76" s="11" t="e">
        <f ca="1">('Apollo Dock Status'!$Z$1-DP76)/DO76</f>
        <v>#VALUE!</v>
      </c>
      <c r="DR76" s="15" t="e">
        <f t="shared" ca="1" si="140"/>
        <v>#VALUE!</v>
      </c>
    </row>
    <row r="77" spans="1:122">
      <c r="A77" s="1" t="str">
        <f>IF(ISBLANK('Apollo Dock Status'!A77),"",'Apollo Dock Status'!A77)</f>
        <v/>
      </c>
      <c r="B77" s="1" t="str">
        <f>IF(ISBLANK('Apollo Dock Status'!B77),"",'Apollo Dock Status'!B77)</f>
        <v/>
      </c>
      <c r="C77" s="1" t="str">
        <f>IF(ISBLANK('Apollo Dock Status'!C77),"",'Apollo Dock Status'!C77)</f>
        <v/>
      </c>
      <c r="D77" s="1" t="str">
        <f>IF(ISBLANK('Apollo Dock Status'!D77),"",'Apollo Dock Status'!D77)</f>
        <v/>
      </c>
      <c r="E77" s="1" t="str">
        <f>IF(ISBLANK('Apollo Dock Status'!E77),"",'Apollo Dock Status'!E77)</f>
        <v/>
      </c>
      <c r="F77" s="1" t="str">
        <f>IF(ISBLANK('Apollo Dock Status'!F77),"",'Apollo Dock Status'!F77)</f>
        <v/>
      </c>
      <c r="G77" s="1" t="str">
        <f>IF(ISBLANK('Apollo Dock Status'!G77),"",'Apollo Dock Status'!G77)</f>
        <v/>
      </c>
      <c r="H77" s="1" t="str">
        <f>IF(ISBLANK('Apollo Dock Status'!H77),"",'Apollo Dock Status'!H77)</f>
        <v/>
      </c>
      <c r="I77" s="1" t="str">
        <f>IF(ISBLANK('Apollo Dock Status'!I77),"",'Apollo Dock Status'!I77)</f>
        <v/>
      </c>
      <c r="J77" s="1" t="str">
        <f>IF(ISBLANK('Apollo Dock Status'!J77),"",'Apollo Dock Status'!J77)</f>
        <v/>
      </c>
      <c r="K77" s="1" t="str">
        <f>IF(ISBLANK('Apollo Dock Status'!K77),"",'Apollo Dock Status'!K77)</f>
        <v/>
      </c>
      <c r="L77" s="1" t="str">
        <f>IF(ISBLANK('Apollo Dock Status'!L77),"",'Apollo Dock Status'!L77)</f>
        <v/>
      </c>
      <c r="M77" s="1" t="str">
        <f>IF(ISBLANK('Apollo Dock Status'!M77),"",'Apollo Dock Status'!M77)</f>
        <v/>
      </c>
      <c r="N77" s="1" t="str">
        <f>IF(ISBLANK('Apollo Dock Status'!N77),"",'Apollo Dock Status'!N77)</f>
        <v/>
      </c>
      <c r="O77" s="1" t="str">
        <f t="shared" si="90"/>
        <v/>
      </c>
      <c r="P77" s="1" t="str">
        <f t="shared" si="91"/>
        <v/>
      </c>
      <c r="Q77" s="1" t="str">
        <f t="shared" si="92"/>
        <v/>
      </c>
      <c r="R77" s="1" t="str">
        <f t="shared" si="93"/>
        <v/>
      </c>
      <c r="S77" s="11" t="str">
        <f t="shared" si="94"/>
        <v/>
      </c>
      <c r="T77" s="1" t="str">
        <f t="shared" si="95"/>
        <v/>
      </c>
      <c r="U77" s="11" t="str">
        <f t="shared" si="96"/>
        <v/>
      </c>
      <c r="V77" s="11" t="str">
        <f t="shared" si="97"/>
        <v/>
      </c>
      <c r="X77" s="1" t="str">
        <f t="shared" si="98"/>
        <v/>
      </c>
      <c r="Y77" s="1" t="str">
        <f t="shared" si="99"/>
        <v/>
      </c>
      <c r="Z77" s="1" t="str">
        <f t="shared" si="100"/>
        <v/>
      </c>
      <c r="AB77" s="13">
        <f t="shared" ca="1" si="101"/>
        <v>46176</v>
      </c>
      <c r="AC77" s="1">
        <f t="shared" ca="1" si="102"/>
        <v>2026</v>
      </c>
      <c r="AD77" s="1" t="str">
        <f t="shared" ca="1" si="103"/>
        <v>6</v>
      </c>
      <c r="AE77" s="1">
        <f t="shared" si="104"/>
        <v>1</v>
      </c>
      <c r="AF77" s="1" t="str">
        <f t="shared" si="105"/>
        <v/>
      </c>
      <c r="AG77" s="1">
        <f t="shared" ca="1" si="106"/>
        <v>2026</v>
      </c>
      <c r="AH77" s="1">
        <f t="shared" si="107"/>
        <v>1</v>
      </c>
      <c r="AI77" s="1" t="str">
        <f t="shared" ca="1" si="108"/>
        <v>6</v>
      </c>
      <c r="AJ77" s="13" t="e">
        <f t="shared" ca="1" si="109"/>
        <v>#VALUE!</v>
      </c>
      <c r="AK77" s="1" t="e">
        <f>IF(ISBLANK(A77),"",IFERROR(MID(F77,SEARCH(", ",F77)+LEN(", "),SEARCH(" "&amp;'Exception Stores'!$A$2,F77)-SEARCH(", ",F77)-LEN(", ")),MID(F77,SEARCH(", ",F77)+LEN(", "),SEARCH(" "&amp;'Exception Stores'!$B$2,F77)-SEARCH(", ",F77)-LEN(", "))))</f>
        <v>#VALUE!</v>
      </c>
      <c r="AL77" s="1" t="e">
        <f t="shared" si="110"/>
        <v>#VALUE!</v>
      </c>
      <c r="AM77" s="15" t="e">
        <f t="shared" ca="1" si="111"/>
        <v>#VALUE!</v>
      </c>
      <c r="AN77" s="24" t="e">
        <f t="shared" ca="1" si="112"/>
        <v>#VALUE!</v>
      </c>
      <c r="AO77" s="1" t="e">
        <f t="shared" ca="1" si="113"/>
        <v>#VALUE!</v>
      </c>
      <c r="AP77" s="13" t="e">
        <f t="shared" ca="1" si="114"/>
        <v>#VALUE!</v>
      </c>
      <c r="AQ77" s="17" t="e">
        <f t="shared" ca="1" si="115"/>
        <v>#VALUE!</v>
      </c>
      <c r="AS77" s="15" t="e">
        <f t="shared" ca="1" si="116"/>
        <v>#VALUE!</v>
      </c>
      <c r="AT77" s="5">
        <f>'Exception Stores'!$D$2</f>
        <v>0.125</v>
      </c>
      <c r="AU77" s="15" t="e">
        <f t="shared" ca="1" si="117"/>
        <v>#VALUE!</v>
      </c>
      <c r="AV77" s="15" t="e">
        <f t="shared" ca="1" si="118"/>
        <v>#VALUE!</v>
      </c>
      <c r="AW77" s="15" t="e">
        <f t="shared" ca="1" si="119"/>
        <v>#VALUE!</v>
      </c>
      <c r="AX77" s="15" t="e">
        <f t="shared" ca="1" si="120"/>
        <v>#VALUE!</v>
      </c>
      <c r="AY77" s="15" t="e">
        <f t="shared" ca="1" si="121"/>
        <v>#VALUE!</v>
      </c>
      <c r="AZ77" s="1" t="e">
        <f t="shared" ca="1" si="122"/>
        <v>#VALUE!</v>
      </c>
      <c r="BA77" s="15" t="e">
        <f t="shared" ca="1" si="123"/>
        <v>#VALUE!</v>
      </c>
      <c r="BB77" s="15" t="e">
        <f t="shared" ca="1" si="124"/>
        <v>#VALUE!</v>
      </c>
      <c r="BC77" s="1" t="e">
        <f t="shared" ca="1" si="125"/>
        <v>#VALUE!</v>
      </c>
      <c r="BE77" s="15" t="str">
        <f>IF(ISBLANK('Exception Stores'!$A$6),"",'Exception Stores'!$A$6)</f>
        <v/>
      </c>
      <c r="BF77" s="15" t="str">
        <f>IF(ISBLANK('Exception Stores'!$B$6),"",'Exception Stores'!$B$6)</f>
        <v/>
      </c>
      <c r="BG77" s="1">
        <f>IF(ISBLANK('Exception Stores'!$A$6),0,IF($AN$2&gt;$BF$2,($AN$2-$BF$2)*24,0))</f>
        <v>0</v>
      </c>
      <c r="BH77" s="11">
        <f>IF(ISBLANK('Exception Stores'!$A$6),0,($BF$2-$BE$2)*24)</f>
        <v>0</v>
      </c>
      <c r="BI7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77" s="1">
        <f>IF(ISBLANK('Exception Stores'!$A$6),0,IF($AN$2&gt;$BF$2,0,IF(AND($AN$2&lt;$BF$2,$BT$2="B"),(($BF$2-$AN$2)*24)-$BS$2,($BF$2-$AN$2)*24)))</f>
        <v>0</v>
      </c>
      <c r="BL77" s="5"/>
      <c r="BM77" s="5"/>
      <c r="BN77" s="5"/>
      <c r="BO77" s="5"/>
      <c r="BP77" s="5"/>
      <c r="BV77" s="1" t="e">
        <f t="shared" ca="1" si="126"/>
        <v>#VALUE!</v>
      </c>
      <c r="BW77" s="1" t="e">
        <f t="shared" ca="1" si="127"/>
        <v>#VALUE!</v>
      </c>
      <c r="BX77" s="1" t="e">
        <f t="shared" ca="1" si="128"/>
        <v>#VALUE!</v>
      </c>
      <c r="BY77" s="1" t="e">
        <f t="shared" ca="1" si="129"/>
        <v>#VALUE!</v>
      </c>
      <c r="BZ77" s="1" t="e">
        <f t="shared" ca="1" si="130"/>
        <v>#VALUE!</v>
      </c>
      <c r="CB77" s="1" t="str">
        <f>IF(ISBLANK('Exception Stores'!$A$6),"",WEEKDAY($BF$2))</f>
        <v/>
      </c>
      <c r="CC77" s="1" t="str">
        <f>IF(ISBLANK('Exception Stores'!$A$6),"NO",IF('Exception Stores'!$A$6&lt;$AU$2,"YES","NO"))</f>
        <v>NO</v>
      </c>
      <c r="CD77" s="1" t="str">
        <f>IF(ISBLANK('Exception Stores'!$A$6),"NO",IF('Exception Stores'!$A$6&lt;$AV$2,"YES","NO"))</f>
        <v>NO</v>
      </c>
      <c r="CE77" s="1" t="str">
        <f>IF(ISBLANK('Exception Stores'!$A$6),"NO",IF('Exception Stores'!$A$6&lt;$AW$2,"YES","NO"))</f>
        <v>NO</v>
      </c>
      <c r="CF77" s="1" t="str">
        <f>IF(ISBLANK('Exception Stores'!$A$6),"NO",IF('Exception Stores'!$A$6&lt;$AX$2,"YES","NO"))</f>
        <v>NO</v>
      </c>
      <c r="CG77" s="1" t="str">
        <f>IF(ISBLANK('Exception Stores'!$A$6),"NO",IF('Exception Stores'!$A$6&lt;$AY$2,"YES","NO"))</f>
        <v>NO</v>
      </c>
      <c r="CI77" s="42" t="str">
        <f>IF(ISBLANK('Exception Stores'!$B$6),"NO",IF('Exception Stores'!$B$6&lt;=$AU$2,"YES","NO"))</f>
        <v>NO</v>
      </c>
      <c r="CJ77" s="42" t="str">
        <f>IF(ISBLANK('Exception Stores'!$B$6),"NO",IF('Exception Stores'!$B$6&lt;=$AV$2,"YES","NO"))</f>
        <v>NO</v>
      </c>
      <c r="CK77" s="1" t="str">
        <f>IF(ISBLANK('Exception Stores'!$B$6),"NO",IF('Exception Stores'!$B$6&lt;=$AW$2,"YES","NO"))</f>
        <v>NO</v>
      </c>
      <c r="CL77" s="1" t="str">
        <f>IF(ISBLANK('Exception Stores'!$B$6),"NO",IF('Exception Stores'!$B$6&lt;=$AX$2,"YES","NO"))</f>
        <v>NO</v>
      </c>
      <c r="CM77" s="1" t="str">
        <f>IF(ISBLANK('Exception Stores'!$B$6),"NO",IF('Exception Stores'!$B$6&lt;=$AY$2,"YES","NO"))</f>
        <v>NO</v>
      </c>
      <c r="CO77" s="1" t="e">
        <f ca="1">IF(AM77&lt;'Exception Stores'!$A$6,"YES","NO")</f>
        <v>#VALUE!</v>
      </c>
      <c r="CP77" s="1">
        <f t="shared" si="131"/>
        <v>0</v>
      </c>
      <c r="CQ77" s="1">
        <f t="shared" si="132"/>
        <v>0</v>
      </c>
      <c r="CR77" s="1">
        <f t="shared" si="133"/>
        <v>0</v>
      </c>
      <c r="CS77" s="1">
        <f t="shared" si="134"/>
        <v>0</v>
      </c>
      <c r="CT77" s="1">
        <f t="shared" si="135"/>
        <v>0</v>
      </c>
      <c r="CU77" s="1">
        <f t="shared" si="136"/>
        <v>0</v>
      </c>
      <c r="CW77" s="1" t="e">
        <f t="shared" ca="1" si="77"/>
        <v>#VALUE!</v>
      </c>
      <c r="CX77" s="1" t="e">
        <f t="shared" ca="1" si="78"/>
        <v>#VALUE!</v>
      </c>
      <c r="CY77" s="1" t="e">
        <f t="shared" ca="1" si="79"/>
        <v>#VALUE!</v>
      </c>
      <c r="CZ77" s="1" t="e">
        <f t="shared" ca="1" si="80"/>
        <v>#VALUE!</v>
      </c>
      <c r="DA77" s="1" t="e">
        <f t="shared" ca="1" si="81"/>
        <v>#VALUE!</v>
      </c>
      <c r="DB77" s="26" t="e">
        <f t="shared" ca="1" si="137"/>
        <v>#VALUE!</v>
      </c>
      <c r="DC77" s="1">
        <f t="shared" si="82"/>
        <v>0</v>
      </c>
      <c r="DD77" s="1">
        <f t="shared" si="83"/>
        <v>0</v>
      </c>
      <c r="DE77" s="1">
        <f t="shared" si="84"/>
        <v>0</v>
      </c>
      <c r="DF77" s="1">
        <f t="shared" si="85"/>
        <v>0</v>
      </c>
      <c r="DG77" s="1">
        <f t="shared" si="86"/>
        <v>0</v>
      </c>
      <c r="DH77" s="26">
        <f t="shared" si="138"/>
        <v>0</v>
      </c>
      <c r="DI77" s="1" t="e">
        <f t="shared" ca="1" si="139"/>
        <v>#VALUE!</v>
      </c>
      <c r="DK77" s="11" t="str">
        <f t="shared" si="87"/>
        <v/>
      </c>
      <c r="DL77" s="11" t="e">
        <f ca="1">IF(AND(NOT(ISBLANK('Exception Stores'!$A$6)),CO77="YES"),S77-$BH$2-(DI77*$BS$2)-(CU77*$BS$2),S77-(DB77*$BS$2))</f>
        <v>#VALUE!</v>
      </c>
      <c r="DM77" s="11" t="str">
        <f>IF(ISBLANK(A77),"",IF(COUNTIF(Remaps!$A$2:$A$200,B77)&gt;0,"YES",""))</f>
        <v>YES</v>
      </c>
      <c r="DN77" s="29">
        <f>IFERROR(INDEX(Remaps!$B$2:$B$200,MATCH(B77,Remaps!$A$2:$A$200,0),1),0)</f>
        <v>0</v>
      </c>
      <c r="DO77" s="11" t="e">
        <f t="shared" ca="1" si="88"/>
        <v>#VALUE!</v>
      </c>
      <c r="DP77" s="29" t="e">
        <f t="shared" si="89"/>
        <v>#VALUE!</v>
      </c>
      <c r="DQ77" s="11" t="e">
        <f ca="1">('Apollo Dock Status'!$Z$1-DP77)/DO77</f>
        <v>#VALUE!</v>
      </c>
      <c r="DR77" s="15" t="e">
        <f t="shared" ca="1" si="140"/>
        <v>#VALUE!</v>
      </c>
    </row>
    <row r="78" spans="1:122">
      <c r="A78" s="1" t="str">
        <f>IF(ISBLANK('Apollo Dock Status'!A78),"",'Apollo Dock Status'!A78)</f>
        <v/>
      </c>
      <c r="B78" s="1" t="str">
        <f>IF(ISBLANK('Apollo Dock Status'!B78),"",'Apollo Dock Status'!B78)</f>
        <v/>
      </c>
      <c r="C78" s="1" t="str">
        <f>IF(ISBLANK('Apollo Dock Status'!C78),"",'Apollo Dock Status'!C78)</f>
        <v/>
      </c>
      <c r="D78" s="1" t="str">
        <f>IF(ISBLANK('Apollo Dock Status'!D78),"",'Apollo Dock Status'!D78)</f>
        <v/>
      </c>
      <c r="E78" s="1" t="str">
        <f>IF(ISBLANK('Apollo Dock Status'!E78),"",'Apollo Dock Status'!E78)</f>
        <v/>
      </c>
      <c r="F78" s="1" t="str">
        <f>IF(ISBLANK('Apollo Dock Status'!F78),"",'Apollo Dock Status'!F78)</f>
        <v/>
      </c>
      <c r="G78" s="1" t="str">
        <f>IF(ISBLANK('Apollo Dock Status'!G78),"",'Apollo Dock Status'!G78)</f>
        <v/>
      </c>
      <c r="H78" s="1" t="str">
        <f>IF(ISBLANK('Apollo Dock Status'!H78),"",'Apollo Dock Status'!H78)</f>
        <v/>
      </c>
      <c r="I78" s="1" t="str">
        <f>IF(ISBLANK('Apollo Dock Status'!I78),"",'Apollo Dock Status'!I78)</f>
        <v/>
      </c>
      <c r="J78" s="1" t="str">
        <f>IF(ISBLANK('Apollo Dock Status'!J78),"",'Apollo Dock Status'!J78)</f>
        <v/>
      </c>
      <c r="K78" s="1" t="str">
        <f>IF(ISBLANK('Apollo Dock Status'!K78),"",'Apollo Dock Status'!K78)</f>
        <v/>
      </c>
      <c r="L78" s="1" t="str">
        <f>IF(ISBLANK('Apollo Dock Status'!L78),"",'Apollo Dock Status'!L78)</f>
        <v/>
      </c>
      <c r="M78" s="1" t="str">
        <f>IF(ISBLANK('Apollo Dock Status'!M78),"",'Apollo Dock Status'!M78)</f>
        <v/>
      </c>
      <c r="N78" s="1" t="str">
        <f>IF(ISBLANK('Apollo Dock Status'!N78),"",'Apollo Dock Status'!N78)</f>
        <v/>
      </c>
      <c r="O78" s="1" t="str">
        <f t="shared" si="90"/>
        <v/>
      </c>
      <c r="P78" s="1" t="str">
        <f t="shared" si="91"/>
        <v/>
      </c>
      <c r="Q78" s="1" t="str">
        <f t="shared" si="92"/>
        <v/>
      </c>
      <c r="R78" s="1" t="str">
        <f t="shared" si="93"/>
        <v/>
      </c>
      <c r="S78" s="11" t="str">
        <f t="shared" si="94"/>
        <v/>
      </c>
      <c r="T78" s="1" t="str">
        <f t="shared" si="95"/>
        <v/>
      </c>
      <c r="U78" s="11" t="str">
        <f t="shared" si="96"/>
        <v/>
      </c>
      <c r="V78" s="11" t="str">
        <f t="shared" si="97"/>
        <v/>
      </c>
      <c r="X78" s="1" t="str">
        <f t="shared" si="98"/>
        <v/>
      </c>
      <c r="Y78" s="1" t="str">
        <f t="shared" si="99"/>
        <v/>
      </c>
      <c r="Z78" s="1" t="str">
        <f t="shared" si="100"/>
        <v/>
      </c>
      <c r="AB78" s="13">
        <f t="shared" ca="1" si="101"/>
        <v>46176</v>
      </c>
      <c r="AC78" s="1">
        <f t="shared" ca="1" si="102"/>
        <v>2026</v>
      </c>
      <c r="AD78" s="1" t="str">
        <f t="shared" ca="1" si="103"/>
        <v>6</v>
      </c>
      <c r="AE78" s="1">
        <f t="shared" si="104"/>
        <v>1</v>
      </c>
      <c r="AF78" s="1" t="str">
        <f t="shared" si="105"/>
        <v/>
      </c>
      <c r="AG78" s="1">
        <f t="shared" ca="1" si="106"/>
        <v>2026</v>
      </c>
      <c r="AH78" s="1">
        <f t="shared" si="107"/>
        <v>1</v>
      </c>
      <c r="AI78" s="1" t="str">
        <f t="shared" ca="1" si="108"/>
        <v>6</v>
      </c>
      <c r="AJ78" s="13" t="e">
        <f t="shared" ca="1" si="109"/>
        <v>#VALUE!</v>
      </c>
      <c r="AK78" s="1" t="e">
        <f>IF(ISBLANK(A78),"",IFERROR(MID(F78,SEARCH(", ",F78)+LEN(", "),SEARCH(" "&amp;'Exception Stores'!$A$2,F78)-SEARCH(", ",F78)-LEN(", ")),MID(F78,SEARCH(", ",F78)+LEN(", "),SEARCH(" "&amp;'Exception Stores'!$B$2,F78)-SEARCH(", ",F78)-LEN(", "))))</f>
        <v>#VALUE!</v>
      </c>
      <c r="AL78" s="1" t="e">
        <f t="shared" si="110"/>
        <v>#VALUE!</v>
      </c>
      <c r="AM78" s="15" t="e">
        <f t="shared" ca="1" si="111"/>
        <v>#VALUE!</v>
      </c>
      <c r="AN78" s="24" t="e">
        <f t="shared" ca="1" si="112"/>
        <v>#VALUE!</v>
      </c>
      <c r="AO78" s="1" t="e">
        <f t="shared" ca="1" si="113"/>
        <v>#VALUE!</v>
      </c>
      <c r="AP78" s="13" t="e">
        <f t="shared" ca="1" si="114"/>
        <v>#VALUE!</v>
      </c>
      <c r="AQ78" s="17" t="e">
        <f t="shared" ca="1" si="115"/>
        <v>#VALUE!</v>
      </c>
      <c r="AS78" s="15" t="e">
        <f t="shared" ca="1" si="116"/>
        <v>#VALUE!</v>
      </c>
      <c r="AT78" s="5">
        <f>'Exception Stores'!$D$2</f>
        <v>0.125</v>
      </c>
      <c r="AU78" s="15" t="e">
        <f t="shared" ca="1" si="117"/>
        <v>#VALUE!</v>
      </c>
      <c r="AV78" s="15" t="e">
        <f t="shared" ca="1" si="118"/>
        <v>#VALUE!</v>
      </c>
      <c r="AW78" s="15" t="e">
        <f t="shared" ca="1" si="119"/>
        <v>#VALUE!</v>
      </c>
      <c r="AX78" s="15" t="e">
        <f t="shared" ca="1" si="120"/>
        <v>#VALUE!</v>
      </c>
      <c r="AY78" s="15" t="e">
        <f t="shared" ca="1" si="121"/>
        <v>#VALUE!</v>
      </c>
      <c r="AZ78" s="1" t="e">
        <f t="shared" ca="1" si="122"/>
        <v>#VALUE!</v>
      </c>
      <c r="BA78" s="15" t="e">
        <f t="shared" ca="1" si="123"/>
        <v>#VALUE!</v>
      </c>
      <c r="BB78" s="15" t="e">
        <f t="shared" ca="1" si="124"/>
        <v>#VALUE!</v>
      </c>
      <c r="BC78" s="1" t="e">
        <f t="shared" ca="1" si="125"/>
        <v>#VALUE!</v>
      </c>
      <c r="BE78" s="15" t="str">
        <f>IF(ISBLANK('Exception Stores'!$A$6),"",'Exception Stores'!$A$6)</f>
        <v/>
      </c>
      <c r="BF78" s="15" t="str">
        <f>IF(ISBLANK('Exception Stores'!$B$6),"",'Exception Stores'!$B$6)</f>
        <v/>
      </c>
      <c r="BG78" s="1">
        <f>IF(ISBLANK('Exception Stores'!$A$6),0,IF($AN$2&gt;$BF$2,($AN$2-$BF$2)*24,0))</f>
        <v>0</v>
      </c>
      <c r="BH78" s="11">
        <f>IF(ISBLANK('Exception Stores'!$A$6),0,($BF$2-$BE$2)*24)</f>
        <v>0</v>
      </c>
      <c r="BI7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78" s="1">
        <f>IF(ISBLANK('Exception Stores'!$A$6),0,IF($AN$2&gt;$BF$2,0,IF(AND($AN$2&lt;$BF$2,$BT$2="B"),(($BF$2-$AN$2)*24)-$BS$2,($BF$2-$AN$2)*24)))</f>
        <v>0</v>
      </c>
      <c r="BL78" s="5"/>
      <c r="BM78" s="5"/>
      <c r="BN78" s="5"/>
      <c r="BO78" s="5"/>
      <c r="BP78" s="5"/>
      <c r="BV78" s="1" t="e">
        <f t="shared" ca="1" si="126"/>
        <v>#VALUE!</v>
      </c>
      <c r="BW78" s="1" t="e">
        <f t="shared" ca="1" si="127"/>
        <v>#VALUE!</v>
      </c>
      <c r="BX78" s="1" t="e">
        <f t="shared" ca="1" si="128"/>
        <v>#VALUE!</v>
      </c>
      <c r="BY78" s="1" t="e">
        <f t="shared" ca="1" si="129"/>
        <v>#VALUE!</v>
      </c>
      <c r="BZ78" s="1" t="e">
        <f t="shared" ca="1" si="130"/>
        <v>#VALUE!</v>
      </c>
      <c r="CB78" s="1" t="str">
        <f>IF(ISBLANK('Exception Stores'!$A$6),"",WEEKDAY($BF$2))</f>
        <v/>
      </c>
      <c r="CC78" s="1" t="str">
        <f>IF(ISBLANK('Exception Stores'!$A$6),"NO",IF('Exception Stores'!$A$6&lt;$AU$2,"YES","NO"))</f>
        <v>NO</v>
      </c>
      <c r="CD78" s="1" t="str">
        <f>IF(ISBLANK('Exception Stores'!$A$6),"NO",IF('Exception Stores'!$A$6&lt;$AV$2,"YES","NO"))</f>
        <v>NO</v>
      </c>
      <c r="CE78" s="1" t="str">
        <f>IF(ISBLANK('Exception Stores'!$A$6),"NO",IF('Exception Stores'!$A$6&lt;$AW$2,"YES","NO"))</f>
        <v>NO</v>
      </c>
      <c r="CF78" s="1" t="str">
        <f>IF(ISBLANK('Exception Stores'!$A$6),"NO",IF('Exception Stores'!$A$6&lt;$AX$2,"YES","NO"))</f>
        <v>NO</v>
      </c>
      <c r="CG78" s="1" t="str">
        <f>IF(ISBLANK('Exception Stores'!$A$6),"NO",IF('Exception Stores'!$A$6&lt;$AY$2,"YES","NO"))</f>
        <v>NO</v>
      </c>
      <c r="CI78" s="42" t="str">
        <f>IF(ISBLANK('Exception Stores'!$B$6),"NO",IF('Exception Stores'!$B$6&lt;=$AU$2,"YES","NO"))</f>
        <v>NO</v>
      </c>
      <c r="CJ78" s="42" t="str">
        <f>IF(ISBLANK('Exception Stores'!$B$6),"NO",IF('Exception Stores'!$B$6&lt;=$AV$2,"YES","NO"))</f>
        <v>NO</v>
      </c>
      <c r="CK78" s="1" t="str">
        <f>IF(ISBLANK('Exception Stores'!$B$6),"NO",IF('Exception Stores'!$B$6&lt;=$AW$2,"YES","NO"))</f>
        <v>NO</v>
      </c>
      <c r="CL78" s="1" t="str">
        <f>IF(ISBLANK('Exception Stores'!$B$6),"NO",IF('Exception Stores'!$B$6&lt;=$AX$2,"YES","NO"))</f>
        <v>NO</v>
      </c>
      <c r="CM78" s="1" t="str">
        <f>IF(ISBLANK('Exception Stores'!$B$6),"NO",IF('Exception Stores'!$B$6&lt;=$AY$2,"YES","NO"))</f>
        <v>NO</v>
      </c>
      <c r="CO78" s="1" t="e">
        <f ca="1">IF(AM78&lt;'Exception Stores'!$A$6,"YES","NO")</f>
        <v>#VALUE!</v>
      </c>
      <c r="CP78" s="1">
        <f t="shared" si="131"/>
        <v>0</v>
      </c>
      <c r="CQ78" s="1">
        <f t="shared" si="132"/>
        <v>0</v>
      </c>
      <c r="CR78" s="1">
        <f t="shared" si="133"/>
        <v>0</v>
      </c>
      <c r="CS78" s="1">
        <f t="shared" si="134"/>
        <v>0</v>
      </c>
      <c r="CT78" s="1">
        <f t="shared" si="135"/>
        <v>0</v>
      </c>
      <c r="CU78" s="1">
        <f t="shared" si="136"/>
        <v>0</v>
      </c>
      <c r="CW78" s="1" t="e">
        <f t="shared" ca="1" si="77"/>
        <v>#VALUE!</v>
      </c>
      <c r="CX78" s="1" t="e">
        <f t="shared" ca="1" si="78"/>
        <v>#VALUE!</v>
      </c>
      <c r="CY78" s="1" t="e">
        <f t="shared" ca="1" si="79"/>
        <v>#VALUE!</v>
      </c>
      <c r="CZ78" s="1" t="e">
        <f t="shared" ca="1" si="80"/>
        <v>#VALUE!</v>
      </c>
      <c r="DA78" s="1" t="e">
        <f t="shared" ca="1" si="81"/>
        <v>#VALUE!</v>
      </c>
      <c r="DB78" s="26" t="e">
        <f t="shared" ca="1" si="137"/>
        <v>#VALUE!</v>
      </c>
      <c r="DC78" s="1">
        <f t="shared" si="82"/>
        <v>0</v>
      </c>
      <c r="DD78" s="1">
        <f t="shared" si="83"/>
        <v>0</v>
      </c>
      <c r="DE78" s="1">
        <f t="shared" si="84"/>
        <v>0</v>
      </c>
      <c r="DF78" s="1">
        <f t="shared" si="85"/>
        <v>0</v>
      </c>
      <c r="DG78" s="1">
        <f t="shared" si="86"/>
        <v>0</v>
      </c>
      <c r="DH78" s="26">
        <f t="shared" si="138"/>
        <v>0</v>
      </c>
      <c r="DI78" s="1" t="e">
        <f t="shared" ca="1" si="139"/>
        <v>#VALUE!</v>
      </c>
      <c r="DK78" s="11" t="str">
        <f t="shared" si="87"/>
        <v/>
      </c>
      <c r="DL78" s="11" t="e">
        <f ca="1">IF(AND(NOT(ISBLANK('Exception Stores'!$A$6)),CO78="YES"),S78-$BH$2-(DI78*$BS$2)-(CU78*$BS$2),S78-(DB78*$BS$2))</f>
        <v>#VALUE!</v>
      </c>
      <c r="DM78" s="11" t="str">
        <f>IF(ISBLANK(A78),"",IF(COUNTIF(Remaps!$A$2:$A$200,B78)&gt;0,"YES",""))</f>
        <v>YES</v>
      </c>
      <c r="DN78" s="29">
        <f>IFERROR(INDEX(Remaps!$B$2:$B$200,MATCH(B78,Remaps!$A$2:$A$200,0),1),0)</f>
        <v>0</v>
      </c>
      <c r="DO78" s="11" t="e">
        <f t="shared" ca="1" si="88"/>
        <v>#VALUE!</v>
      </c>
      <c r="DP78" s="29" t="e">
        <f t="shared" si="89"/>
        <v>#VALUE!</v>
      </c>
      <c r="DQ78" s="11" t="e">
        <f ca="1">('Apollo Dock Status'!$Z$1-DP78)/DO78</f>
        <v>#VALUE!</v>
      </c>
      <c r="DR78" s="15" t="e">
        <f t="shared" ca="1" si="140"/>
        <v>#VALUE!</v>
      </c>
    </row>
    <row r="79" spans="1:122">
      <c r="A79" s="1" t="str">
        <f>IF(ISBLANK('Apollo Dock Status'!A79),"",'Apollo Dock Status'!A79)</f>
        <v/>
      </c>
      <c r="B79" s="1" t="str">
        <f>IF(ISBLANK('Apollo Dock Status'!B79),"",'Apollo Dock Status'!B79)</f>
        <v/>
      </c>
      <c r="C79" s="1" t="str">
        <f>IF(ISBLANK('Apollo Dock Status'!C79),"",'Apollo Dock Status'!C79)</f>
        <v/>
      </c>
      <c r="D79" s="1" t="str">
        <f>IF(ISBLANK('Apollo Dock Status'!D79),"",'Apollo Dock Status'!D79)</f>
        <v/>
      </c>
      <c r="E79" s="1" t="str">
        <f>IF(ISBLANK('Apollo Dock Status'!E79),"",'Apollo Dock Status'!E79)</f>
        <v/>
      </c>
      <c r="F79" s="1" t="str">
        <f>IF(ISBLANK('Apollo Dock Status'!F79),"",'Apollo Dock Status'!F79)</f>
        <v/>
      </c>
      <c r="G79" s="1" t="str">
        <f>IF(ISBLANK('Apollo Dock Status'!G79),"",'Apollo Dock Status'!G79)</f>
        <v/>
      </c>
      <c r="H79" s="1" t="str">
        <f>IF(ISBLANK('Apollo Dock Status'!H79),"",'Apollo Dock Status'!H79)</f>
        <v/>
      </c>
      <c r="I79" s="1" t="str">
        <f>IF(ISBLANK('Apollo Dock Status'!I79),"",'Apollo Dock Status'!I79)</f>
        <v/>
      </c>
      <c r="J79" s="1" t="str">
        <f>IF(ISBLANK('Apollo Dock Status'!J79),"",'Apollo Dock Status'!J79)</f>
        <v/>
      </c>
      <c r="K79" s="1" t="str">
        <f>IF(ISBLANK('Apollo Dock Status'!K79),"",'Apollo Dock Status'!K79)</f>
        <v/>
      </c>
      <c r="L79" s="1" t="str">
        <f>IF(ISBLANK('Apollo Dock Status'!L79),"",'Apollo Dock Status'!L79)</f>
        <v/>
      </c>
      <c r="M79" s="1" t="str">
        <f>IF(ISBLANK('Apollo Dock Status'!M79),"",'Apollo Dock Status'!M79)</f>
        <v/>
      </c>
      <c r="N79" s="1" t="str">
        <f>IF(ISBLANK('Apollo Dock Status'!N79),"",'Apollo Dock Status'!N79)</f>
        <v/>
      </c>
      <c r="O79" s="1" t="str">
        <f t="shared" si="90"/>
        <v/>
      </c>
      <c r="P79" s="1" t="str">
        <f t="shared" si="91"/>
        <v/>
      </c>
      <c r="Q79" s="1" t="str">
        <f t="shared" si="92"/>
        <v/>
      </c>
      <c r="R79" s="1" t="str">
        <f t="shared" si="93"/>
        <v/>
      </c>
      <c r="S79" s="11" t="str">
        <f t="shared" si="94"/>
        <v/>
      </c>
      <c r="T79" s="1" t="str">
        <f t="shared" si="95"/>
        <v/>
      </c>
      <c r="U79" s="11" t="str">
        <f t="shared" si="96"/>
        <v/>
      </c>
      <c r="V79" s="11" t="str">
        <f t="shared" si="97"/>
        <v/>
      </c>
      <c r="X79" s="1" t="str">
        <f t="shared" si="98"/>
        <v/>
      </c>
      <c r="Y79" s="1" t="str">
        <f t="shared" si="99"/>
        <v/>
      </c>
      <c r="Z79" s="1" t="str">
        <f t="shared" si="100"/>
        <v/>
      </c>
      <c r="AB79" s="13">
        <f t="shared" ca="1" si="101"/>
        <v>46176</v>
      </c>
      <c r="AC79" s="1">
        <f t="shared" ca="1" si="102"/>
        <v>2026</v>
      </c>
      <c r="AD79" s="1" t="str">
        <f t="shared" ca="1" si="103"/>
        <v>6</v>
      </c>
      <c r="AE79" s="1">
        <f t="shared" si="104"/>
        <v>1</v>
      </c>
      <c r="AF79" s="1" t="str">
        <f t="shared" si="105"/>
        <v/>
      </c>
      <c r="AG79" s="1">
        <f t="shared" ca="1" si="106"/>
        <v>2026</v>
      </c>
      <c r="AH79" s="1">
        <f t="shared" si="107"/>
        <v>1</v>
      </c>
      <c r="AI79" s="1" t="str">
        <f t="shared" ca="1" si="108"/>
        <v>6</v>
      </c>
      <c r="AJ79" s="13" t="e">
        <f t="shared" ca="1" si="109"/>
        <v>#VALUE!</v>
      </c>
      <c r="AK79" s="1" t="e">
        <f>IF(ISBLANK(A79),"",IFERROR(MID(F79,SEARCH(", ",F79)+LEN(", "),SEARCH(" "&amp;'Exception Stores'!$A$2,F79)-SEARCH(", ",F79)-LEN(", ")),MID(F79,SEARCH(", ",F79)+LEN(", "),SEARCH(" "&amp;'Exception Stores'!$B$2,F79)-SEARCH(", ",F79)-LEN(", "))))</f>
        <v>#VALUE!</v>
      </c>
      <c r="AL79" s="1" t="e">
        <f t="shared" si="110"/>
        <v>#VALUE!</v>
      </c>
      <c r="AM79" s="15" t="e">
        <f t="shared" ca="1" si="111"/>
        <v>#VALUE!</v>
      </c>
      <c r="AN79" s="24" t="e">
        <f t="shared" ca="1" si="112"/>
        <v>#VALUE!</v>
      </c>
      <c r="AO79" s="1" t="e">
        <f t="shared" ca="1" si="113"/>
        <v>#VALUE!</v>
      </c>
      <c r="AP79" s="13" t="e">
        <f t="shared" ca="1" si="114"/>
        <v>#VALUE!</v>
      </c>
      <c r="AQ79" s="17" t="e">
        <f t="shared" ca="1" si="115"/>
        <v>#VALUE!</v>
      </c>
      <c r="AS79" s="15" t="e">
        <f t="shared" ca="1" si="116"/>
        <v>#VALUE!</v>
      </c>
      <c r="AT79" s="5">
        <f>'Exception Stores'!$D$2</f>
        <v>0.125</v>
      </c>
      <c r="AU79" s="15" t="e">
        <f t="shared" ca="1" si="117"/>
        <v>#VALUE!</v>
      </c>
      <c r="AV79" s="15" t="e">
        <f t="shared" ca="1" si="118"/>
        <v>#VALUE!</v>
      </c>
      <c r="AW79" s="15" t="e">
        <f t="shared" ca="1" si="119"/>
        <v>#VALUE!</v>
      </c>
      <c r="AX79" s="15" t="e">
        <f t="shared" ca="1" si="120"/>
        <v>#VALUE!</v>
      </c>
      <c r="AY79" s="15" t="e">
        <f t="shared" ca="1" si="121"/>
        <v>#VALUE!</v>
      </c>
      <c r="AZ79" s="1" t="e">
        <f t="shared" ca="1" si="122"/>
        <v>#VALUE!</v>
      </c>
      <c r="BA79" s="15" t="e">
        <f t="shared" ca="1" si="123"/>
        <v>#VALUE!</v>
      </c>
      <c r="BB79" s="15" t="e">
        <f t="shared" ca="1" si="124"/>
        <v>#VALUE!</v>
      </c>
      <c r="BC79" s="1" t="e">
        <f t="shared" ca="1" si="125"/>
        <v>#VALUE!</v>
      </c>
      <c r="BE79" s="15" t="str">
        <f>IF(ISBLANK('Exception Stores'!$A$6),"",'Exception Stores'!$A$6)</f>
        <v/>
      </c>
      <c r="BF79" s="15" t="str">
        <f>IF(ISBLANK('Exception Stores'!$B$6),"",'Exception Stores'!$B$6)</f>
        <v/>
      </c>
      <c r="BG79" s="1">
        <f>IF(ISBLANK('Exception Stores'!$A$6),0,IF($AN$2&gt;$BF$2,($AN$2-$BF$2)*24,0))</f>
        <v>0</v>
      </c>
      <c r="BH79" s="11">
        <f>IF(ISBLANK('Exception Stores'!$A$6),0,($BF$2-$BE$2)*24)</f>
        <v>0</v>
      </c>
      <c r="BI7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79" s="1">
        <f>IF(ISBLANK('Exception Stores'!$A$6),0,IF($AN$2&gt;$BF$2,0,IF(AND($AN$2&lt;$BF$2,$BT$2="B"),(($BF$2-$AN$2)*24)-$BS$2,($BF$2-$AN$2)*24)))</f>
        <v>0</v>
      </c>
      <c r="BL79" s="5"/>
      <c r="BM79" s="5"/>
      <c r="BN79" s="5"/>
      <c r="BO79" s="5"/>
      <c r="BP79" s="5"/>
      <c r="BV79" s="1" t="e">
        <f t="shared" ca="1" si="126"/>
        <v>#VALUE!</v>
      </c>
      <c r="BW79" s="1" t="e">
        <f t="shared" ca="1" si="127"/>
        <v>#VALUE!</v>
      </c>
      <c r="BX79" s="1" t="e">
        <f t="shared" ca="1" si="128"/>
        <v>#VALUE!</v>
      </c>
      <c r="BY79" s="1" t="e">
        <f t="shared" ca="1" si="129"/>
        <v>#VALUE!</v>
      </c>
      <c r="BZ79" s="1" t="e">
        <f t="shared" ca="1" si="130"/>
        <v>#VALUE!</v>
      </c>
      <c r="CB79" s="1" t="str">
        <f>IF(ISBLANK('Exception Stores'!$A$6),"",WEEKDAY($BF$2))</f>
        <v/>
      </c>
      <c r="CC79" s="1" t="str">
        <f>IF(ISBLANK('Exception Stores'!$A$6),"NO",IF('Exception Stores'!$A$6&lt;$AU$2,"YES","NO"))</f>
        <v>NO</v>
      </c>
      <c r="CD79" s="1" t="str">
        <f>IF(ISBLANK('Exception Stores'!$A$6),"NO",IF('Exception Stores'!$A$6&lt;$AV$2,"YES","NO"))</f>
        <v>NO</v>
      </c>
      <c r="CE79" s="1" t="str">
        <f>IF(ISBLANK('Exception Stores'!$A$6),"NO",IF('Exception Stores'!$A$6&lt;$AW$2,"YES","NO"))</f>
        <v>NO</v>
      </c>
      <c r="CF79" s="1" t="str">
        <f>IF(ISBLANK('Exception Stores'!$A$6),"NO",IF('Exception Stores'!$A$6&lt;$AX$2,"YES","NO"))</f>
        <v>NO</v>
      </c>
      <c r="CG79" s="1" t="str">
        <f>IF(ISBLANK('Exception Stores'!$A$6),"NO",IF('Exception Stores'!$A$6&lt;$AY$2,"YES","NO"))</f>
        <v>NO</v>
      </c>
      <c r="CI79" s="42" t="str">
        <f>IF(ISBLANK('Exception Stores'!$B$6),"NO",IF('Exception Stores'!$B$6&lt;=$AU$2,"YES","NO"))</f>
        <v>NO</v>
      </c>
      <c r="CJ79" s="42" t="str">
        <f>IF(ISBLANK('Exception Stores'!$B$6),"NO",IF('Exception Stores'!$B$6&lt;=$AV$2,"YES","NO"))</f>
        <v>NO</v>
      </c>
      <c r="CK79" s="1" t="str">
        <f>IF(ISBLANK('Exception Stores'!$B$6),"NO",IF('Exception Stores'!$B$6&lt;=$AW$2,"YES","NO"))</f>
        <v>NO</v>
      </c>
      <c r="CL79" s="1" t="str">
        <f>IF(ISBLANK('Exception Stores'!$B$6),"NO",IF('Exception Stores'!$B$6&lt;=$AX$2,"YES","NO"))</f>
        <v>NO</v>
      </c>
      <c r="CM79" s="1" t="str">
        <f>IF(ISBLANK('Exception Stores'!$B$6),"NO",IF('Exception Stores'!$B$6&lt;=$AY$2,"YES","NO"))</f>
        <v>NO</v>
      </c>
      <c r="CO79" s="1" t="e">
        <f ca="1">IF(AM79&lt;'Exception Stores'!$A$6,"YES","NO")</f>
        <v>#VALUE!</v>
      </c>
      <c r="CP79" s="1">
        <f t="shared" si="131"/>
        <v>0</v>
      </c>
      <c r="CQ79" s="1">
        <f t="shared" si="132"/>
        <v>0</v>
      </c>
      <c r="CR79" s="1">
        <f t="shared" si="133"/>
        <v>0</v>
      </c>
      <c r="CS79" s="1">
        <f t="shared" si="134"/>
        <v>0</v>
      </c>
      <c r="CT79" s="1">
        <f t="shared" si="135"/>
        <v>0</v>
      </c>
      <c r="CU79" s="1">
        <f t="shared" si="136"/>
        <v>0</v>
      </c>
      <c r="CW79" s="1" t="e">
        <f t="shared" ca="1" si="77"/>
        <v>#VALUE!</v>
      </c>
      <c r="CX79" s="1" t="e">
        <f t="shared" ca="1" si="78"/>
        <v>#VALUE!</v>
      </c>
      <c r="CY79" s="1" t="e">
        <f t="shared" ca="1" si="79"/>
        <v>#VALUE!</v>
      </c>
      <c r="CZ79" s="1" t="e">
        <f t="shared" ca="1" si="80"/>
        <v>#VALUE!</v>
      </c>
      <c r="DA79" s="1" t="e">
        <f t="shared" ca="1" si="81"/>
        <v>#VALUE!</v>
      </c>
      <c r="DB79" s="26" t="e">
        <f t="shared" ca="1" si="137"/>
        <v>#VALUE!</v>
      </c>
      <c r="DC79" s="1">
        <f t="shared" si="82"/>
        <v>0</v>
      </c>
      <c r="DD79" s="1">
        <f t="shared" si="83"/>
        <v>0</v>
      </c>
      <c r="DE79" s="1">
        <f t="shared" si="84"/>
        <v>0</v>
      </c>
      <c r="DF79" s="1">
        <f t="shared" si="85"/>
        <v>0</v>
      </c>
      <c r="DG79" s="1">
        <f t="shared" si="86"/>
        <v>0</v>
      </c>
      <c r="DH79" s="26">
        <f t="shared" si="138"/>
        <v>0</v>
      </c>
      <c r="DI79" s="1" t="e">
        <f t="shared" ca="1" si="139"/>
        <v>#VALUE!</v>
      </c>
      <c r="DK79" s="11" t="str">
        <f t="shared" si="87"/>
        <v/>
      </c>
      <c r="DL79" s="11" t="e">
        <f ca="1">IF(AND(NOT(ISBLANK('Exception Stores'!$A$6)),CO79="YES"),S79-$BH$2-(DI79*$BS$2)-(CU79*$BS$2),S79-(DB79*$BS$2))</f>
        <v>#VALUE!</v>
      </c>
      <c r="DM79" s="11" t="str">
        <f>IF(ISBLANK(A79),"",IF(COUNTIF(Remaps!$A$2:$A$200,B79)&gt;0,"YES",""))</f>
        <v>YES</v>
      </c>
      <c r="DN79" s="29">
        <f>IFERROR(INDEX(Remaps!$B$2:$B$200,MATCH(B79,Remaps!$A$2:$A$200,0),1),0)</f>
        <v>0</v>
      </c>
      <c r="DO79" s="11" t="e">
        <f t="shared" ca="1" si="88"/>
        <v>#VALUE!</v>
      </c>
      <c r="DP79" s="29" t="e">
        <f t="shared" si="89"/>
        <v>#VALUE!</v>
      </c>
      <c r="DQ79" s="11" t="e">
        <f ca="1">('Apollo Dock Status'!$Z$1-DP79)/DO79</f>
        <v>#VALUE!</v>
      </c>
      <c r="DR79" s="15" t="e">
        <f t="shared" ca="1" si="140"/>
        <v>#VALUE!</v>
      </c>
    </row>
    <row r="80" spans="1:122">
      <c r="A80" s="1" t="str">
        <f>IF(ISBLANK('Apollo Dock Status'!A80),"",'Apollo Dock Status'!A80)</f>
        <v/>
      </c>
      <c r="B80" s="1" t="str">
        <f>IF(ISBLANK('Apollo Dock Status'!B80),"",'Apollo Dock Status'!B80)</f>
        <v/>
      </c>
      <c r="C80" s="1" t="str">
        <f>IF(ISBLANK('Apollo Dock Status'!C80),"",'Apollo Dock Status'!C80)</f>
        <v/>
      </c>
      <c r="D80" s="1" t="str">
        <f>IF(ISBLANK('Apollo Dock Status'!D80),"",'Apollo Dock Status'!D80)</f>
        <v/>
      </c>
      <c r="E80" s="1" t="str">
        <f>IF(ISBLANK('Apollo Dock Status'!E80),"",'Apollo Dock Status'!E80)</f>
        <v/>
      </c>
      <c r="F80" s="1" t="str">
        <f>IF(ISBLANK('Apollo Dock Status'!F80),"",'Apollo Dock Status'!F80)</f>
        <v/>
      </c>
      <c r="G80" s="1" t="str">
        <f>IF(ISBLANK('Apollo Dock Status'!G80),"",'Apollo Dock Status'!G80)</f>
        <v/>
      </c>
      <c r="H80" s="1" t="str">
        <f>IF(ISBLANK('Apollo Dock Status'!H80),"",'Apollo Dock Status'!H80)</f>
        <v/>
      </c>
      <c r="I80" s="1" t="str">
        <f>IF(ISBLANK('Apollo Dock Status'!I80),"",'Apollo Dock Status'!I80)</f>
        <v/>
      </c>
      <c r="J80" s="1" t="str">
        <f>IF(ISBLANK('Apollo Dock Status'!J80),"",'Apollo Dock Status'!J80)</f>
        <v/>
      </c>
      <c r="K80" s="1" t="str">
        <f>IF(ISBLANK('Apollo Dock Status'!K80),"",'Apollo Dock Status'!K80)</f>
        <v/>
      </c>
      <c r="L80" s="1" t="str">
        <f>IF(ISBLANK('Apollo Dock Status'!L80),"",'Apollo Dock Status'!L80)</f>
        <v/>
      </c>
      <c r="M80" s="1" t="str">
        <f>IF(ISBLANK('Apollo Dock Status'!M80),"",'Apollo Dock Status'!M80)</f>
        <v/>
      </c>
      <c r="N80" s="1" t="str">
        <f>IF(ISBLANK('Apollo Dock Status'!N80),"",'Apollo Dock Status'!N80)</f>
        <v/>
      </c>
      <c r="O80" s="1" t="str">
        <f t="shared" si="90"/>
        <v/>
      </c>
      <c r="P80" s="1" t="str">
        <f t="shared" si="91"/>
        <v/>
      </c>
      <c r="Q80" s="1" t="str">
        <f t="shared" si="92"/>
        <v/>
      </c>
      <c r="R80" s="1" t="str">
        <f t="shared" si="93"/>
        <v/>
      </c>
      <c r="S80" s="11" t="str">
        <f t="shared" si="94"/>
        <v/>
      </c>
      <c r="T80" s="1" t="str">
        <f t="shared" si="95"/>
        <v/>
      </c>
      <c r="U80" s="11" t="str">
        <f t="shared" si="96"/>
        <v/>
      </c>
      <c r="V80" s="11" t="str">
        <f t="shared" si="97"/>
        <v/>
      </c>
      <c r="X80" s="1" t="str">
        <f t="shared" si="98"/>
        <v/>
      </c>
      <c r="Y80" s="1" t="str">
        <f t="shared" si="99"/>
        <v/>
      </c>
      <c r="Z80" s="1" t="str">
        <f t="shared" si="100"/>
        <v/>
      </c>
      <c r="AB80" s="13">
        <f t="shared" ca="1" si="101"/>
        <v>46176</v>
      </c>
      <c r="AC80" s="1">
        <f t="shared" ca="1" si="102"/>
        <v>2026</v>
      </c>
      <c r="AD80" s="1" t="str">
        <f t="shared" ca="1" si="103"/>
        <v>6</v>
      </c>
      <c r="AE80" s="1">
        <f t="shared" si="104"/>
        <v>1</v>
      </c>
      <c r="AF80" s="1" t="str">
        <f t="shared" si="105"/>
        <v/>
      </c>
      <c r="AG80" s="1">
        <f t="shared" ca="1" si="106"/>
        <v>2026</v>
      </c>
      <c r="AH80" s="1">
        <f t="shared" si="107"/>
        <v>1</v>
      </c>
      <c r="AI80" s="1" t="str">
        <f t="shared" ca="1" si="108"/>
        <v>6</v>
      </c>
      <c r="AJ80" s="13" t="e">
        <f t="shared" ca="1" si="109"/>
        <v>#VALUE!</v>
      </c>
      <c r="AK80" s="1" t="e">
        <f>IF(ISBLANK(A80),"",IFERROR(MID(F80,SEARCH(", ",F80)+LEN(", "),SEARCH(" "&amp;'Exception Stores'!$A$2,F80)-SEARCH(", ",F80)-LEN(", ")),MID(F80,SEARCH(", ",F80)+LEN(", "),SEARCH(" "&amp;'Exception Stores'!$B$2,F80)-SEARCH(", ",F80)-LEN(", "))))</f>
        <v>#VALUE!</v>
      </c>
      <c r="AL80" s="1" t="e">
        <f t="shared" si="110"/>
        <v>#VALUE!</v>
      </c>
      <c r="AM80" s="15" t="e">
        <f t="shared" ca="1" si="111"/>
        <v>#VALUE!</v>
      </c>
      <c r="AN80" s="24" t="e">
        <f t="shared" ca="1" si="112"/>
        <v>#VALUE!</v>
      </c>
      <c r="AO80" s="1" t="e">
        <f t="shared" ca="1" si="113"/>
        <v>#VALUE!</v>
      </c>
      <c r="AP80" s="13" t="e">
        <f t="shared" ca="1" si="114"/>
        <v>#VALUE!</v>
      </c>
      <c r="AQ80" s="17" t="e">
        <f t="shared" ca="1" si="115"/>
        <v>#VALUE!</v>
      </c>
      <c r="AS80" s="15" t="e">
        <f t="shared" ca="1" si="116"/>
        <v>#VALUE!</v>
      </c>
      <c r="AT80" s="5">
        <f>'Exception Stores'!$D$2</f>
        <v>0.125</v>
      </c>
      <c r="AU80" s="15" t="e">
        <f t="shared" ca="1" si="117"/>
        <v>#VALUE!</v>
      </c>
      <c r="AV80" s="15" t="e">
        <f t="shared" ca="1" si="118"/>
        <v>#VALUE!</v>
      </c>
      <c r="AW80" s="15" t="e">
        <f t="shared" ca="1" si="119"/>
        <v>#VALUE!</v>
      </c>
      <c r="AX80" s="15" t="e">
        <f t="shared" ca="1" si="120"/>
        <v>#VALUE!</v>
      </c>
      <c r="AY80" s="15" t="e">
        <f t="shared" ca="1" si="121"/>
        <v>#VALUE!</v>
      </c>
      <c r="AZ80" s="1" t="e">
        <f t="shared" ca="1" si="122"/>
        <v>#VALUE!</v>
      </c>
      <c r="BA80" s="15" t="e">
        <f t="shared" ca="1" si="123"/>
        <v>#VALUE!</v>
      </c>
      <c r="BB80" s="15" t="e">
        <f t="shared" ca="1" si="124"/>
        <v>#VALUE!</v>
      </c>
      <c r="BC80" s="1" t="e">
        <f t="shared" ca="1" si="125"/>
        <v>#VALUE!</v>
      </c>
      <c r="BE80" s="15" t="str">
        <f>IF(ISBLANK('Exception Stores'!$A$6),"",'Exception Stores'!$A$6)</f>
        <v/>
      </c>
      <c r="BF80" s="15" t="str">
        <f>IF(ISBLANK('Exception Stores'!$B$6),"",'Exception Stores'!$B$6)</f>
        <v/>
      </c>
      <c r="BG80" s="1">
        <f>IF(ISBLANK('Exception Stores'!$A$6),0,IF($AN$2&gt;$BF$2,($AN$2-$BF$2)*24,0))</f>
        <v>0</v>
      </c>
      <c r="BH80" s="11">
        <f>IF(ISBLANK('Exception Stores'!$A$6),0,($BF$2-$BE$2)*24)</f>
        <v>0</v>
      </c>
      <c r="BI8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80" s="1">
        <f>IF(ISBLANK('Exception Stores'!$A$6),0,IF($AN$2&gt;$BF$2,0,IF(AND($AN$2&lt;$BF$2,$BT$2="B"),(($BF$2-$AN$2)*24)-$BS$2,($BF$2-$AN$2)*24)))</f>
        <v>0</v>
      </c>
      <c r="BL80" s="5"/>
      <c r="BM80" s="5"/>
      <c r="BN80" s="5"/>
      <c r="BO80" s="5"/>
      <c r="BP80" s="5"/>
      <c r="BV80" s="1" t="e">
        <f t="shared" ca="1" si="126"/>
        <v>#VALUE!</v>
      </c>
      <c r="BW80" s="1" t="e">
        <f t="shared" ca="1" si="127"/>
        <v>#VALUE!</v>
      </c>
      <c r="BX80" s="1" t="e">
        <f t="shared" ca="1" si="128"/>
        <v>#VALUE!</v>
      </c>
      <c r="BY80" s="1" t="e">
        <f t="shared" ca="1" si="129"/>
        <v>#VALUE!</v>
      </c>
      <c r="BZ80" s="1" t="e">
        <f t="shared" ca="1" si="130"/>
        <v>#VALUE!</v>
      </c>
      <c r="CB80" s="1" t="str">
        <f>IF(ISBLANK('Exception Stores'!$A$6),"",WEEKDAY($BF$2))</f>
        <v/>
      </c>
      <c r="CC80" s="1" t="str">
        <f>IF(ISBLANK('Exception Stores'!$A$6),"NO",IF('Exception Stores'!$A$6&lt;$AU$2,"YES","NO"))</f>
        <v>NO</v>
      </c>
      <c r="CD80" s="1" t="str">
        <f>IF(ISBLANK('Exception Stores'!$A$6),"NO",IF('Exception Stores'!$A$6&lt;$AV$2,"YES","NO"))</f>
        <v>NO</v>
      </c>
      <c r="CE80" s="1" t="str">
        <f>IF(ISBLANK('Exception Stores'!$A$6),"NO",IF('Exception Stores'!$A$6&lt;$AW$2,"YES","NO"))</f>
        <v>NO</v>
      </c>
      <c r="CF80" s="1" t="str">
        <f>IF(ISBLANK('Exception Stores'!$A$6),"NO",IF('Exception Stores'!$A$6&lt;$AX$2,"YES","NO"))</f>
        <v>NO</v>
      </c>
      <c r="CG80" s="1" t="str">
        <f>IF(ISBLANK('Exception Stores'!$A$6),"NO",IF('Exception Stores'!$A$6&lt;$AY$2,"YES","NO"))</f>
        <v>NO</v>
      </c>
      <c r="CI80" s="42" t="str">
        <f>IF(ISBLANK('Exception Stores'!$B$6),"NO",IF('Exception Stores'!$B$6&lt;=$AU$2,"YES","NO"))</f>
        <v>NO</v>
      </c>
      <c r="CJ80" s="42" t="str">
        <f>IF(ISBLANK('Exception Stores'!$B$6),"NO",IF('Exception Stores'!$B$6&lt;=$AV$2,"YES","NO"))</f>
        <v>NO</v>
      </c>
      <c r="CK80" s="1" t="str">
        <f>IF(ISBLANK('Exception Stores'!$B$6),"NO",IF('Exception Stores'!$B$6&lt;=$AW$2,"YES","NO"))</f>
        <v>NO</v>
      </c>
      <c r="CL80" s="1" t="str">
        <f>IF(ISBLANK('Exception Stores'!$B$6),"NO",IF('Exception Stores'!$B$6&lt;=$AX$2,"YES","NO"))</f>
        <v>NO</v>
      </c>
      <c r="CM80" s="1" t="str">
        <f>IF(ISBLANK('Exception Stores'!$B$6),"NO",IF('Exception Stores'!$B$6&lt;=$AY$2,"YES","NO"))</f>
        <v>NO</v>
      </c>
      <c r="CO80" s="1" t="e">
        <f ca="1">IF(AM80&lt;'Exception Stores'!$A$6,"YES","NO")</f>
        <v>#VALUE!</v>
      </c>
      <c r="CP80" s="1">
        <f t="shared" si="131"/>
        <v>0</v>
      </c>
      <c r="CQ80" s="1">
        <f t="shared" si="132"/>
        <v>0</v>
      </c>
      <c r="CR80" s="1">
        <f t="shared" si="133"/>
        <v>0</v>
      </c>
      <c r="CS80" s="1">
        <f t="shared" si="134"/>
        <v>0</v>
      </c>
      <c r="CT80" s="1">
        <f t="shared" si="135"/>
        <v>0</v>
      </c>
      <c r="CU80" s="1">
        <f t="shared" si="136"/>
        <v>0</v>
      </c>
      <c r="CW80" s="1" t="e">
        <f t="shared" ca="1" si="77"/>
        <v>#VALUE!</v>
      </c>
      <c r="CX80" s="1" t="e">
        <f t="shared" ca="1" si="78"/>
        <v>#VALUE!</v>
      </c>
      <c r="CY80" s="1" t="e">
        <f t="shared" ca="1" si="79"/>
        <v>#VALUE!</v>
      </c>
      <c r="CZ80" s="1" t="e">
        <f t="shared" ca="1" si="80"/>
        <v>#VALUE!</v>
      </c>
      <c r="DA80" s="1" t="e">
        <f t="shared" ca="1" si="81"/>
        <v>#VALUE!</v>
      </c>
      <c r="DB80" s="26" t="e">
        <f t="shared" ca="1" si="137"/>
        <v>#VALUE!</v>
      </c>
      <c r="DC80" s="1">
        <f t="shared" si="82"/>
        <v>0</v>
      </c>
      <c r="DD80" s="1">
        <f t="shared" si="83"/>
        <v>0</v>
      </c>
      <c r="DE80" s="1">
        <f t="shared" si="84"/>
        <v>0</v>
      </c>
      <c r="DF80" s="1">
        <f t="shared" si="85"/>
        <v>0</v>
      </c>
      <c r="DG80" s="1">
        <f t="shared" si="86"/>
        <v>0</v>
      </c>
      <c r="DH80" s="26">
        <f t="shared" si="138"/>
        <v>0</v>
      </c>
      <c r="DI80" s="1" t="e">
        <f t="shared" ca="1" si="139"/>
        <v>#VALUE!</v>
      </c>
      <c r="DK80" s="11" t="str">
        <f t="shared" si="87"/>
        <v/>
      </c>
      <c r="DL80" s="11" t="e">
        <f ca="1">IF(AND(NOT(ISBLANK('Exception Stores'!$A$6)),CO80="YES"),S80-$BH$2-(DI80*$BS$2)-(CU80*$BS$2),S80-(DB80*$BS$2))</f>
        <v>#VALUE!</v>
      </c>
      <c r="DM80" s="11" t="str">
        <f>IF(ISBLANK(A80),"",IF(COUNTIF(Remaps!$A$2:$A$200,B80)&gt;0,"YES",""))</f>
        <v>YES</v>
      </c>
      <c r="DN80" s="29">
        <f>IFERROR(INDEX(Remaps!$B$2:$B$200,MATCH(B80,Remaps!$A$2:$A$200,0),1),0)</f>
        <v>0</v>
      </c>
      <c r="DO80" s="11" t="e">
        <f t="shared" ca="1" si="88"/>
        <v>#VALUE!</v>
      </c>
      <c r="DP80" s="29" t="e">
        <f t="shared" si="89"/>
        <v>#VALUE!</v>
      </c>
      <c r="DQ80" s="11" t="e">
        <f ca="1">('Apollo Dock Status'!$Z$1-DP80)/DO80</f>
        <v>#VALUE!</v>
      </c>
      <c r="DR80" s="15" t="e">
        <f t="shared" ca="1" si="140"/>
        <v>#VALUE!</v>
      </c>
    </row>
    <row r="81" spans="1:122">
      <c r="A81" s="1" t="str">
        <f>IF(ISBLANK('Apollo Dock Status'!A81),"",'Apollo Dock Status'!A81)</f>
        <v/>
      </c>
      <c r="B81" s="1" t="str">
        <f>IF(ISBLANK('Apollo Dock Status'!B81),"",'Apollo Dock Status'!B81)</f>
        <v/>
      </c>
      <c r="C81" s="1" t="str">
        <f>IF(ISBLANK('Apollo Dock Status'!C81),"",'Apollo Dock Status'!C81)</f>
        <v/>
      </c>
      <c r="D81" s="1" t="str">
        <f>IF(ISBLANK('Apollo Dock Status'!D81),"",'Apollo Dock Status'!D81)</f>
        <v/>
      </c>
      <c r="E81" s="1" t="str">
        <f>IF(ISBLANK('Apollo Dock Status'!E81),"",'Apollo Dock Status'!E81)</f>
        <v/>
      </c>
      <c r="F81" s="1" t="str">
        <f>IF(ISBLANK('Apollo Dock Status'!F81),"",'Apollo Dock Status'!F81)</f>
        <v/>
      </c>
      <c r="G81" s="1" t="str">
        <f>IF(ISBLANK('Apollo Dock Status'!G81),"",'Apollo Dock Status'!G81)</f>
        <v/>
      </c>
      <c r="H81" s="1" t="str">
        <f>IF(ISBLANK('Apollo Dock Status'!H81),"",'Apollo Dock Status'!H81)</f>
        <v/>
      </c>
      <c r="I81" s="1" t="str">
        <f>IF(ISBLANK('Apollo Dock Status'!I81),"",'Apollo Dock Status'!I81)</f>
        <v/>
      </c>
      <c r="J81" s="1" t="str">
        <f>IF(ISBLANK('Apollo Dock Status'!J81),"",'Apollo Dock Status'!J81)</f>
        <v/>
      </c>
      <c r="K81" s="1" t="str">
        <f>IF(ISBLANK('Apollo Dock Status'!K81),"",'Apollo Dock Status'!K81)</f>
        <v/>
      </c>
      <c r="L81" s="1" t="str">
        <f>IF(ISBLANK('Apollo Dock Status'!L81),"",'Apollo Dock Status'!L81)</f>
        <v/>
      </c>
      <c r="M81" s="1" t="str">
        <f>IF(ISBLANK('Apollo Dock Status'!M81),"",'Apollo Dock Status'!M81)</f>
        <v/>
      </c>
      <c r="N81" s="1" t="str">
        <f>IF(ISBLANK('Apollo Dock Status'!N81),"",'Apollo Dock Status'!N81)</f>
        <v/>
      </c>
      <c r="O81" s="1" t="str">
        <f t="shared" si="90"/>
        <v/>
      </c>
      <c r="P81" s="1" t="str">
        <f t="shared" si="91"/>
        <v/>
      </c>
      <c r="Q81" s="1" t="str">
        <f t="shared" si="92"/>
        <v/>
      </c>
      <c r="R81" s="1" t="str">
        <f t="shared" si="93"/>
        <v/>
      </c>
      <c r="S81" s="11" t="str">
        <f t="shared" si="94"/>
        <v/>
      </c>
      <c r="T81" s="1" t="str">
        <f t="shared" si="95"/>
        <v/>
      </c>
      <c r="U81" s="11" t="str">
        <f t="shared" si="96"/>
        <v/>
      </c>
      <c r="V81" s="11" t="str">
        <f t="shared" si="97"/>
        <v/>
      </c>
      <c r="X81" s="1" t="str">
        <f t="shared" si="98"/>
        <v/>
      </c>
      <c r="Y81" s="1" t="str">
        <f t="shared" si="99"/>
        <v/>
      </c>
      <c r="Z81" s="1" t="str">
        <f t="shared" si="100"/>
        <v/>
      </c>
      <c r="AB81" s="13">
        <f t="shared" ca="1" si="101"/>
        <v>46176</v>
      </c>
      <c r="AC81" s="1">
        <f t="shared" ca="1" si="102"/>
        <v>2026</v>
      </c>
      <c r="AD81" s="1" t="str">
        <f t="shared" ca="1" si="103"/>
        <v>6</v>
      </c>
      <c r="AE81" s="1">
        <f t="shared" si="104"/>
        <v>1</v>
      </c>
      <c r="AF81" s="1" t="str">
        <f t="shared" si="105"/>
        <v/>
      </c>
      <c r="AG81" s="1">
        <f t="shared" ca="1" si="106"/>
        <v>2026</v>
      </c>
      <c r="AH81" s="1">
        <f t="shared" si="107"/>
        <v>1</v>
      </c>
      <c r="AI81" s="1" t="str">
        <f t="shared" ca="1" si="108"/>
        <v>6</v>
      </c>
      <c r="AJ81" s="13" t="e">
        <f t="shared" ca="1" si="109"/>
        <v>#VALUE!</v>
      </c>
      <c r="AK81" s="1" t="e">
        <f>IF(ISBLANK(A81),"",IFERROR(MID(F81,SEARCH(", ",F81)+LEN(", "),SEARCH(" "&amp;'Exception Stores'!$A$2,F81)-SEARCH(", ",F81)-LEN(", ")),MID(F81,SEARCH(", ",F81)+LEN(", "),SEARCH(" "&amp;'Exception Stores'!$B$2,F81)-SEARCH(", ",F81)-LEN(", "))))</f>
        <v>#VALUE!</v>
      </c>
      <c r="AL81" s="1" t="e">
        <f t="shared" si="110"/>
        <v>#VALUE!</v>
      </c>
      <c r="AM81" s="15" t="e">
        <f t="shared" ca="1" si="111"/>
        <v>#VALUE!</v>
      </c>
      <c r="AN81" s="24" t="e">
        <f t="shared" ca="1" si="112"/>
        <v>#VALUE!</v>
      </c>
      <c r="AO81" s="1" t="e">
        <f t="shared" ca="1" si="113"/>
        <v>#VALUE!</v>
      </c>
      <c r="AP81" s="13" t="e">
        <f t="shared" ca="1" si="114"/>
        <v>#VALUE!</v>
      </c>
      <c r="AQ81" s="17" t="e">
        <f t="shared" ca="1" si="115"/>
        <v>#VALUE!</v>
      </c>
      <c r="AS81" s="15" t="e">
        <f t="shared" ca="1" si="116"/>
        <v>#VALUE!</v>
      </c>
      <c r="AT81" s="5">
        <f>'Exception Stores'!$D$2</f>
        <v>0.125</v>
      </c>
      <c r="AU81" s="15" t="e">
        <f t="shared" ca="1" si="117"/>
        <v>#VALUE!</v>
      </c>
      <c r="AV81" s="15" t="e">
        <f t="shared" ca="1" si="118"/>
        <v>#VALUE!</v>
      </c>
      <c r="AW81" s="15" t="e">
        <f t="shared" ca="1" si="119"/>
        <v>#VALUE!</v>
      </c>
      <c r="AX81" s="15" t="e">
        <f t="shared" ca="1" si="120"/>
        <v>#VALUE!</v>
      </c>
      <c r="AY81" s="15" t="e">
        <f t="shared" ca="1" si="121"/>
        <v>#VALUE!</v>
      </c>
      <c r="AZ81" s="1" t="e">
        <f t="shared" ca="1" si="122"/>
        <v>#VALUE!</v>
      </c>
      <c r="BA81" s="15" t="e">
        <f t="shared" ca="1" si="123"/>
        <v>#VALUE!</v>
      </c>
      <c r="BB81" s="15" t="e">
        <f t="shared" ca="1" si="124"/>
        <v>#VALUE!</v>
      </c>
      <c r="BC81" s="1" t="e">
        <f t="shared" ca="1" si="125"/>
        <v>#VALUE!</v>
      </c>
      <c r="BE81" s="15" t="str">
        <f>IF(ISBLANK('Exception Stores'!$A$6),"",'Exception Stores'!$A$6)</f>
        <v/>
      </c>
      <c r="BF81" s="15" t="str">
        <f>IF(ISBLANK('Exception Stores'!$B$6),"",'Exception Stores'!$B$6)</f>
        <v/>
      </c>
      <c r="BG81" s="1">
        <f>IF(ISBLANK('Exception Stores'!$A$6),0,IF($AN$2&gt;$BF$2,($AN$2-$BF$2)*24,0))</f>
        <v>0</v>
      </c>
      <c r="BH81" s="11">
        <f>IF(ISBLANK('Exception Stores'!$A$6),0,($BF$2-$BE$2)*24)</f>
        <v>0</v>
      </c>
      <c r="BI8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81" s="1">
        <f>IF(ISBLANK('Exception Stores'!$A$6),0,IF($AN$2&gt;$BF$2,0,IF(AND($AN$2&lt;$BF$2,$BT$2="B"),(($BF$2-$AN$2)*24)-$BS$2,($BF$2-$AN$2)*24)))</f>
        <v>0</v>
      </c>
      <c r="BL81" s="5"/>
      <c r="BM81" s="5"/>
      <c r="BN81" s="5"/>
      <c r="BO81" s="5"/>
      <c r="BP81" s="5"/>
      <c r="BV81" s="1" t="e">
        <f t="shared" ca="1" si="126"/>
        <v>#VALUE!</v>
      </c>
      <c r="BW81" s="1" t="e">
        <f t="shared" ca="1" si="127"/>
        <v>#VALUE!</v>
      </c>
      <c r="BX81" s="1" t="e">
        <f t="shared" ca="1" si="128"/>
        <v>#VALUE!</v>
      </c>
      <c r="BY81" s="1" t="e">
        <f t="shared" ca="1" si="129"/>
        <v>#VALUE!</v>
      </c>
      <c r="BZ81" s="1" t="e">
        <f t="shared" ca="1" si="130"/>
        <v>#VALUE!</v>
      </c>
      <c r="CB81" s="1" t="str">
        <f>IF(ISBLANK('Exception Stores'!$A$6),"",WEEKDAY($BF$2))</f>
        <v/>
      </c>
      <c r="CC81" s="1" t="str">
        <f>IF(ISBLANK('Exception Stores'!$A$6),"NO",IF('Exception Stores'!$A$6&lt;$AU$2,"YES","NO"))</f>
        <v>NO</v>
      </c>
      <c r="CD81" s="1" t="str">
        <f>IF(ISBLANK('Exception Stores'!$A$6),"NO",IF('Exception Stores'!$A$6&lt;$AV$2,"YES","NO"))</f>
        <v>NO</v>
      </c>
      <c r="CE81" s="1" t="str">
        <f>IF(ISBLANK('Exception Stores'!$A$6),"NO",IF('Exception Stores'!$A$6&lt;$AW$2,"YES","NO"))</f>
        <v>NO</v>
      </c>
      <c r="CF81" s="1" t="str">
        <f>IF(ISBLANK('Exception Stores'!$A$6),"NO",IF('Exception Stores'!$A$6&lt;$AX$2,"YES","NO"))</f>
        <v>NO</v>
      </c>
      <c r="CG81" s="1" t="str">
        <f>IF(ISBLANK('Exception Stores'!$A$6),"NO",IF('Exception Stores'!$A$6&lt;$AY$2,"YES","NO"))</f>
        <v>NO</v>
      </c>
      <c r="CI81" s="42" t="str">
        <f>IF(ISBLANK('Exception Stores'!$B$6),"NO",IF('Exception Stores'!$B$6&lt;=$AU$2,"YES","NO"))</f>
        <v>NO</v>
      </c>
      <c r="CJ81" s="42" t="str">
        <f>IF(ISBLANK('Exception Stores'!$B$6),"NO",IF('Exception Stores'!$B$6&lt;=$AV$2,"YES","NO"))</f>
        <v>NO</v>
      </c>
      <c r="CK81" s="1" t="str">
        <f>IF(ISBLANK('Exception Stores'!$B$6),"NO",IF('Exception Stores'!$B$6&lt;=$AW$2,"YES","NO"))</f>
        <v>NO</v>
      </c>
      <c r="CL81" s="1" t="str">
        <f>IF(ISBLANK('Exception Stores'!$B$6),"NO",IF('Exception Stores'!$B$6&lt;=$AX$2,"YES","NO"))</f>
        <v>NO</v>
      </c>
      <c r="CM81" s="1" t="str">
        <f>IF(ISBLANK('Exception Stores'!$B$6),"NO",IF('Exception Stores'!$B$6&lt;=$AY$2,"YES","NO"))</f>
        <v>NO</v>
      </c>
      <c r="CO81" s="1" t="e">
        <f ca="1">IF(AM81&lt;'Exception Stores'!$A$6,"YES","NO")</f>
        <v>#VALUE!</v>
      </c>
      <c r="CP81" s="1">
        <f t="shared" si="131"/>
        <v>0</v>
      </c>
      <c r="CQ81" s="1">
        <f t="shared" si="132"/>
        <v>0</v>
      </c>
      <c r="CR81" s="1">
        <f t="shared" si="133"/>
        <v>0</v>
      </c>
      <c r="CS81" s="1">
        <f t="shared" si="134"/>
        <v>0</v>
      </c>
      <c r="CT81" s="1">
        <f t="shared" si="135"/>
        <v>0</v>
      </c>
      <c r="CU81" s="1">
        <f t="shared" si="136"/>
        <v>0</v>
      </c>
      <c r="CW81" s="1" t="e">
        <f t="shared" ca="1" si="77"/>
        <v>#VALUE!</v>
      </c>
      <c r="CX81" s="1" t="e">
        <f t="shared" ca="1" si="78"/>
        <v>#VALUE!</v>
      </c>
      <c r="CY81" s="1" t="e">
        <f t="shared" ca="1" si="79"/>
        <v>#VALUE!</v>
      </c>
      <c r="CZ81" s="1" t="e">
        <f t="shared" ca="1" si="80"/>
        <v>#VALUE!</v>
      </c>
      <c r="DA81" s="1" t="e">
        <f t="shared" ca="1" si="81"/>
        <v>#VALUE!</v>
      </c>
      <c r="DB81" s="26" t="e">
        <f t="shared" ca="1" si="137"/>
        <v>#VALUE!</v>
      </c>
      <c r="DC81" s="1">
        <f t="shared" si="82"/>
        <v>0</v>
      </c>
      <c r="DD81" s="1">
        <f t="shared" si="83"/>
        <v>0</v>
      </c>
      <c r="DE81" s="1">
        <f t="shared" si="84"/>
        <v>0</v>
      </c>
      <c r="DF81" s="1">
        <f t="shared" si="85"/>
        <v>0</v>
      </c>
      <c r="DG81" s="1">
        <f t="shared" si="86"/>
        <v>0</v>
      </c>
      <c r="DH81" s="26">
        <f t="shared" si="138"/>
        <v>0</v>
      </c>
      <c r="DI81" s="1" t="e">
        <f t="shared" ca="1" si="139"/>
        <v>#VALUE!</v>
      </c>
      <c r="DK81" s="11" t="str">
        <f t="shared" si="87"/>
        <v/>
      </c>
      <c r="DL81" s="11" t="e">
        <f ca="1">IF(AND(NOT(ISBLANK('Exception Stores'!$A$6)),CO81="YES"),S81-$BH$2-(DI81*$BS$2)-(CU81*$BS$2),S81-(DB81*$BS$2))</f>
        <v>#VALUE!</v>
      </c>
      <c r="DM81" s="11" t="str">
        <f>IF(ISBLANK(A81),"",IF(COUNTIF(Remaps!$A$2:$A$200,B81)&gt;0,"YES",""))</f>
        <v>YES</v>
      </c>
      <c r="DN81" s="29">
        <f>IFERROR(INDEX(Remaps!$B$2:$B$200,MATCH(B81,Remaps!$A$2:$A$200,0),1),0)</f>
        <v>0</v>
      </c>
      <c r="DO81" s="11" t="e">
        <f t="shared" ca="1" si="88"/>
        <v>#VALUE!</v>
      </c>
      <c r="DP81" s="29" t="e">
        <f t="shared" si="89"/>
        <v>#VALUE!</v>
      </c>
      <c r="DQ81" s="11" t="e">
        <f ca="1">('Apollo Dock Status'!$Z$1-DP81)/DO81</f>
        <v>#VALUE!</v>
      </c>
      <c r="DR81" s="15" t="e">
        <f t="shared" ca="1" si="140"/>
        <v>#VALUE!</v>
      </c>
    </row>
    <row r="82" spans="1:122">
      <c r="A82" s="1" t="str">
        <f>IF(ISBLANK('Apollo Dock Status'!A82),"",'Apollo Dock Status'!A82)</f>
        <v/>
      </c>
      <c r="B82" s="1" t="str">
        <f>IF(ISBLANK('Apollo Dock Status'!B82),"",'Apollo Dock Status'!B82)</f>
        <v/>
      </c>
      <c r="C82" s="1" t="str">
        <f>IF(ISBLANK('Apollo Dock Status'!C82),"",'Apollo Dock Status'!C82)</f>
        <v/>
      </c>
      <c r="D82" s="1" t="str">
        <f>IF(ISBLANK('Apollo Dock Status'!D82),"",'Apollo Dock Status'!D82)</f>
        <v/>
      </c>
      <c r="E82" s="1" t="str">
        <f>IF(ISBLANK('Apollo Dock Status'!E82),"",'Apollo Dock Status'!E82)</f>
        <v/>
      </c>
      <c r="F82" s="1" t="str">
        <f>IF(ISBLANK('Apollo Dock Status'!F82),"",'Apollo Dock Status'!F82)</f>
        <v/>
      </c>
      <c r="G82" s="1" t="str">
        <f>IF(ISBLANK('Apollo Dock Status'!G82),"",'Apollo Dock Status'!G82)</f>
        <v/>
      </c>
      <c r="H82" s="1" t="str">
        <f>IF(ISBLANK('Apollo Dock Status'!H82),"",'Apollo Dock Status'!H82)</f>
        <v/>
      </c>
      <c r="I82" s="1" t="str">
        <f>IF(ISBLANK('Apollo Dock Status'!I82),"",'Apollo Dock Status'!I82)</f>
        <v/>
      </c>
      <c r="J82" s="1" t="str">
        <f>IF(ISBLANK('Apollo Dock Status'!J82),"",'Apollo Dock Status'!J82)</f>
        <v/>
      </c>
      <c r="K82" s="1" t="str">
        <f>IF(ISBLANK('Apollo Dock Status'!K82),"",'Apollo Dock Status'!K82)</f>
        <v/>
      </c>
      <c r="L82" s="1" t="str">
        <f>IF(ISBLANK('Apollo Dock Status'!L82),"",'Apollo Dock Status'!L82)</f>
        <v/>
      </c>
      <c r="M82" s="1" t="str">
        <f>IF(ISBLANK('Apollo Dock Status'!M82),"",'Apollo Dock Status'!M82)</f>
        <v/>
      </c>
      <c r="N82" s="1" t="str">
        <f>IF(ISBLANK('Apollo Dock Status'!N82),"",'Apollo Dock Status'!N82)</f>
        <v/>
      </c>
      <c r="O82" s="1" t="str">
        <f t="shared" si="90"/>
        <v/>
      </c>
      <c r="P82" s="1" t="str">
        <f t="shared" si="91"/>
        <v/>
      </c>
      <c r="Q82" s="1" t="str">
        <f t="shared" si="92"/>
        <v/>
      </c>
      <c r="R82" s="1" t="str">
        <f t="shared" si="93"/>
        <v/>
      </c>
      <c r="S82" s="11" t="str">
        <f t="shared" si="94"/>
        <v/>
      </c>
      <c r="T82" s="1" t="str">
        <f t="shared" si="95"/>
        <v/>
      </c>
      <c r="U82" s="11" t="str">
        <f t="shared" si="96"/>
        <v/>
      </c>
      <c r="V82" s="11" t="str">
        <f t="shared" si="97"/>
        <v/>
      </c>
      <c r="X82" s="1" t="str">
        <f t="shared" si="98"/>
        <v/>
      </c>
      <c r="Y82" s="1" t="str">
        <f t="shared" si="99"/>
        <v/>
      </c>
      <c r="Z82" s="1" t="str">
        <f t="shared" si="100"/>
        <v/>
      </c>
      <c r="AB82" s="13">
        <f t="shared" ca="1" si="101"/>
        <v>46176</v>
      </c>
      <c r="AC82" s="1">
        <f t="shared" ca="1" si="102"/>
        <v>2026</v>
      </c>
      <c r="AD82" s="1" t="str">
        <f t="shared" ca="1" si="103"/>
        <v>6</v>
      </c>
      <c r="AE82" s="1">
        <f t="shared" si="104"/>
        <v>1</v>
      </c>
      <c r="AF82" s="1" t="str">
        <f t="shared" si="105"/>
        <v/>
      </c>
      <c r="AG82" s="1">
        <f t="shared" ca="1" si="106"/>
        <v>2026</v>
      </c>
      <c r="AH82" s="1">
        <f t="shared" si="107"/>
        <v>1</v>
      </c>
      <c r="AI82" s="1" t="str">
        <f t="shared" ca="1" si="108"/>
        <v>6</v>
      </c>
      <c r="AJ82" s="13" t="e">
        <f t="shared" ca="1" si="109"/>
        <v>#VALUE!</v>
      </c>
      <c r="AK82" s="1" t="e">
        <f>IF(ISBLANK(A82),"",IFERROR(MID(F82,SEARCH(", ",F82)+LEN(", "),SEARCH(" "&amp;'Exception Stores'!$A$2,F82)-SEARCH(", ",F82)-LEN(", ")),MID(F82,SEARCH(", ",F82)+LEN(", "),SEARCH(" "&amp;'Exception Stores'!$B$2,F82)-SEARCH(", ",F82)-LEN(", "))))</f>
        <v>#VALUE!</v>
      </c>
      <c r="AL82" s="1" t="e">
        <f t="shared" si="110"/>
        <v>#VALUE!</v>
      </c>
      <c r="AM82" s="15" t="e">
        <f t="shared" ca="1" si="111"/>
        <v>#VALUE!</v>
      </c>
      <c r="AN82" s="24" t="e">
        <f t="shared" ca="1" si="112"/>
        <v>#VALUE!</v>
      </c>
      <c r="AO82" s="1" t="e">
        <f t="shared" ca="1" si="113"/>
        <v>#VALUE!</v>
      </c>
      <c r="AP82" s="13" t="e">
        <f t="shared" ca="1" si="114"/>
        <v>#VALUE!</v>
      </c>
      <c r="AQ82" s="17" t="e">
        <f t="shared" ca="1" si="115"/>
        <v>#VALUE!</v>
      </c>
      <c r="AS82" s="15" t="e">
        <f t="shared" ca="1" si="116"/>
        <v>#VALUE!</v>
      </c>
      <c r="AT82" s="5">
        <f>'Exception Stores'!$D$2</f>
        <v>0.125</v>
      </c>
      <c r="AU82" s="15" t="e">
        <f t="shared" ca="1" si="117"/>
        <v>#VALUE!</v>
      </c>
      <c r="AV82" s="15" t="e">
        <f t="shared" ca="1" si="118"/>
        <v>#VALUE!</v>
      </c>
      <c r="AW82" s="15" t="e">
        <f t="shared" ca="1" si="119"/>
        <v>#VALUE!</v>
      </c>
      <c r="AX82" s="15" t="e">
        <f t="shared" ca="1" si="120"/>
        <v>#VALUE!</v>
      </c>
      <c r="AY82" s="15" t="e">
        <f t="shared" ca="1" si="121"/>
        <v>#VALUE!</v>
      </c>
      <c r="AZ82" s="1" t="e">
        <f t="shared" ca="1" si="122"/>
        <v>#VALUE!</v>
      </c>
      <c r="BA82" s="15" t="e">
        <f t="shared" ca="1" si="123"/>
        <v>#VALUE!</v>
      </c>
      <c r="BB82" s="15" t="e">
        <f t="shared" ca="1" si="124"/>
        <v>#VALUE!</v>
      </c>
      <c r="BC82" s="1" t="e">
        <f t="shared" ca="1" si="125"/>
        <v>#VALUE!</v>
      </c>
      <c r="BE82" s="15" t="str">
        <f>IF(ISBLANK('Exception Stores'!$A$6),"",'Exception Stores'!$A$6)</f>
        <v/>
      </c>
      <c r="BF82" s="15" t="str">
        <f>IF(ISBLANK('Exception Stores'!$B$6),"",'Exception Stores'!$B$6)</f>
        <v/>
      </c>
      <c r="BG82" s="1">
        <f>IF(ISBLANK('Exception Stores'!$A$6),0,IF($AN$2&gt;$BF$2,($AN$2-$BF$2)*24,0))</f>
        <v>0</v>
      </c>
      <c r="BH82" s="11">
        <f>IF(ISBLANK('Exception Stores'!$A$6),0,($BF$2-$BE$2)*24)</f>
        <v>0</v>
      </c>
      <c r="BI8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82" s="1">
        <f>IF(ISBLANK('Exception Stores'!$A$6),0,IF($AN$2&gt;$BF$2,0,IF(AND($AN$2&lt;$BF$2,$BT$2="B"),(($BF$2-$AN$2)*24)-$BS$2,($BF$2-$AN$2)*24)))</f>
        <v>0</v>
      </c>
      <c r="BL82" s="5"/>
      <c r="BM82" s="5"/>
      <c r="BN82" s="5"/>
      <c r="BO82" s="5"/>
      <c r="BP82" s="5"/>
      <c r="BV82" s="1" t="e">
        <f t="shared" ca="1" si="126"/>
        <v>#VALUE!</v>
      </c>
      <c r="BW82" s="1" t="e">
        <f t="shared" ca="1" si="127"/>
        <v>#VALUE!</v>
      </c>
      <c r="BX82" s="1" t="e">
        <f t="shared" ca="1" si="128"/>
        <v>#VALUE!</v>
      </c>
      <c r="BY82" s="1" t="e">
        <f t="shared" ca="1" si="129"/>
        <v>#VALUE!</v>
      </c>
      <c r="BZ82" s="1" t="e">
        <f t="shared" ca="1" si="130"/>
        <v>#VALUE!</v>
      </c>
      <c r="CB82" s="1" t="str">
        <f>IF(ISBLANK('Exception Stores'!$A$6),"",WEEKDAY($BF$2))</f>
        <v/>
      </c>
      <c r="CC82" s="1" t="str">
        <f>IF(ISBLANK('Exception Stores'!$A$6),"NO",IF('Exception Stores'!$A$6&lt;$AU$2,"YES","NO"))</f>
        <v>NO</v>
      </c>
      <c r="CD82" s="1" t="str">
        <f>IF(ISBLANK('Exception Stores'!$A$6),"NO",IF('Exception Stores'!$A$6&lt;$AV$2,"YES","NO"))</f>
        <v>NO</v>
      </c>
      <c r="CE82" s="1" t="str">
        <f>IF(ISBLANK('Exception Stores'!$A$6),"NO",IF('Exception Stores'!$A$6&lt;$AW$2,"YES","NO"))</f>
        <v>NO</v>
      </c>
      <c r="CF82" s="1" t="str">
        <f>IF(ISBLANK('Exception Stores'!$A$6),"NO",IF('Exception Stores'!$A$6&lt;$AX$2,"YES","NO"))</f>
        <v>NO</v>
      </c>
      <c r="CG82" s="1" t="str">
        <f>IF(ISBLANK('Exception Stores'!$A$6),"NO",IF('Exception Stores'!$A$6&lt;$AY$2,"YES","NO"))</f>
        <v>NO</v>
      </c>
      <c r="CI82" s="42" t="str">
        <f>IF(ISBLANK('Exception Stores'!$B$6),"NO",IF('Exception Stores'!$B$6&lt;=$AU$2,"YES","NO"))</f>
        <v>NO</v>
      </c>
      <c r="CJ82" s="42" t="str">
        <f>IF(ISBLANK('Exception Stores'!$B$6),"NO",IF('Exception Stores'!$B$6&lt;=$AV$2,"YES","NO"))</f>
        <v>NO</v>
      </c>
      <c r="CK82" s="1" t="str">
        <f>IF(ISBLANK('Exception Stores'!$B$6),"NO",IF('Exception Stores'!$B$6&lt;=$AW$2,"YES","NO"))</f>
        <v>NO</v>
      </c>
      <c r="CL82" s="1" t="str">
        <f>IF(ISBLANK('Exception Stores'!$B$6),"NO",IF('Exception Stores'!$B$6&lt;=$AX$2,"YES","NO"))</f>
        <v>NO</v>
      </c>
      <c r="CM82" s="1" t="str">
        <f>IF(ISBLANK('Exception Stores'!$B$6),"NO",IF('Exception Stores'!$B$6&lt;=$AY$2,"YES","NO"))</f>
        <v>NO</v>
      </c>
      <c r="CO82" s="1" t="e">
        <f ca="1">IF(AM82&lt;'Exception Stores'!$A$6,"YES","NO")</f>
        <v>#VALUE!</v>
      </c>
      <c r="CP82" s="1">
        <f t="shared" si="131"/>
        <v>0</v>
      </c>
      <c r="CQ82" s="1">
        <f t="shared" si="132"/>
        <v>0</v>
      </c>
      <c r="CR82" s="1">
        <f t="shared" si="133"/>
        <v>0</v>
      </c>
      <c r="CS82" s="1">
        <f t="shared" si="134"/>
        <v>0</v>
      </c>
      <c r="CT82" s="1">
        <f t="shared" si="135"/>
        <v>0</v>
      </c>
      <c r="CU82" s="1">
        <f t="shared" si="136"/>
        <v>0</v>
      </c>
      <c r="CW82" s="1" t="e">
        <f t="shared" ca="1" si="77"/>
        <v>#VALUE!</v>
      </c>
      <c r="CX82" s="1" t="e">
        <f t="shared" ca="1" si="78"/>
        <v>#VALUE!</v>
      </c>
      <c r="CY82" s="1" t="e">
        <f t="shared" ca="1" si="79"/>
        <v>#VALUE!</v>
      </c>
      <c r="CZ82" s="1" t="e">
        <f t="shared" ca="1" si="80"/>
        <v>#VALUE!</v>
      </c>
      <c r="DA82" s="1" t="e">
        <f t="shared" ca="1" si="81"/>
        <v>#VALUE!</v>
      </c>
      <c r="DB82" s="26" t="e">
        <f t="shared" ca="1" si="137"/>
        <v>#VALUE!</v>
      </c>
      <c r="DC82" s="1">
        <f t="shared" si="82"/>
        <v>0</v>
      </c>
      <c r="DD82" s="1">
        <f t="shared" si="83"/>
        <v>0</v>
      </c>
      <c r="DE82" s="1">
        <f t="shared" si="84"/>
        <v>0</v>
      </c>
      <c r="DF82" s="1">
        <f t="shared" si="85"/>
        <v>0</v>
      </c>
      <c r="DG82" s="1">
        <f t="shared" si="86"/>
        <v>0</v>
      </c>
      <c r="DH82" s="26">
        <f t="shared" si="138"/>
        <v>0</v>
      </c>
      <c r="DI82" s="1" t="e">
        <f t="shared" ca="1" si="139"/>
        <v>#VALUE!</v>
      </c>
      <c r="DK82" s="11" t="str">
        <f t="shared" si="87"/>
        <v/>
      </c>
      <c r="DL82" s="11" t="e">
        <f ca="1">IF(AND(NOT(ISBLANK('Exception Stores'!$A$6)),CO82="YES"),S82-$BH$2-(DI82*$BS$2)-(CU82*$BS$2),S82-(DB82*$BS$2))</f>
        <v>#VALUE!</v>
      </c>
      <c r="DM82" s="11" t="str">
        <f>IF(ISBLANK(A82),"",IF(COUNTIF(Remaps!$A$2:$A$200,B82)&gt;0,"YES",""))</f>
        <v>YES</v>
      </c>
      <c r="DN82" s="29">
        <f>IFERROR(INDEX(Remaps!$B$2:$B$200,MATCH(B82,Remaps!$A$2:$A$200,0),1),0)</f>
        <v>0</v>
      </c>
      <c r="DO82" s="11" t="e">
        <f t="shared" ca="1" si="88"/>
        <v>#VALUE!</v>
      </c>
      <c r="DP82" s="29" t="e">
        <f t="shared" si="89"/>
        <v>#VALUE!</v>
      </c>
      <c r="DQ82" s="11" t="e">
        <f ca="1">('Apollo Dock Status'!$Z$1-DP82)/DO82</f>
        <v>#VALUE!</v>
      </c>
      <c r="DR82" s="15" t="e">
        <f t="shared" ca="1" si="140"/>
        <v>#VALUE!</v>
      </c>
    </row>
    <row r="83" spans="1:122">
      <c r="A83" s="1" t="str">
        <f>IF(ISBLANK('Apollo Dock Status'!A83),"",'Apollo Dock Status'!A83)</f>
        <v/>
      </c>
      <c r="B83" s="1" t="str">
        <f>IF(ISBLANK('Apollo Dock Status'!B83),"",'Apollo Dock Status'!B83)</f>
        <v/>
      </c>
      <c r="C83" s="1" t="str">
        <f>IF(ISBLANK('Apollo Dock Status'!C83),"",'Apollo Dock Status'!C83)</f>
        <v/>
      </c>
      <c r="D83" s="1" t="str">
        <f>IF(ISBLANK('Apollo Dock Status'!D83),"",'Apollo Dock Status'!D83)</f>
        <v/>
      </c>
      <c r="E83" s="1" t="str">
        <f>IF(ISBLANK('Apollo Dock Status'!E83),"",'Apollo Dock Status'!E83)</f>
        <v/>
      </c>
      <c r="F83" s="1" t="str">
        <f>IF(ISBLANK('Apollo Dock Status'!F83),"",'Apollo Dock Status'!F83)</f>
        <v/>
      </c>
      <c r="G83" s="1" t="str">
        <f>IF(ISBLANK('Apollo Dock Status'!G83),"",'Apollo Dock Status'!G83)</f>
        <v/>
      </c>
      <c r="H83" s="1" t="str">
        <f>IF(ISBLANK('Apollo Dock Status'!H83),"",'Apollo Dock Status'!H83)</f>
        <v/>
      </c>
      <c r="I83" s="1" t="str">
        <f>IF(ISBLANK('Apollo Dock Status'!I83),"",'Apollo Dock Status'!I83)</f>
        <v/>
      </c>
      <c r="J83" s="1" t="str">
        <f>IF(ISBLANK('Apollo Dock Status'!J83),"",'Apollo Dock Status'!J83)</f>
        <v/>
      </c>
      <c r="K83" s="1" t="str">
        <f>IF(ISBLANK('Apollo Dock Status'!K83),"",'Apollo Dock Status'!K83)</f>
        <v/>
      </c>
      <c r="L83" s="1" t="str">
        <f>IF(ISBLANK('Apollo Dock Status'!L83),"",'Apollo Dock Status'!L83)</f>
        <v/>
      </c>
      <c r="M83" s="1" t="str">
        <f>IF(ISBLANK('Apollo Dock Status'!M83),"",'Apollo Dock Status'!M83)</f>
        <v/>
      </c>
      <c r="N83" s="1" t="str">
        <f>IF(ISBLANK('Apollo Dock Status'!N83),"",'Apollo Dock Status'!N83)</f>
        <v/>
      </c>
      <c r="O83" s="1" t="str">
        <f t="shared" si="90"/>
        <v/>
      </c>
      <c r="P83" s="1" t="str">
        <f t="shared" si="91"/>
        <v/>
      </c>
      <c r="Q83" s="1" t="str">
        <f t="shared" si="92"/>
        <v/>
      </c>
      <c r="R83" s="1" t="str">
        <f t="shared" si="93"/>
        <v/>
      </c>
      <c r="S83" s="11" t="str">
        <f t="shared" si="94"/>
        <v/>
      </c>
      <c r="T83" s="1" t="str">
        <f t="shared" si="95"/>
        <v/>
      </c>
      <c r="U83" s="11" t="str">
        <f t="shared" si="96"/>
        <v/>
      </c>
      <c r="V83" s="11" t="str">
        <f t="shared" si="97"/>
        <v/>
      </c>
      <c r="X83" s="1" t="str">
        <f t="shared" si="98"/>
        <v/>
      </c>
      <c r="Y83" s="1" t="str">
        <f t="shared" si="99"/>
        <v/>
      </c>
      <c r="Z83" s="1" t="str">
        <f t="shared" si="100"/>
        <v/>
      </c>
      <c r="AB83" s="13">
        <f t="shared" ca="1" si="101"/>
        <v>46176</v>
      </c>
      <c r="AC83" s="1">
        <f t="shared" ca="1" si="102"/>
        <v>2026</v>
      </c>
      <c r="AD83" s="1" t="str">
        <f t="shared" ca="1" si="103"/>
        <v>6</v>
      </c>
      <c r="AE83" s="1">
        <f t="shared" si="104"/>
        <v>1</v>
      </c>
      <c r="AF83" s="1" t="str">
        <f t="shared" si="105"/>
        <v/>
      </c>
      <c r="AG83" s="1">
        <f t="shared" ca="1" si="106"/>
        <v>2026</v>
      </c>
      <c r="AH83" s="1">
        <f t="shared" si="107"/>
        <v>1</v>
      </c>
      <c r="AI83" s="1" t="str">
        <f t="shared" ca="1" si="108"/>
        <v>6</v>
      </c>
      <c r="AJ83" s="13" t="e">
        <f t="shared" ca="1" si="109"/>
        <v>#VALUE!</v>
      </c>
      <c r="AK83" s="1" t="e">
        <f>IF(ISBLANK(A83),"",IFERROR(MID(F83,SEARCH(", ",F83)+LEN(", "),SEARCH(" "&amp;'Exception Stores'!$A$2,F83)-SEARCH(", ",F83)-LEN(", ")),MID(F83,SEARCH(", ",F83)+LEN(", "),SEARCH(" "&amp;'Exception Stores'!$B$2,F83)-SEARCH(", ",F83)-LEN(", "))))</f>
        <v>#VALUE!</v>
      </c>
      <c r="AL83" s="1" t="e">
        <f t="shared" si="110"/>
        <v>#VALUE!</v>
      </c>
      <c r="AM83" s="15" t="e">
        <f t="shared" ca="1" si="111"/>
        <v>#VALUE!</v>
      </c>
      <c r="AN83" s="24" t="e">
        <f t="shared" ca="1" si="112"/>
        <v>#VALUE!</v>
      </c>
      <c r="AO83" s="1" t="e">
        <f t="shared" ca="1" si="113"/>
        <v>#VALUE!</v>
      </c>
      <c r="AP83" s="13" t="e">
        <f t="shared" ca="1" si="114"/>
        <v>#VALUE!</v>
      </c>
      <c r="AQ83" s="17" t="e">
        <f t="shared" ca="1" si="115"/>
        <v>#VALUE!</v>
      </c>
      <c r="AS83" s="15" t="e">
        <f t="shared" ca="1" si="116"/>
        <v>#VALUE!</v>
      </c>
      <c r="AT83" s="5">
        <f>'Exception Stores'!$D$2</f>
        <v>0.125</v>
      </c>
      <c r="AU83" s="15" t="e">
        <f t="shared" ca="1" si="117"/>
        <v>#VALUE!</v>
      </c>
      <c r="AV83" s="15" t="e">
        <f t="shared" ca="1" si="118"/>
        <v>#VALUE!</v>
      </c>
      <c r="AW83" s="15" t="e">
        <f t="shared" ca="1" si="119"/>
        <v>#VALUE!</v>
      </c>
      <c r="AX83" s="15" t="e">
        <f t="shared" ca="1" si="120"/>
        <v>#VALUE!</v>
      </c>
      <c r="AY83" s="15" t="e">
        <f t="shared" ca="1" si="121"/>
        <v>#VALUE!</v>
      </c>
      <c r="AZ83" s="1" t="e">
        <f t="shared" ca="1" si="122"/>
        <v>#VALUE!</v>
      </c>
      <c r="BA83" s="15" t="e">
        <f t="shared" ca="1" si="123"/>
        <v>#VALUE!</v>
      </c>
      <c r="BB83" s="15" t="e">
        <f t="shared" ca="1" si="124"/>
        <v>#VALUE!</v>
      </c>
      <c r="BC83" s="1" t="e">
        <f t="shared" ca="1" si="125"/>
        <v>#VALUE!</v>
      </c>
      <c r="BE83" s="15" t="str">
        <f>IF(ISBLANK('Exception Stores'!$A$6),"",'Exception Stores'!$A$6)</f>
        <v/>
      </c>
      <c r="BF83" s="15" t="str">
        <f>IF(ISBLANK('Exception Stores'!$B$6),"",'Exception Stores'!$B$6)</f>
        <v/>
      </c>
      <c r="BG83" s="1">
        <f>IF(ISBLANK('Exception Stores'!$A$6),0,IF($AN$2&gt;$BF$2,($AN$2-$BF$2)*24,0))</f>
        <v>0</v>
      </c>
      <c r="BH83" s="11">
        <f>IF(ISBLANK('Exception Stores'!$A$6),0,($BF$2-$BE$2)*24)</f>
        <v>0</v>
      </c>
      <c r="BI8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83" s="1">
        <f>IF(ISBLANK('Exception Stores'!$A$6),0,IF($AN$2&gt;$BF$2,0,IF(AND($AN$2&lt;$BF$2,$BT$2="B"),(($BF$2-$AN$2)*24)-$BS$2,($BF$2-$AN$2)*24)))</f>
        <v>0</v>
      </c>
      <c r="BL83" s="5"/>
      <c r="BM83" s="5"/>
      <c r="BN83" s="5"/>
      <c r="BO83" s="5"/>
      <c r="BP83" s="5"/>
      <c r="BV83" s="1" t="e">
        <f t="shared" ca="1" si="126"/>
        <v>#VALUE!</v>
      </c>
      <c r="BW83" s="1" t="e">
        <f t="shared" ca="1" si="127"/>
        <v>#VALUE!</v>
      </c>
      <c r="BX83" s="1" t="e">
        <f t="shared" ca="1" si="128"/>
        <v>#VALUE!</v>
      </c>
      <c r="BY83" s="1" t="e">
        <f t="shared" ca="1" si="129"/>
        <v>#VALUE!</v>
      </c>
      <c r="BZ83" s="1" t="e">
        <f t="shared" ca="1" si="130"/>
        <v>#VALUE!</v>
      </c>
      <c r="CB83" s="1" t="str">
        <f>IF(ISBLANK('Exception Stores'!$A$6),"",WEEKDAY($BF$2))</f>
        <v/>
      </c>
      <c r="CC83" s="1" t="str">
        <f>IF(ISBLANK('Exception Stores'!$A$6),"NO",IF('Exception Stores'!$A$6&lt;$AU$2,"YES","NO"))</f>
        <v>NO</v>
      </c>
      <c r="CD83" s="1" t="str">
        <f>IF(ISBLANK('Exception Stores'!$A$6),"NO",IF('Exception Stores'!$A$6&lt;$AV$2,"YES","NO"))</f>
        <v>NO</v>
      </c>
      <c r="CE83" s="1" t="str">
        <f>IF(ISBLANK('Exception Stores'!$A$6),"NO",IF('Exception Stores'!$A$6&lt;$AW$2,"YES","NO"))</f>
        <v>NO</v>
      </c>
      <c r="CF83" s="1" t="str">
        <f>IF(ISBLANK('Exception Stores'!$A$6),"NO",IF('Exception Stores'!$A$6&lt;$AX$2,"YES","NO"))</f>
        <v>NO</v>
      </c>
      <c r="CG83" s="1" t="str">
        <f>IF(ISBLANK('Exception Stores'!$A$6),"NO",IF('Exception Stores'!$A$6&lt;$AY$2,"YES","NO"))</f>
        <v>NO</v>
      </c>
      <c r="CI83" s="42" t="str">
        <f>IF(ISBLANK('Exception Stores'!$B$6),"NO",IF('Exception Stores'!$B$6&lt;=$AU$2,"YES","NO"))</f>
        <v>NO</v>
      </c>
      <c r="CJ83" s="42" t="str">
        <f>IF(ISBLANK('Exception Stores'!$B$6),"NO",IF('Exception Stores'!$B$6&lt;=$AV$2,"YES","NO"))</f>
        <v>NO</v>
      </c>
      <c r="CK83" s="1" t="str">
        <f>IF(ISBLANK('Exception Stores'!$B$6),"NO",IF('Exception Stores'!$B$6&lt;=$AW$2,"YES","NO"))</f>
        <v>NO</v>
      </c>
      <c r="CL83" s="1" t="str">
        <f>IF(ISBLANK('Exception Stores'!$B$6),"NO",IF('Exception Stores'!$B$6&lt;=$AX$2,"YES","NO"))</f>
        <v>NO</v>
      </c>
      <c r="CM83" s="1" t="str">
        <f>IF(ISBLANK('Exception Stores'!$B$6),"NO",IF('Exception Stores'!$B$6&lt;=$AY$2,"YES","NO"))</f>
        <v>NO</v>
      </c>
      <c r="CO83" s="1" t="e">
        <f ca="1">IF(AM83&lt;'Exception Stores'!$A$6,"YES","NO")</f>
        <v>#VALUE!</v>
      </c>
      <c r="CP83" s="1">
        <f t="shared" si="131"/>
        <v>0</v>
      </c>
      <c r="CQ83" s="1">
        <f t="shared" si="132"/>
        <v>0</v>
      </c>
      <c r="CR83" s="1">
        <f t="shared" si="133"/>
        <v>0</v>
      </c>
      <c r="CS83" s="1">
        <f t="shared" si="134"/>
        <v>0</v>
      </c>
      <c r="CT83" s="1">
        <f t="shared" si="135"/>
        <v>0</v>
      </c>
      <c r="CU83" s="1">
        <f t="shared" si="136"/>
        <v>0</v>
      </c>
      <c r="CW83" s="1" t="e">
        <f t="shared" ca="1" si="77"/>
        <v>#VALUE!</v>
      </c>
      <c r="CX83" s="1" t="e">
        <f t="shared" ca="1" si="78"/>
        <v>#VALUE!</v>
      </c>
      <c r="CY83" s="1" t="e">
        <f t="shared" ca="1" si="79"/>
        <v>#VALUE!</v>
      </c>
      <c r="CZ83" s="1" t="e">
        <f t="shared" ca="1" si="80"/>
        <v>#VALUE!</v>
      </c>
      <c r="DA83" s="1" t="e">
        <f t="shared" ca="1" si="81"/>
        <v>#VALUE!</v>
      </c>
      <c r="DB83" s="26" t="e">
        <f t="shared" ca="1" si="137"/>
        <v>#VALUE!</v>
      </c>
      <c r="DC83" s="1">
        <f t="shared" si="82"/>
        <v>0</v>
      </c>
      <c r="DD83" s="1">
        <f t="shared" si="83"/>
        <v>0</v>
      </c>
      <c r="DE83" s="1">
        <f t="shared" si="84"/>
        <v>0</v>
      </c>
      <c r="DF83" s="1">
        <f t="shared" si="85"/>
        <v>0</v>
      </c>
      <c r="DG83" s="1">
        <f t="shared" si="86"/>
        <v>0</v>
      </c>
      <c r="DH83" s="26">
        <f t="shared" si="138"/>
        <v>0</v>
      </c>
      <c r="DI83" s="1" t="e">
        <f t="shared" ca="1" si="139"/>
        <v>#VALUE!</v>
      </c>
      <c r="DK83" s="11" t="str">
        <f t="shared" si="87"/>
        <v/>
      </c>
      <c r="DL83" s="11" t="e">
        <f ca="1">IF(AND(NOT(ISBLANK('Exception Stores'!$A$6)),CO83="YES"),S83-$BH$2-(DI83*$BS$2)-(CU83*$BS$2),S83-(DB83*$BS$2))</f>
        <v>#VALUE!</v>
      </c>
      <c r="DM83" s="11" t="str">
        <f>IF(ISBLANK(A83),"",IF(COUNTIF(Remaps!$A$2:$A$200,B83)&gt;0,"YES",""))</f>
        <v>YES</v>
      </c>
      <c r="DN83" s="29">
        <f>IFERROR(INDEX(Remaps!$B$2:$B$200,MATCH(B83,Remaps!$A$2:$A$200,0),1),0)</f>
        <v>0</v>
      </c>
      <c r="DO83" s="11" t="e">
        <f t="shared" ca="1" si="88"/>
        <v>#VALUE!</v>
      </c>
      <c r="DP83" s="29" t="e">
        <f t="shared" si="89"/>
        <v>#VALUE!</v>
      </c>
      <c r="DQ83" s="11" t="e">
        <f ca="1">('Apollo Dock Status'!$Z$1-DP83)/DO83</f>
        <v>#VALUE!</v>
      </c>
      <c r="DR83" s="15" t="e">
        <f t="shared" ca="1" si="140"/>
        <v>#VALUE!</v>
      </c>
    </row>
    <row r="84" spans="1:122">
      <c r="A84" s="1" t="str">
        <f>IF(ISBLANK('Apollo Dock Status'!A84),"",'Apollo Dock Status'!A84)</f>
        <v/>
      </c>
      <c r="B84" s="1" t="str">
        <f>IF(ISBLANK('Apollo Dock Status'!B84),"",'Apollo Dock Status'!B84)</f>
        <v/>
      </c>
      <c r="C84" s="1" t="str">
        <f>IF(ISBLANK('Apollo Dock Status'!C84),"",'Apollo Dock Status'!C84)</f>
        <v/>
      </c>
      <c r="D84" s="1" t="str">
        <f>IF(ISBLANK('Apollo Dock Status'!D84),"",'Apollo Dock Status'!D84)</f>
        <v/>
      </c>
      <c r="E84" s="1" t="str">
        <f>IF(ISBLANK('Apollo Dock Status'!E84),"",'Apollo Dock Status'!E84)</f>
        <v/>
      </c>
      <c r="F84" s="1" t="str">
        <f>IF(ISBLANK('Apollo Dock Status'!F84),"",'Apollo Dock Status'!F84)</f>
        <v/>
      </c>
      <c r="G84" s="1" t="str">
        <f>IF(ISBLANK('Apollo Dock Status'!G84),"",'Apollo Dock Status'!G84)</f>
        <v/>
      </c>
      <c r="H84" s="1" t="str">
        <f>IF(ISBLANK('Apollo Dock Status'!H84),"",'Apollo Dock Status'!H84)</f>
        <v/>
      </c>
      <c r="I84" s="1" t="str">
        <f>IF(ISBLANK('Apollo Dock Status'!I84),"",'Apollo Dock Status'!I84)</f>
        <v/>
      </c>
      <c r="J84" s="1" t="str">
        <f>IF(ISBLANK('Apollo Dock Status'!J84),"",'Apollo Dock Status'!J84)</f>
        <v/>
      </c>
      <c r="K84" s="1" t="str">
        <f>IF(ISBLANK('Apollo Dock Status'!K84),"",'Apollo Dock Status'!K84)</f>
        <v/>
      </c>
      <c r="L84" s="1" t="str">
        <f>IF(ISBLANK('Apollo Dock Status'!L84),"",'Apollo Dock Status'!L84)</f>
        <v/>
      </c>
      <c r="M84" s="1" t="str">
        <f>IF(ISBLANK('Apollo Dock Status'!M84),"",'Apollo Dock Status'!M84)</f>
        <v/>
      </c>
      <c r="N84" s="1" t="str">
        <f>IF(ISBLANK('Apollo Dock Status'!N84),"",'Apollo Dock Status'!N84)</f>
        <v/>
      </c>
      <c r="O84" s="1" t="str">
        <f t="shared" si="90"/>
        <v/>
      </c>
      <c r="P84" s="1" t="str">
        <f t="shared" si="91"/>
        <v/>
      </c>
      <c r="Q84" s="1" t="str">
        <f t="shared" si="92"/>
        <v/>
      </c>
      <c r="R84" s="1" t="str">
        <f t="shared" si="93"/>
        <v/>
      </c>
      <c r="S84" s="11" t="str">
        <f t="shared" si="94"/>
        <v/>
      </c>
      <c r="T84" s="1" t="str">
        <f t="shared" si="95"/>
        <v/>
      </c>
      <c r="U84" s="11" t="str">
        <f t="shared" si="96"/>
        <v/>
      </c>
      <c r="V84" s="11" t="str">
        <f t="shared" si="97"/>
        <v/>
      </c>
      <c r="X84" s="1" t="str">
        <f t="shared" si="98"/>
        <v/>
      </c>
      <c r="Y84" s="1" t="str">
        <f t="shared" si="99"/>
        <v/>
      </c>
      <c r="Z84" s="1" t="str">
        <f t="shared" si="100"/>
        <v/>
      </c>
      <c r="AB84" s="13">
        <f t="shared" ca="1" si="101"/>
        <v>46176</v>
      </c>
      <c r="AC84" s="1">
        <f t="shared" ca="1" si="102"/>
        <v>2026</v>
      </c>
      <c r="AD84" s="1" t="str">
        <f t="shared" ca="1" si="103"/>
        <v>6</v>
      </c>
      <c r="AE84" s="1">
        <f t="shared" si="104"/>
        <v>1</v>
      </c>
      <c r="AF84" s="1" t="str">
        <f t="shared" si="105"/>
        <v/>
      </c>
      <c r="AG84" s="1">
        <f t="shared" ca="1" si="106"/>
        <v>2026</v>
      </c>
      <c r="AH84" s="1">
        <f t="shared" si="107"/>
        <v>1</v>
      </c>
      <c r="AI84" s="1" t="str">
        <f t="shared" ca="1" si="108"/>
        <v>6</v>
      </c>
      <c r="AJ84" s="13" t="e">
        <f t="shared" ca="1" si="109"/>
        <v>#VALUE!</v>
      </c>
      <c r="AK84" s="1" t="e">
        <f>IF(ISBLANK(A84),"",IFERROR(MID(F84,SEARCH(", ",F84)+LEN(", "),SEARCH(" "&amp;'Exception Stores'!$A$2,F84)-SEARCH(", ",F84)-LEN(", ")),MID(F84,SEARCH(", ",F84)+LEN(", "),SEARCH(" "&amp;'Exception Stores'!$B$2,F84)-SEARCH(", ",F84)-LEN(", "))))</f>
        <v>#VALUE!</v>
      </c>
      <c r="AL84" s="1" t="e">
        <f t="shared" si="110"/>
        <v>#VALUE!</v>
      </c>
      <c r="AM84" s="15" t="e">
        <f t="shared" ca="1" si="111"/>
        <v>#VALUE!</v>
      </c>
      <c r="AN84" s="24" t="e">
        <f t="shared" ca="1" si="112"/>
        <v>#VALUE!</v>
      </c>
      <c r="AO84" s="1" t="e">
        <f t="shared" ca="1" si="113"/>
        <v>#VALUE!</v>
      </c>
      <c r="AP84" s="13" t="e">
        <f t="shared" ca="1" si="114"/>
        <v>#VALUE!</v>
      </c>
      <c r="AQ84" s="17" t="e">
        <f t="shared" ca="1" si="115"/>
        <v>#VALUE!</v>
      </c>
      <c r="AS84" s="15" t="e">
        <f t="shared" ca="1" si="116"/>
        <v>#VALUE!</v>
      </c>
      <c r="AT84" s="5">
        <f>'Exception Stores'!$D$2</f>
        <v>0.125</v>
      </c>
      <c r="AU84" s="15" t="e">
        <f t="shared" ca="1" si="117"/>
        <v>#VALUE!</v>
      </c>
      <c r="AV84" s="15" t="e">
        <f t="shared" ca="1" si="118"/>
        <v>#VALUE!</v>
      </c>
      <c r="AW84" s="15" t="e">
        <f t="shared" ca="1" si="119"/>
        <v>#VALUE!</v>
      </c>
      <c r="AX84" s="15" t="e">
        <f t="shared" ca="1" si="120"/>
        <v>#VALUE!</v>
      </c>
      <c r="AY84" s="15" t="e">
        <f t="shared" ca="1" si="121"/>
        <v>#VALUE!</v>
      </c>
      <c r="AZ84" s="1" t="e">
        <f t="shared" ca="1" si="122"/>
        <v>#VALUE!</v>
      </c>
      <c r="BA84" s="15" t="e">
        <f t="shared" ca="1" si="123"/>
        <v>#VALUE!</v>
      </c>
      <c r="BB84" s="15" t="e">
        <f t="shared" ca="1" si="124"/>
        <v>#VALUE!</v>
      </c>
      <c r="BC84" s="1" t="e">
        <f t="shared" ca="1" si="125"/>
        <v>#VALUE!</v>
      </c>
      <c r="BE84" s="15" t="str">
        <f>IF(ISBLANK('Exception Stores'!$A$6),"",'Exception Stores'!$A$6)</f>
        <v/>
      </c>
      <c r="BF84" s="15" t="str">
        <f>IF(ISBLANK('Exception Stores'!$B$6),"",'Exception Stores'!$B$6)</f>
        <v/>
      </c>
      <c r="BG84" s="1">
        <f>IF(ISBLANK('Exception Stores'!$A$6),0,IF($AN$2&gt;$BF$2,($AN$2-$BF$2)*24,0))</f>
        <v>0</v>
      </c>
      <c r="BH84" s="11">
        <f>IF(ISBLANK('Exception Stores'!$A$6),0,($BF$2-$BE$2)*24)</f>
        <v>0</v>
      </c>
      <c r="BI8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84" s="1">
        <f>IF(ISBLANK('Exception Stores'!$A$6),0,IF($AN$2&gt;$BF$2,0,IF(AND($AN$2&lt;$BF$2,$BT$2="B"),(($BF$2-$AN$2)*24)-$BS$2,($BF$2-$AN$2)*24)))</f>
        <v>0</v>
      </c>
      <c r="BL84" s="5"/>
      <c r="BM84" s="5"/>
      <c r="BN84" s="5"/>
      <c r="BO84" s="5"/>
      <c r="BP84" s="5"/>
      <c r="BV84" s="1" t="e">
        <f t="shared" ca="1" si="126"/>
        <v>#VALUE!</v>
      </c>
      <c r="BW84" s="1" t="e">
        <f t="shared" ca="1" si="127"/>
        <v>#VALUE!</v>
      </c>
      <c r="BX84" s="1" t="e">
        <f t="shared" ca="1" si="128"/>
        <v>#VALUE!</v>
      </c>
      <c r="BY84" s="1" t="e">
        <f t="shared" ca="1" si="129"/>
        <v>#VALUE!</v>
      </c>
      <c r="BZ84" s="1" t="e">
        <f t="shared" ca="1" si="130"/>
        <v>#VALUE!</v>
      </c>
      <c r="CB84" s="1" t="str">
        <f>IF(ISBLANK('Exception Stores'!$A$6),"",WEEKDAY($BF$2))</f>
        <v/>
      </c>
      <c r="CC84" s="1" t="str">
        <f>IF(ISBLANK('Exception Stores'!$A$6),"NO",IF('Exception Stores'!$A$6&lt;$AU$2,"YES","NO"))</f>
        <v>NO</v>
      </c>
      <c r="CD84" s="1" t="str">
        <f>IF(ISBLANK('Exception Stores'!$A$6),"NO",IF('Exception Stores'!$A$6&lt;$AV$2,"YES","NO"))</f>
        <v>NO</v>
      </c>
      <c r="CE84" s="1" t="str">
        <f>IF(ISBLANK('Exception Stores'!$A$6),"NO",IF('Exception Stores'!$A$6&lt;$AW$2,"YES","NO"))</f>
        <v>NO</v>
      </c>
      <c r="CF84" s="1" t="str">
        <f>IF(ISBLANK('Exception Stores'!$A$6),"NO",IF('Exception Stores'!$A$6&lt;$AX$2,"YES","NO"))</f>
        <v>NO</v>
      </c>
      <c r="CG84" s="1" t="str">
        <f>IF(ISBLANK('Exception Stores'!$A$6),"NO",IF('Exception Stores'!$A$6&lt;$AY$2,"YES","NO"))</f>
        <v>NO</v>
      </c>
      <c r="CI84" s="42" t="str">
        <f>IF(ISBLANK('Exception Stores'!$B$6),"NO",IF('Exception Stores'!$B$6&lt;=$AU$2,"YES","NO"))</f>
        <v>NO</v>
      </c>
      <c r="CJ84" s="42" t="str">
        <f>IF(ISBLANK('Exception Stores'!$B$6),"NO",IF('Exception Stores'!$B$6&lt;=$AV$2,"YES","NO"))</f>
        <v>NO</v>
      </c>
      <c r="CK84" s="1" t="str">
        <f>IF(ISBLANK('Exception Stores'!$B$6),"NO",IF('Exception Stores'!$B$6&lt;=$AW$2,"YES","NO"))</f>
        <v>NO</v>
      </c>
      <c r="CL84" s="1" t="str">
        <f>IF(ISBLANK('Exception Stores'!$B$6),"NO",IF('Exception Stores'!$B$6&lt;=$AX$2,"YES","NO"))</f>
        <v>NO</v>
      </c>
      <c r="CM84" s="1" t="str">
        <f>IF(ISBLANK('Exception Stores'!$B$6),"NO",IF('Exception Stores'!$B$6&lt;=$AY$2,"YES","NO"))</f>
        <v>NO</v>
      </c>
      <c r="CO84" s="1" t="e">
        <f ca="1">IF(AM84&lt;'Exception Stores'!$A$6,"YES","NO")</f>
        <v>#VALUE!</v>
      </c>
      <c r="CP84" s="1">
        <f t="shared" si="131"/>
        <v>0</v>
      </c>
      <c r="CQ84" s="1">
        <f t="shared" si="132"/>
        <v>0</v>
      </c>
      <c r="CR84" s="1">
        <f t="shared" si="133"/>
        <v>0</v>
      </c>
      <c r="CS84" s="1">
        <f t="shared" si="134"/>
        <v>0</v>
      </c>
      <c r="CT84" s="1">
        <f t="shared" si="135"/>
        <v>0</v>
      </c>
      <c r="CU84" s="1">
        <f t="shared" si="136"/>
        <v>0</v>
      </c>
      <c r="CW84" s="1" t="e">
        <f t="shared" ca="1" si="77"/>
        <v>#VALUE!</v>
      </c>
      <c r="CX84" s="1" t="e">
        <f t="shared" ca="1" si="78"/>
        <v>#VALUE!</v>
      </c>
      <c r="CY84" s="1" t="e">
        <f t="shared" ca="1" si="79"/>
        <v>#VALUE!</v>
      </c>
      <c r="CZ84" s="1" t="e">
        <f t="shared" ca="1" si="80"/>
        <v>#VALUE!</v>
      </c>
      <c r="DA84" s="1" t="e">
        <f t="shared" ca="1" si="81"/>
        <v>#VALUE!</v>
      </c>
      <c r="DB84" s="26" t="e">
        <f t="shared" ca="1" si="137"/>
        <v>#VALUE!</v>
      </c>
      <c r="DC84" s="1">
        <f t="shared" si="82"/>
        <v>0</v>
      </c>
      <c r="DD84" s="1">
        <f t="shared" si="83"/>
        <v>0</v>
      </c>
      <c r="DE84" s="1">
        <f t="shared" si="84"/>
        <v>0</v>
      </c>
      <c r="DF84" s="1">
        <f t="shared" si="85"/>
        <v>0</v>
      </c>
      <c r="DG84" s="1">
        <f t="shared" si="86"/>
        <v>0</v>
      </c>
      <c r="DH84" s="26">
        <f t="shared" si="138"/>
        <v>0</v>
      </c>
      <c r="DI84" s="1" t="e">
        <f t="shared" ca="1" si="139"/>
        <v>#VALUE!</v>
      </c>
      <c r="DK84" s="11" t="str">
        <f t="shared" si="87"/>
        <v/>
      </c>
      <c r="DL84" s="11" t="e">
        <f ca="1">IF(AND(NOT(ISBLANK('Exception Stores'!$A$6)),CO84="YES"),S84-$BH$2-(DI84*$BS$2)-(CU84*$BS$2),S84-(DB84*$BS$2))</f>
        <v>#VALUE!</v>
      </c>
      <c r="DM84" s="11" t="str">
        <f>IF(ISBLANK(A84),"",IF(COUNTIF(Remaps!$A$2:$A$200,B84)&gt;0,"YES",""))</f>
        <v>YES</v>
      </c>
      <c r="DN84" s="29">
        <f>IFERROR(INDEX(Remaps!$B$2:$B$200,MATCH(B84,Remaps!$A$2:$A$200,0),1),0)</f>
        <v>0</v>
      </c>
      <c r="DO84" s="11" t="e">
        <f t="shared" ca="1" si="88"/>
        <v>#VALUE!</v>
      </c>
      <c r="DP84" s="29" t="e">
        <f t="shared" si="89"/>
        <v>#VALUE!</v>
      </c>
      <c r="DQ84" s="11" t="e">
        <f ca="1">('Apollo Dock Status'!$Z$1-DP84)/DO84</f>
        <v>#VALUE!</v>
      </c>
      <c r="DR84" s="15" t="e">
        <f t="shared" ca="1" si="140"/>
        <v>#VALUE!</v>
      </c>
    </row>
    <row r="85" spans="1:122">
      <c r="A85" s="1" t="str">
        <f>IF(ISBLANK('Apollo Dock Status'!A85),"",'Apollo Dock Status'!A85)</f>
        <v/>
      </c>
      <c r="B85" s="1" t="str">
        <f>IF(ISBLANK('Apollo Dock Status'!B85),"",'Apollo Dock Status'!B85)</f>
        <v/>
      </c>
      <c r="C85" s="1" t="str">
        <f>IF(ISBLANK('Apollo Dock Status'!C85),"",'Apollo Dock Status'!C85)</f>
        <v/>
      </c>
      <c r="D85" s="1" t="str">
        <f>IF(ISBLANK('Apollo Dock Status'!D85),"",'Apollo Dock Status'!D85)</f>
        <v/>
      </c>
      <c r="E85" s="1" t="str">
        <f>IF(ISBLANK('Apollo Dock Status'!E85),"",'Apollo Dock Status'!E85)</f>
        <v/>
      </c>
      <c r="F85" s="1" t="str">
        <f>IF(ISBLANK('Apollo Dock Status'!F85),"",'Apollo Dock Status'!F85)</f>
        <v/>
      </c>
      <c r="G85" s="1" t="str">
        <f>IF(ISBLANK('Apollo Dock Status'!G85),"",'Apollo Dock Status'!G85)</f>
        <v/>
      </c>
      <c r="H85" s="1" t="str">
        <f>IF(ISBLANK('Apollo Dock Status'!H85),"",'Apollo Dock Status'!H85)</f>
        <v/>
      </c>
      <c r="I85" s="1" t="str">
        <f>IF(ISBLANK('Apollo Dock Status'!I85),"",'Apollo Dock Status'!I85)</f>
        <v/>
      </c>
      <c r="J85" s="1" t="str">
        <f>IF(ISBLANK('Apollo Dock Status'!J85),"",'Apollo Dock Status'!J85)</f>
        <v/>
      </c>
      <c r="K85" s="1" t="str">
        <f>IF(ISBLANK('Apollo Dock Status'!K85),"",'Apollo Dock Status'!K85)</f>
        <v/>
      </c>
      <c r="L85" s="1" t="str">
        <f>IF(ISBLANK('Apollo Dock Status'!L85),"",'Apollo Dock Status'!L85)</f>
        <v/>
      </c>
      <c r="M85" s="1" t="str">
        <f>IF(ISBLANK('Apollo Dock Status'!M85),"",'Apollo Dock Status'!M85)</f>
        <v/>
      </c>
      <c r="N85" s="1" t="str">
        <f>IF(ISBLANK('Apollo Dock Status'!N85),"",'Apollo Dock Status'!N85)</f>
        <v/>
      </c>
      <c r="O85" s="1" t="str">
        <f t="shared" si="90"/>
        <v/>
      </c>
      <c r="P85" s="1" t="str">
        <f t="shared" si="91"/>
        <v/>
      </c>
      <c r="Q85" s="1" t="str">
        <f t="shared" si="92"/>
        <v/>
      </c>
      <c r="R85" s="1" t="str">
        <f t="shared" si="93"/>
        <v/>
      </c>
      <c r="S85" s="11" t="str">
        <f t="shared" si="94"/>
        <v/>
      </c>
      <c r="T85" s="1" t="str">
        <f t="shared" si="95"/>
        <v/>
      </c>
      <c r="U85" s="11" t="str">
        <f t="shared" si="96"/>
        <v/>
      </c>
      <c r="V85" s="11" t="str">
        <f t="shared" si="97"/>
        <v/>
      </c>
      <c r="X85" s="1" t="str">
        <f t="shared" si="98"/>
        <v/>
      </c>
      <c r="Y85" s="1" t="str">
        <f t="shared" si="99"/>
        <v/>
      </c>
      <c r="Z85" s="1" t="str">
        <f t="shared" si="100"/>
        <v/>
      </c>
      <c r="AB85" s="13">
        <f t="shared" ca="1" si="101"/>
        <v>46176</v>
      </c>
      <c r="AC85" s="1">
        <f t="shared" ca="1" si="102"/>
        <v>2026</v>
      </c>
      <c r="AD85" s="1" t="str">
        <f t="shared" ca="1" si="103"/>
        <v>6</v>
      </c>
      <c r="AE85" s="1">
        <f t="shared" si="104"/>
        <v>1</v>
      </c>
      <c r="AF85" s="1" t="str">
        <f t="shared" si="105"/>
        <v/>
      </c>
      <c r="AG85" s="1">
        <f t="shared" ca="1" si="106"/>
        <v>2026</v>
      </c>
      <c r="AH85" s="1">
        <f t="shared" si="107"/>
        <v>1</v>
      </c>
      <c r="AI85" s="1" t="str">
        <f t="shared" ca="1" si="108"/>
        <v>6</v>
      </c>
      <c r="AJ85" s="13" t="e">
        <f t="shared" ca="1" si="109"/>
        <v>#VALUE!</v>
      </c>
      <c r="AK85" s="1" t="e">
        <f>IF(ISBLANK(A85),"",IFERROR(MID(F85,SEARCH(", ",F85)+LEN(", "),SEARCH(" "&amp;'Exception Stores'!$A$2,F85)-SEARCH(", ",F85)-LEN(", ")),MID(F85,SEARCH(", ",F85)+LEN(", "),SEARCH(" "&amp;'Exception Stores'!$B$2,F85)-SEARCH(", ",F85)-LEN(", "))))</f>
        <v>#VALUE!</v>
      </c>
      <c r="AL85" s="1" t="e">
        <f t="shared" si="110"/>
        <v>#VALUE!</v>
      </c>
      <c r="AM85" s="15" t="e">
        <f t="shared" ca="1" si="111"/>
        <v>#VALUE!</v>
      </c>
      <c r="AN85" s="24" t="e">
        <f t="shared" ca="1" si="112"/>
        <v>#VALUE!</v>
      </c>
      <c r="AO85" s="1" t="e">
        <f t="shared" ca="1" si="113"/>
        <v>#VALUE!</v>
      </c>
      <c r="AP85" s="13" t="e">
        <f t="shared" ca="1" si="114"/>
        <v>#VALUE!</v>
      </c>
      <c r="AQ85" s="17" t="e">
        <f t="shared" ca="1" si="115"/>
        <v>#VALUE!</v>
      </c>
      <c r="AS85" s="15" t="e">
        <f t="shared" ca="1" si="116"/>
        <v>#VALUE!</v>
      </c>
      <c r="AT85" s="5">
        <f>'Exception Stores'!$D$2</f>
        <v>0.125</v>
      </c>
      <c r="AU85" s="15" t="e">
        <f t="shared" ca="1" si="117"/>
        <v>#VALUE!</v>
      </c>
      <c r="AV85" s="15" t="e">
        <f t="shared" ca="1" si="118"/>
        <v>#VALUE!</v>
      </c>
      <c r="AW85" s="15" t="e">
        <f t="shared" ca="1" si="119"/>
        <v>#VALUE!</v>
      </c>
      <c r="AX85" s="15" t="e">
        <f t="shared" ca="1" si="120"/>
        <v>#VALUE!</v>
      </c>
      <c r="AY85" s="15" t="e">
        <f t="shared" ca="1" si="121"/>
        <v>#VALUE!</v>
      </c>
      <c r="AZ85" s="1" t="e">
        <f t="shared" ca="1" si="122"/>
        <v>#VALUE!</v>
      </c>
      <c r="BA85" s="15" t="e">
        <f t="shared" ca="1" si="123"/>
        <v>#VALUE!</v>
      </c>
      <c r="BB85" s="15" t="e">
        <f t="shared" ca="1" si="124"/>
        <v>#VALUE!</v>
      </c>
      <c r="BC85" s="1" t="e">
        <f t="shared" ca="1" si="125"/>
        <v>#VALUE!</v>
      </c>
      <c r="BE85" s="15" t="str">
        <f>IF(ISBLANK('Exception Stores'!$A$6),"",'Exception Stores'!$A$6)</f>
        <v/>
      </c>
      <c r="BF85" s="15" t="str">
        <f>IF(ISBLANK('Exception Stores'!$B$6),"",'Exception Stores'!$B$6)</f>
        <v/>
      </c>
      <c r="BG85" s="1">
        <f>IF(ISBLANK('Exception Stores'!$A$6),0,IF($AN$2&gt;$BF$2,($AN$2-$BF$2)*24,0))</f>
        <v>0</v>
      </c>
      <c r="BH85" s="11">
        <f>IF(ISBLANK('Exception Stores'!$A$6),0,($BF$2-$BE$2)*24)</f>
        <v>0</v>
      </c>
      <c r="BI8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85" s="1">
        <f>IF(ISBLANK('Exception Stores'!$A$6),0,IF($AN$2&gt;$BF$2,0,IF(AND($AN$2&lt;$BF$2,$BT$2="B"),(($BF$2-$AN$2)*24)-$BS$2,($BF$2-$AN$2)*24)))</f>
        <v>0</v>
      </c>
      <c r="BL85" s="5"/>
      <c r="BM85" s="5"/>
      <c r="BN85" s="5"/>
      <c r="BO85" s="5"/>
      <c r="BP85" s="5"/>
      <c r="BV85" s="1" t="e">
        <f t="shared" ca="1" si="126"/>
        <v>#VALUE!</v>
      </c>
      <c r="BW85" s="1" t="e">
        <f t="shared" ca="1" si="127"/>
        <v>#VALUE!</v>
      </c>
      <c r="BX85" s="1" t="e">
        <f t="shared" ca="1" si="128"/>
        <v>#VALUE!</v>
      </c>
      <c r="BY85" s="1" t="e">
        <f t="shared" ca="1" si="129"/>
        <v>#VALUE!</v>
      </c>
      <c r="BZ85" s="1" t="e">
        <f t="shared" ca="1" si="130"/>
        <v>#VALUE!</v>
      </c>
      <c r="CB85" s="1" t="str">
        <f>IF(ISBLANK('Exception Stores'!$A$6),"",WEEKDAY($BF$2))</f>
        <v/>
      </c>
      <c r="CC85" s="1" t="str">
        <f>IF(ISBLANK('Exception Stores'!$A$6),"NO",IF('Exception Stores'!$A$6&lt;$AU$2,"YES","NO"))</f>
        <v>NO</v>
      </c>
      <c r="CD85" s="1" t="str">
        <f>IF(ISBLANK('Exception Stores'!$A$6),"NO",IF('Exception Stores'!$A$6&lt;$AV$2,"YES","NO"))</f>
        <v>NO</v>
      </c>
      <c r="CE85" s="1" t="str">
        <f>IF(ISBLANK('Exception Stores'!$A$6),"NO",IF('Exception Stores'!$A$6&lt;$AW$2,"YES","NO"))</f>
        <v>NO</v>
      </c>
      <c r="CF85" s="1" t="str">
        <f>IF(ISBLANK('Exception Stores'!$A$6),"NO",IF('Exception Stores'!$A$6&lt;$AX$2,"YES","NO"))</f>
        <v>NO</v>
      </c>
      <c r="CG85" s="1" t="str">
        <f>IF(ISBLANK('Exception Stores'!$A$6),"NO",IF('Exception Stores'!$A$6&lt;$AY$2,"YES","NO"))</f>
        <v>NO</v>
      </c>
      <c r="CI85" s="42" t="str">
        <f>IF(ISBLANK('Exception Stores'!$B$6),"NO",IF('Exception Stores'!$B$6&lt;=$AU$2,"YES","NO"))</f>
        <v>NO</v>
      </c>
      <c r="CJ85" s="42" t="str">
        <f>IF(ISBLANK('Exception Stores'!$B$6),"NO",IF('Exception Stores'!$B$6&lt;=$AV$2,"YES","NO"))</f>
        <v>NO</v>
      </c>
      <c r="CK85" s="1" t="str">
        <f>IF(ISBLANK('Exception Stores'!$B$6),"NO",IF('Exception Stores'!$B$6&lt;=$AW$2,"YES","NO"))</f>
        <v>NO</v>
      </c>
      <c r="CL85" s="1" t="str">
        <f>IF(ISBLANK('Exception Stores'!$B$6),"NO",IF('Exception Stores'!$B$6&lt;=$AX$2,"YES","NO"))</f>
        <v>NO</v>
      </c>
      <c r="CM85" s="1" t="str">
        <f>IF(ISBLANK('Exception Stores'!$B$6),"NO",IF('Exception Stores'!$B$6&lt;=$AY$2,"YES","NO"))</f>
        <v>NO</v>
      </c>
      <c r="CO85" s="1" t="e">
        <f ca="1">IF(AM85&lt;'Exception Stores'!$A$6,"YES","NO")</f>
        <v>#VALUE!</v>
      </c>
      <c r="CP85" s="1">
        <f t="shared" si="131"/>
        <v>0</v>
      </c>
      <c r="CQ85" s="1">
        <f t="shared" si="132"/>
        <v>0</v>
      </c>
      <c r="CR85" s="1">
        <f t="shared" si="133"/>
        <v>0</v>
      </c>
      <c r="CS85" s="1">
        <f t="shared" si="134"/>
        <v>0</v>
      </c>
      <c r="CT85" s="1">
        <f t="shared" si="135"/>
        <v>0</v>
      </c>
      <c r="CU85" s="1">
        <f t="shared" si="136"/>
        <v>0</v>
      </c>
      <c r="CW85" s="1" t="e">
        <f t="shared" ca="1" si="77"/>
        <v>#VALUE!</v>
      </c>
      <c r="CX85" s="1" t="e">
        <f t="shared" ca="1" si="78"/>
        <v>#VALUE!</v>
      </c>
      <c r="CY85" s="1" t="e">
        <f t="shared" ca="1" si="79"/>
        <v>#VALUE!</v>
      </c>
      <c r="CZ85" s="1" t="e">
        <f t="shared" ca="1" si="80"/>
        <v>#VALUE!</v>
      </c>
      <c r="DA85" s="1" t="e">
        <f t="shared" ca="1" si="81"/>
        <v>#VALUE!</v>
      </c>
      <c r="DB85" s="26" t="e">
        <f t="shared" ca="1" si="137"/>
        <v>#VALUE!</v>
      </c>
      <c r="DC85" s="1">
        <f t="shared" si="82"/>
        <v>0</v>
      </c>
      <c r="DD85" s="1">
        <f t="shared" si="83"/>
        <v>0</v>
      </c>
      <c r="DE85" s="1">
        <f t="shared" si="84"/>
        <v>0</v>
      </c>
      <c r="DF85" s="1">
        <f t="shared" si="85"/>
        <v>0</v>
      </c>
      <c r="DG85" s="1">
        <f t="shared" si="86"/>
        <v>0</v>
      </c>
      <c r="DH85" s="26">
        <f t="shared" si="138"/>
        <v>0</v>
      </c>
      <c r="DI85" s="1" t="e">
        <f t="shared" ca="1" si="139"/>
        <v>#VALUE!</v>
      </c>
      <c r="DK85" s="11" t="str">
        <f t="shared" si="87"/>
        <v/>
      </c>
      <c r="DL85" s="11" t="e">
        <f ca="1">IF(AND(NOT(ISBLANK('Exception Stores'!$A$6)),CO85="YES"),S85-$BH$2-(DI85*$BS$2)-(CU85*$BS$2),S85-(DB85*$BS$2))</f>
        <v>#VALUE!</v>
      </c>
      <c r="DM85" s="11" t="str">
        <f>IF(ISBLANK(A85),"",IF(COUNTIF(Remaps!$A$2:$A$200,B85)&gt;0,"YES",""))</f>
        <v>YES</v>
      </c>
      <c r="DN85" s="29">
        <f>IFERROR(INDEX(Remaps!$B$2:$B$200,MATCH(B85,Remaps!$A$2:$A$200,0),1),0)</f>
        <v>0</v>
      </c>
      <c r="DO85" s="11" t="e">
        <f t="shared" ca="1" si="88"/>
        <v>#VALUE!</v>
      </c>
      <c r="DP85" s="29" t="e">
        <f t="shared" si="89"/>
        <v>#VALUE!</v>
      </c>
      <c r="DQ85" s="11" t="e">
        <f ca="1">('Apollo Dock Status'!$Z$1-DP85)/DO85</f>
        <v>#VALUE!</v>
      </c>
      <c r="DR85" s="15" t="e">
        <f t="shared" ca="1" si="140"/>
        <v>#VALUE!</v>
      </c>
    </row>
    <row r="86" spans="1:122">
      <c r="A86" s="1" t="str">
        <f>IF(ISBLANK('Apollo Dock Status'!A86),"",'Apollo Dock Status'!A86)</f>
        <v/>
      </c>
      <c r="B86" s="1" t="str">
        <f>IF(ISBLANK('Apollo Dock Status'!B86),"",'Apollo Dock Status'!B86)</f>
        <v/>
      </c>
      <c r="C86" s="1" t="str">
        <f>IF(ISBLANK('Apollo Dock Status'!C86),"",'Apollo Dock Status'!C86)</f>
        <v/>
      </c>
      <c r="D86" s="1" t="str">
        <f>IF(ISBLANK('Apollo Dock Status'!D86),"",'Apollo Dock Status'!D86)</f>
        <v/>
      </c>
      <c r="E86" s="1" t="str">
        <f>IF(ISBLANK('Apollo Dock Status'!E86),"",'Apollo Dock Status'!E86)</f>
        <v/>
      </c>
      <c r="F86" s="1" t="str">
        <f>IF(ISBLANK('Apollo Dock Status'!F86),"",'Apollo Dock Status'!F86)</f>
        <v/>
      </c>
      <c r="G86" s="1" t="str">
        <f>IF(ISBLANK('Apollo Dock Status'!G86),"",'Apollo Dock Status'!G86)</f>
        <v/>
      </c>
      <c r="H86" s="1" t="str">
        <f>IF(ISBLANK('Apollo Dock Status'!H86),"",'Apollo Dock Status'!H86)</f>
        <v/>
      </c>
      <c r="I86" s="1" t="str">
        <f>IF(ISBLANK('Apollo Dock Status'!I86),"",'Apollo Dock Status'!I86)</f>
        <v/>
      </c>
      <c r="J86" s="1" t="str">
        <f>IF(ISBLANK('Apollo Dock Status'!J86),"",'Apollo Dock Status'!J86)</f>
        <v/>
      </c>
      <c r="K86" s="1" t="str">
        <f>IF(ISBLANK('Apollo Dock Status'!K86),"",'Apollo Dock Status'!K86)</f>
        <v/>
      </c>
      <c r="L86" s="1" t="str">
        <f>IF(ISBLANK('Apollo Dock Status'!L86),"",'Apollo Dock Status'!L86)</f>
        <v/>
      </c>
      <c r="M86" s="1" t="str">
        <f>IF(ISBLANK('Apollo Dock Status'!M86),"",'Apollo Dock Status'!M86)</f>
        <v/>
      </c>
      <c r="N86" s="1" t="str">
        <f>IF(ISBLANK('Apollo Dock Status'!N86),"",'Apollo Dock Status'!N86)</f>
        <v/>
      </c>
      <c r="O86" s="1" t="str">
        <f t="shared" si="90"/>
        <v/>
      </c>
      <c r="P86" s="1" t="str">
        <f t="shared" si="91"/>
        <v/>
      </c>
      <c r="Q86" s="1" t="str">
        <f t="shared" si="92"/>
        <v/>
      </c>
      <c r="R86" s="1" t="str">
        <f t="shared" si="93"/>
        <v/>
      </c>
      <c r="S86" s="11" t="str">
        <f t="shared" si="94"/>
        <v/>
      </c>
      <c r="T86" s="1" t="str">
        <f t="shared" si="95"/>
        <v/>
      </c>
      <c r="U86" s="11" t="str">
        <f t="shared" si="96"/>
        <v/>
      </c>
      <c r="V86" s="11" t="str">
        <f t="shared" si="97"/>
        <v/>
      </c>
      <c r="X86" s="1" t="str">
        <f t="shared" si="98"/>
        <v/>
      </c>
      <c r="Y86" s="1" t="str">
        <f t="shared" si="99"/>
        <v/>
      </c>
      <c r="Z86" s="1" t="str">
        <f t="shared" si="100"/>
        <v/>
      </c>
      <c r="AB86" s="13">
        <f t="shared" ca="1" si="101"/>
        <v>46176</v>
      </c>
      <c r="AC86" s="1">
        <f t="shared" ca="1" si="102"/>
        <v>2026</v>
      </c>
      <c r="AD86" s="1" t="str">
        <f t="shared" ca="1" si="103"/>
        <v>6</v>
      </c>
      <c r="AE86" s="1">
        <f t="shared" si="104"/>
        <v>1</v>
      </c>
      <c r="AF86" s="1" t="str">
        <f t="shared" si="105"/>
        <v/>
      </c>
      <c r="AG86" s="1">
        <f t="shared" ca="1" si="106"/>
        <v>2026</v>
      </c>
      <c r="AH86" s="1">
        <f t="shared" si="107"/>
        <v>1</v>
      </c>
      <c r="AI86" s="1" t="str">
        <f t="shared" ca="1" si="108"/>
        <v>6</v>
      </c>
      <c r="AJ86" s="13" t="e">
        <f t="shared" ca="1" si="109"/>
        <v>#VALUE!</v>
      </c>
      <c r="AK86" s="1" t="e">
        <f>IF(ISBLANK(A86),"",IFERROR(MID(F86,SEARCH(", ",F86)+LEN(", "),SEARCH(" "&amp;'Exception Stores'!$A$2,F86)-SEARCH(", ",F86)-LEN(", ")),MID(F86,SEARCH(", ",F86)+LEN(", "),SEARCH(" "&amp;'Exception Stores'!$B$2,F86)-SEARCH(", ",F86)-LEN(", "))))</f>
        <v>#VALUE!</v>
      </c>
      <c r="AL86" s="1" t="e">
        <f t="shared" si="110"/>
        <v>#VALUE!</v>
      </c>
      <c r="AM86" s="15" t="e">
        <f t="shared" ca="1" si="111"/>
        <v>#VALUE!</v>
      </c>
      <c r="AN86" s="24" t="e">
        <f t="shared" ca="1" si="112"/>
        <v>#VALUE!</v>
      </c>
      <c r="AO86" s="1" t="e">
        <f t="shared" ca="1" si="113"/>
        <v>#VALUE!</v>
      </c>
      <c r="AP86" s="13" t="e">
        <f t="shared" ca="1" si="114"/>
        <v>#VALUE!</v>
      </c>
      <c r="AQ86" s="17" t="e">
        <f t="shared" ca="1" si="115"/>
        <v>#VALUE!</v>
      </c>
      <c r="AS86" s="15" t="e">
        <f t="shared" ca="1" si="116"/>
        <v>#VALUE!</v>
      </c>
      <c r="AT86" s="5">
        <f>'Exception Stores'!$D$2</f>
        <v>0.125</v>
      </c>
      <c r="AU86" s="15" t="e">
        <f t="shared" ca="1" si="117"/>
        <v>#VALUE!</v>
      </c>
      <c r="AV86" s="15" t="e">
        <f t="shared" ca="1" si="118"/>
        <v>#VALUE!</v>
      </c>
      <c r="AW86" s="15" t="e">
        <f t="shared" ca="1" si="119"/>
        <v>#VALUE!</v>
      </c>
      <c r="AX86" s="15" t="e">
        <f t="shared" ca="1" si="120"/>
        <v>#VALUE!</v>
      </c>
      <c r="AY86" s="15" t="e">
        <f t="shared" ca="1" si="121"/>
        <v>#VALUE!</v>
      </c>
      <c r="AZ86" s="1" t="e">
        <f t="shared" ca="1" si="122"/>
        <v>#VALUE!</v>
      </c>
      <c r="BA86" s="15" t="e">
        <f t="shared" ca="1" si="123"/>
        <v>#VALUE!</v>
      </c>
      <c r="BB86" s="15" t="e">
        <f t="shared" ca="1" si="124"/>
        <v>#VALUE!</v>
      </c>
      <c r="BC86" s="1" t="e">
        <f t="shared" ca="1" si="125"/>
        <v>#VALUE!</v>
      </c>
      <c r="BE86" s="15" t="str">
        <f>IF(ISBLANK('Exception Stores'!$A$6),"",'Exception Stores'!$A$6)</f>
        <v/>
      </c>
      <c r="BF86" s="15" t="str">
        <f>IF(ISBLANK('Exception Stores'!$B$6),"",'Exception Stores'!$B$6)</f>
        <v/>
      </c>
      <c r="BG86" s="1">
        <f>IF(ISBLANK('Exception Stores'!$A$6),0,IF($AN$2&gt;$BF$2,($AN$2-$BF$2)*24,0))</f>
        <v>0</v>
      </c>
      <c r="BH86" s="11">
        <f>IF(ISBLANK('Exception Stores'!$A$6),0,($BF$2-$BE$2)*24)</f>
        <v>0</v>
      </c>
      <c r="BI8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86" s="1">
        <f>IF(ISBLANK('Exception Stores'!$A$6),0,IF($AN$2&gt;$BF$2,0,IF(AND($AN$2&lt;$BF$2,$BT$2="B"),(($BF$2-$AN$2)*24)-$BS$2,($BF$2-$AN$2)*24)))</f>
        <v>0</v>
      </c>
      <c r="BL86" s="5"/>
      <c r="BM86" s="5"/>
      <c r="BN86" s="5"/>
      <c r="BO86" s="5"/>
      <c r="BP86" s="5"/>
      <c r="BV86" s="1" t="e">
        <f t="shared" ca="1" si="126"/>
        <v>#VALUE!</v>
      </c>
      <c r="BW86" s="1" t="e">
        <f t="shared" ca="1" si="127"/>
        <v>#VALUE!</v>
      </c>
      <c r="BX86" s="1" t="e">
        <f t="shared" ca="1" si="128"/>
        <v>#VALUE!</v>
      </c>
      <c r="BY86" s="1" t="e">
        <f t="shared" ca="1" si="129"/>
        <v>#VALUE!</v>
      </c>
      <c r="BZ86" s="1" t="e">
        <f t="shared" ca="1" si="130"/>
        <v>#VALUE!</v>
      </c>
      <c r="CB86" s="1" t="str">
        <f>IF(ISBLANK('Exception Stores'!$A$6),"",WEEKDAY($BF$2))</f>
        <v/>
      </c>
      <c r="CC86" s="1" t="str">
        <f>IF(ISBLANK('Exception Stores'!$A$6),"NO",IF('Exception Stores'!$A$6&lt;$AU$2,"YES","NO"))</f>
        <v>NO</v>
      </c>
      <c r="CD86" s="1" t="str">
        <f>IF(ISBLANK('Exception Stores'!$A$6),"NO",IF('Exception Stores'!$A$6&lt;$AV$2,"YES","NO"))</f>
        <v>NO</v>
      </c>
      <c r="CE86" s="1" t="str">
        <f>IF(ISBLANK('Exception Stores'!$A$6),"NO",IF('Exception Stores'!$A$6&lt;$AW$2,"YES","NO"))</f>
        <v>NO</v>
      </c>
      <c r="CF86" s="1" t="str">
        <f>IF(ISBLANK('Exception Stores'!$A$6),"NO",IF('Exception Stores'!$A$6&lt;$AX$2,"YES","NO"))</f>
        <v>NO</v>
      </c>
      <c r="CG86" s="1" t="str">
        <f>IF(ISBLANK('Exception Stores'!$A$6),"NO",IF('Exception Stores'!$A$6&lt;$AY$2,"YES","NO"))</f>
        <v>NO</v>
      </c>
      <c r="CI86" s="42" t="str">
        <f>IF(ISBLANK('Exception Stores'!$B$6),"NO",IF('Exception Stores'!$B$6&lt;=$AU$2,"YES","NO"))</f>
        <v>NO</v>
      </c>
      <c r="CJ86" s="42" t="str">
        <f>IF(ISBLANK('Exception Stores'!$B$6),"NO",IF('Exception Stores'!$B$6&lt;=$AV$2,"YES","NO"))</f>
        <v>NO</v>
      </c>
      <c r="CK86" s="1" t="str">
        <f>IF(ISBLANK('Exception Stores'!$B$6),"NO",IF('Exception Stores'!$B$6&lt;=$AW$2,"YES","NO"))</f>
        <v>NO</v>
      </c>
      <c r="CL86" s="1" t="str">
        <f>IF(ISBLANK('Exception Stores'!$B$6),"NO",IF('Exception Stores'!$B$6&lt;=$AX$2,"YES","NO"))</f>
        <v>NO</v>
      </c>
      <c r="CM86" s="1" t="str">
        <f>IF(ISBLANK('Exception Stores'!$B$6),"NO",IF('Exception Stores'!$B$6&lt;=$AY$2,"YES","NO"))</f>
        <v>NO</v>
      </c>
      <c r="CO86" s="1" t="e">
        <f ca="1">IF(AM86&lt;'Exception Stores'!$A$6,"YES","NO")</f>
        <v>#VALUE!</v>
      </c>
      <c r="CP86" s="1">
        <f t="shared" si="131"/>
        <v>0</v>
      </c>
      <c r="CQ86" s="1">
        <f t="shared" si="132"/>
        <v>0</v>
      </c>
      <c r="CR86" s="1">
        <f t="shared" si="133"/>
        <v>0</v>
      </c>
      <c r="CS86" s="1">
        <f t="shared" si="134"/>
        <v>0</v>
      </c>
      <c r="CT86" s="1">
        <f t="shared" si="135"/>
        <v>0</v>
      </c>
      <c r="CU86" s="1">
        <f t="shared" si="136"/>
        <v>0</v>
      </c>
      <c r="CW86" s="1" t="e">
        <f t="shared" ca="1" si="77"/>
        <v>#VALUE!</v>
      </c>
      <c r="CX86" s="1" t="e">
        <f t="shared" ca="1" si="78"/>
        <v>#VALUE!</v>
      </c>
      <c r="CY86" s="1" t="e">
        <f t="shared" ca="1" si="79"/>
        <v>#VALUE!</v>
      </c>
      <c r="CZ86" s="1" t="e">
        <f t="shared" ca="1" si="80"/>
        <v>#VALUE!</v>
      </c>
      <c r="DA86" s="1" t="e">
        <f t="shared" ca="1" si="81"/>
        <v>#VALUE!</v>
      </c>
      <c r="DB86" s="26" t="e">
        <f t="shared" ca="1" si="137"/>
        <v>#VALUE!</v>
      </c>
      <c r="DC86" s="1">
        <f t="shared" si="82"/>
        <v>0</v>
      </c>
      <c r="DD86" s="1">
        <f t="shared" si="83"/>
        <v>0</v>
      </c>
      <c r="DE86" s="1">
        <f t="shared" si="84"/>
        <v>0</v>
      </c>
      <c r="DF86" s="1">
        <f t="shared" si="85"/>
        <v>0</v>
      </c>
      <c r="DG86" s="1">
        <f t="shared" si="86"/>
        <v>0</v>
      </c>
      <c r="DH86" s="26">
        <f t="shared" si="138"/>
        <v>0</v>
      </c>
      <c r="DI86" s="1" t="e">
        <f t="shared" ca="1" si="139"/>
        <v>#VALUE!</v>
      </c>
      <c r="DK86" s="11" t="str">
        <f t="shared" si="87"/>
        <v/>
      </c>
      <c r="DL86" s="11" t="e">
        <f ca="1">IF(AND(NOT(ISBLANK('Exception Stores'!$A$6)),CO86="YES"),S86-$BH$2-(DI86*$BS$2)-(CU86*$BS$2),S86-(DB86*$BS$2))</f>
        <v>#VALUE!</v>
      </c>
      <c r="DM86" s="11" t="str">
        <f>IF(ISBLANK(A86),"",IF(COUNTIF(Remaps!$A$2:$A$200,B86)&gt;0,"YES",""))</f>
        <v>YES</v>
      </c>
      <c r="DN86" s="29">
        <f>IFERROR(INDEX(Remaps!$B$2:$B$200,MATCH(B86,Remaps!$A$2:$A$200,0),1),0)</f>
        <v>0</v>
      </c>
      <c r="DO86" s="11" t="e">
        <f t="shared" ca="1" si="88"/>
        <v>#VALUE!</v>
      </c>
      <c r="DP86" s="29" t="e">
        <f t="shared" si="89"/>
        <v>#VALUE!</v>
      </c>
      <c r="DQ86" s="11" t="e">
        <f ca="1">('Apollo Dock Status'!$Z$1-DP86)/DO86</f>
        <v>#VALUE!</v>
      </c>
      <c r="DR86" s="15" t="e">
        <f t="shared" ca="1" si="140"/>
        <v>#VALUE!</v>
      </c>
    </row>
    <row r="87" spans="1:122">
      <c r="A87" s="1" t="str">
        <f>IF(ISBLANK('Apollo Dock Status'!A87),"",'Apollo Dock Status'!A87)</f>
        <v/>
      </c>
      <c r="B87" s="1" t="str">
        <f>IF(ISBLANK('Apollo Dock Status'!B87),"",'Apollo Dock Status'!B87)</f>
        <v/>
      </c>
      <c r="C87" s="1" t="str">
        <f>IF(ISBLANK('Apollo Dock Status'!C87),"",'Apollo Dock Status'!C87)</f>
        <v/>
      </c>
      <c r="D87" s="1" t="str">
        <f>IF(ISBLANK('Apollo Dock Status'!D87),"",'Apollo Dock Status'!D87)</f>
        <v/>
      </c>
      <c r="E87" s="1" t="str">
        <f>IF(ISBLANK('Apollo Dock Status'!E87),"",'Apollo Dock Status'!E87)</f>
        <v/>
      </c>
      <c r="F87" s="1" t="str">
        <f>IF(ISBLANK('Apollo Dock Status'!F87),"",'Apollo Dock Status'!F87)</f>
        <v/>
      </c>
      <c r="G87" s="1" t="str">
        <f>IF(ISBLANK('Apollo Dock Status'!G87),"",'Apollo Dock Status'!G87)</f>
        <v/>
      </c>
      <c r="H87" s="1" t="str">
        <f>IF(ISBLANK('Apollo Dock Status'!H87),"",'Apollo Dock Status'!H87)</f>
        <v/>
      </c>
      <c r="I87" s="1" t="str">
        <f>IF(ISBLANK('Apollo Dock Status'!I87),"",'Apollo Dock Status'!I87)</f>
        <v/>
      </c>
      <c r="J87" s="1" t="str">
        <f>IF(ISBLANK('Apollo Dock Status'!J87),"",'Apollo Dock Status'!J87)</f>
        <v/>
      </c>
      <c r="K87" s="1" t="str">
        <f>IF(ISBLANK('Apollo Dock Status'!K87),"",'Apollo Dock Status'!K87)</f>
        <v/>
      </c>
      <c r="L87" s="1" t="str">
        <f>IF(ISBLANK('Apollo Dock Status'!L87),"",'Apollo Dock Status'!L87)</f>
        <v/>
      </c>
      <c r="M87" s="1" t="str">
        <f>IF(ISBLANK('Apollo Dock Status'!M87),"",'Apollo Dock Status'!M87)</f>
        <v/>
      </c>
      <c r="N87" s="1" t="str">
        <f>IF(ISBLANK('Apollo Dock Status'!N87),"",'Apollo Dock Status'!N87)</f>
        <v/>
      </c>
      <c r="O87" s="1" t="str">
        <f t="shared" si="90"/>
        <v/>
      </c>
      <c r="P87" s="1" t="str">
        <f t="shared" si="91"/>
        <v/>
      </c>
      <c r="Q87" s="1" t="str">
        <f t="shared" si="92"/>
        <v/>
      </c>
      <c r="R87" s="1" t="str">
        <f t="shared" si="93"/>
        <v/>
      </c>
      <c r="S87" s="11" t="str">
        <f t="shared" si="94"/>
        <v/>
      </c>
      <c r="T87" s="1" t="str">
        <f t="shared" si="95"/>
        <v/>
      </c>
      <c r="U87" s="11" t="str">
        <f t="shared" si="96"/>
        <v/>
      </c>
      <c r="V87" s="11" t="str">
        <f t="shared" si="97"/>
        <v/>
      </c>
      <c r="X87" s="1" t="str">
        <f t="shared" si="98"/>
        <v/>
      </c>
      <c r="Y87" s="1" t="str">
        <f t="shared" si="99"/>
        <v/>
      </c>
      <c r="Z87" s="1" t="str">
        <f t="shared" si="100"/>
        <v/>
      </c>
      <c r="AB87" s="13">
        <f t="shared" ca="1" si="101"/>
        <v>46176</v>
      </c>
      <c r="AC87" s="1">
        <f t="shared" ca="1" si="102"/>
        <v>2026</v>
      </c>
      <c r="AD87" s="1" t="str">
        <f t="shared" ca="1" si="103"/>
        <v>6</v>
      </c>
      <c r="AE87" s="1">
        <f t="shared" si="104"/>
        <v>1</v>
      </c>
      <c r="AF87" s="1" t="str">
        <f t="shared" si="105"/>
        <v/>
      </c>
      <c r="AG87" s="1">
        <f t="shared" ca="1" si="106"/>
        <v>2026</v>
      </c>
      <c r="AH87" s="1">
        <f t="shared" si="107"/>
        <v>1</v>
      </c>
      <c r="AI87" s="1" t="str">
        <f t="shared" ca="1" si="108"/>
        <v>6</v>
      </c>
      <c r="AJ87" s="13" t="e">
        <f t="shared" ca="1" si="109"/>
        <v>#VALUE!</v>
      </c>
      <c r="AK87" s="1" t="e">
        <f>IF(ISBLANK(A87),"",IFERROR(MID(F87,SEARCH(", ",F87)+LEN(", "),SEARCH(" "&amp;'Exception Stores'!$A$2,F87)-SEARCH(", ",F87)-LEN(", ")),MID(F87,SEARCH(", ",F87)+LEN(", "),SEARCH(" "&amp;'Exception Stores'!$B$2,F87)-SEARCH(", ",F87)-LEN(", "))))</f>
        <v>#VALUE!</v>
      </c>
      <c r="AL87" s="1" t="e">
        <f t="shared" si="110"/>
        <v>#VALUE!</v>
      </c>
      <c r="AM87" s="15" t="e">
        <f t="shared" ca="1" si="111"/>
        <v>#VALUE!</v>
      </c>
      <c r="AN87" s="24" t="e">
        <f t="shared" ca="1" si="112"/>
        <v>#VALUE!</v>
      </c>
      <c r="AO87" s="1" t="e">
        <f t="shared" ca="1" si="113"/>
        <v>#VALUE!</v>
      </c>
      <c r="AP87" s="13" t="e">
        <f t="shared" ca="1" si="114"/>
        <v>#VALUE!</v>
      </c>
      <c r="AQ87" s="17" t="e">
        <f t="shared" ca="1" si="115"/>
        <v>#VALUE!</v>
      </c>
      <c r="AS87" s="15" t="e">
        <f t="shared" ca="1" si="116"/>
        <v>#VALUE!</v>
      </c>
      <c r="AT87" s="5">
        <f>'Exception Stores'!$D$2</f>
        <v>0.125</v>
      </c>
      <c r="AU87" s="15" t="e">
        <f t="shared" ca="1" si="117"/>
        <v>#VALUE!</v>
      </c>
      <c r="AV87" s="15" t="e">
        <f t="shared" ca="1" si="118"/>
        <v>#VALUE!</v>
      </c>
      <c r="AW87" s="15" t="e">
        <f t="shared" ca="1" si="119"/>
        <v>#VALUE!</v>
      </c>
      <c r="AX87" s="15" t="e">
        <f t="shared" ca="1" si="120"/>
        <v>#VALUE!</v>
      </c>
      <c r="AY87" s="15" t="e">
        <f t="shared" ca="1" si="121"/>
        <v>#VALUE!</v>
      </c>
      <c r="AZ87" s="1" t="e">
        <f t="shared" ca="1" si="122"/>
        <v>#VALUE!</v>
      </c>
      <c r="BA87" s="15" t="e">
        <f t="shared" ca="1" si="123"/>
        <v>#VALUE!</v>
      </c>
      <c r="BB87" s="15" t="e">
        <f t="shared" ca="1" si="124"/>
        <v>#VALUE!</v>
      </c>
      <c r="BC87" s="1" t="e">
        <f t="shared" ca="1" si="125"/>
        <v>#VALUE!</v>
      </c>
      <c r="BE87" s="15" t="str">
        <f>IF(ISBLANK('Exception Stores'!$A$6),"",'Exception Stores'!$A$6)</f>
        <v/>
      </c>
      <c r="BF87" s="15" t="str">
        <f>IF(ISBLANK('Exception Stores'!$B$6),"",'Exception Stores'!$B$6)</f>
        <v/>
      </c>
      <c r="BG87" s="1">
        <f>IF(ISBLANK('Exception Stores'!$A$6),0,IF($AN$2&gt;$BF$2,($AN$2-$BF$2)*24,0))</f>
        <v>0</v>
      </c>
      <c r="BH87" s="11">
        <f>IF(ISBLANK('Exception Stores'!$A$6),0,($BF$2-$BE$2)*24)</f>
        <v>0</v>
      </c>
      <c r="BI8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87" s="1">
        <f>IF(ISBLANK('Exception Stores'!$A$6),0,IF($AN$2&gt;$BF$2,0,IF(AND($AN$2&lt;$BF$2,$BT$2="B"),(($BF$2-$AN$2)*24)-$BS$2,($BF$2-$AN$2)*24)))</f>
        <v>0</v>
      </c>
      <c r="BL87" s="5"/>
      <c r="BM87" s="5"/>
      <c r="BN87" s="5"/>
      <c r="BO87" s="5"/>
      <c r="BP87" s="5"/>
      <c r="BV87" s="1" t="e">
        <f t="shared" ca="1" si="126"/>
        <v>#VALUE!</v>
      </c>
      <c r="BW87" s="1" t="e">
        <f t="shared" ca="1" si="127"/>
        <v>#VALUE!</v>
      </c>
      <c r="BX87" s="1" t="e">
        <f t="shared" ca="1" si="128"/>
        <v>#VALUE!</v>
      </c>
      <c r="BY87" s="1" t="e">
        <f t="shared" ca="1" si="129"/>
        <v>#VALUE!</v>
      </c>
      <c r="BZ87" s="1" t="e">
        <f t="shared" ca="1" si="130"/>
        <v>#VALUE!</v>
      </c>
      <c r="CB87" s="1" t="str">
        <f>IF(ISBLANK('Exception Stores'!$A$6),"",WEEKDAY($BF$2))</f>
        <v/>
      </c>
      <c r="CC87" s="1" t="str">
        <f>IF(ISBLANK('Exception Stores'!$A$6),"NO",IF('Exception Stores'!$A$6&lt;$AU$2,"YES","NO"))</f>
        <v>NO</v>
      </c>
      <c r="CD87" s="1" t="str">
        <f>IF(ISBLANK('Exception Stores'!$A$6),"NO",IF('Exception Stores'!$A$6&lt;$AV$2,"YES","NO"))</f>
        <v>NO</v>
      </c>
      <c r="CE87" s="1" t="str">
        <f>IF(ISBLANK('Exception Stores'!$A$6),"NO",IF('Exception Stores'!$A$6&lt;$AW$2,"YES","NO"))</f>
        <v>NO</v>
      </c>
      <c r="CF87" s="1" t="str">
        <f>IF(ISBLANK('Exception Stores'!$A$6),"NO",IF('Exception Stores'!$A$6&lt;$AX$2,"YES","NO"))</f>
        <v>NO</v>
      </c>
      <c r="CG87" s="1" t="str">
        <f>IF(ISBLANK('Exception Stores'!$A$6),"NO",IF('Exception Stores'!$A$6&lt;$AY$2,"YES","NO"))</f>
        <v>NO</v>
      </c>
      <c r="CI87" s="42" t="str">
        <f>IF(ISBLANK('Exception Stores'!$B$6),"NO",IF('Exception Stores'!$B$6&lt;=$AU$2,"YES","NO"))</f>
        <v>NO</v>
      </c>
      <c r="CJ87" s="42" t="str">
        <f>IF(ISBLANK('Exception Stores'!$B$6),"NO",IF('Exception Stores'!$B$6&lt;=$AV$2,"YES","NO"))</f>
        <v>NO</v>
      </c>
      <c r="CK87" s="1" t="str">
        <f>IF(ISBLANK('Exception Stores'!$B$6),"NO",IF('Exception Stores'!$B$6&lt;=$AW$2,"YES","NO"))</f>
        <v>NO</v>
      </c>
      <c r="CL87" s="1" t="str">
        <f>IF(ISBLANK('Exception Stores'!$B$6),"NO",IF('Exception Stores'!$B$6&lt;=$AX$2,"YES","NO"))</f>
        <v>NO</v>
      </c>
      <c r="CM87" s="1" t="str">
        <f>IF(ISBLANK('Exception Stores'!$B$6),"NO",IF('Exception Stores'!$B$6&lt;=$AY$2,"YES","NO"))</f>
        <v>NO</v>
      </c>
      <c r="CO87" s="1" t="e">
        <f ca="1">IF(AM87&lt;'Exception Stores'!$A$6,"YES","NO")</f>
        <v>#VALUE!</v>
      </c>
      <c r="CP87" s="1">
        <f t="shared" si="131"/>
        <v>0</v>
      </c>
      <c r="CQ87" s="1">
        <f t="shared" si="132"/>
        <v>0</v>
      </c>
      <c r="CR87" s="1">
        <f t="shared" si="133"/>
        <v>0</v>
      </c>
      <c r="CS87" s="1">
        <f t="shared" si="134"/>
        <v>0</v>
      </c>
      <c r="CT87" s="1">
        <f t="shared" si="135"/>
        <v>0</v>
      </c>
      <c r="CU87" s="1">
        <f t="shared" si="136"/>
        <v>0</v>
      </c>
      <c r="CW87" s="1" t="e">
        <f t="shared" ca="1" si="77"/>
        <v>#VALUE!</v>
      </c>
      <c r="CX87" s="1" t="e">
        <f t="shared" ca="1" si="78"/>
        <v>#VALUE!</v>
      </c>
      <c r="CY87" s="1" t="e">
        <f t="shared" ca="1" si="79"/>
        <v>#VALUE!</v>
      </c>
      <c r="CZ87" s="1" t="e">
        <f t="shared" ca="1" si="80"/>
        <v>#VALUE!</v>
      </c>
      <c r="DA87" s="1" t="e">
        <f t="shared" ca="1" si="81"/>
        <v>#VALUE!</v>
      </c>
      <c r="DB87" s="26" t="e">
        <f t="shared" ca="1" si="137"/>
        <v>#VALUE!</v>
      </c>
      <c r="DC87" s="1">
        <f t="shared" si="82"/>
        <v>0</v>
      </c>
      <c r="DD87" s="1">
        <f t="shared" si="83"/>
        <v>0</v>
      </c>
      <c r="DE87" s="1">
        <f t="shared" si="84"/>
        <v>0</v>
      </c>
      <c r="DF87" s="1">
        <f t="shared" si="85"/>
        <v>0</v>
      </c>
      <c r="DG87" s="1">
        <f t="shared" si="86"/>
        <v>0</v>
      </c>
      <c r="DH87" s="26">
        <f t="shared" si="138"/>
        <v>0</v>
      </c>
      <c r="DI87" s="1" t="e">
        <f t="shared" ca="1" si="139"/>
        <v>#VALUE!</v>
      </c>
      <c r="DK87" s="11" t="str">
        <f t="shared" si="87"/>
        <v/>
      </c>
      <c r="DL87" s="11" t="e">
        <f ca="1">IF(AND(NOT(ISBLANK('Exception Stores'!$A$6)),CO87="YES"),S87-$BH$2-(DI87*$BS$2)-(CU87*$BS$2),S87-(DB87*$BS$2))</f>
        <v>#VALUE!</v>
      </c>
      <c r="DM87" s="11" t="str">
        <f>IF(ISBLANK(A87),"",IF(COUNTIF(Remaps!$A$2:$A$200,B87)&gt;0,"YES",""))</f>
        <v>YES</v>
      </c>
      <c r="DN87" s="29">
        <f>IFERROR(INDEX(Remaps!$B$2:$B$200,MATCH(B87,Remaps!$A$2:$A$200,0),1),0)</f>
        <v>0</v>
      </c>
      <c r="DO87" s="11" t="e">
        <f t="shared" ca="1" si="88"/>
        <v>#VALUE!</v>
      </c>
      <c r="DP87" s="29" t="e">
        <f t="shared" si="89"/>
        <v>#VALUE!</v>
      </c>
      <c r="DQ87" s="11" t="e">
        <f ca="1">('Apollo Dock Status'!$Z$1-DP87)/DO87</f>
        <v>#VALUE!</v>
      </c>
      <c r="DR87" s="15" t="e">
        <f t="shared" ca="1" si="140"/>
        <v>#VALUE!</v>
      </c>
    </row>
    <row r="88" spans="1:122">
      <c r="A88" s="1" t="str">
        <f>IF(ISBLANK('Apollo Dock Status'!A88),"",'Apollo Dock Status'!A88)</f>
        <v/>
      </c>
      <c r="B88" s="1" t="str">
        <f>IF(ISBLANK('Apollo Dock Status'!B88),"",'Apollo Dock Status'!B88)</f>
        <v/>
      </c>
      <c r="C88" s="1" t="str">
        <f>IF(ISBLANK('Apollo Dock Status'!C88),"",'Apollo Dock Status'!C88)</f>
        <v/>
      </c>
      <c r="D88" s="1" t="str">
        <f>IF(ISBLANK('Apollo Dock Status'!D88),"",'Apollo Dock Status'!D88)</f>
        <v/>
      </c>
      <c r="E88" s="1" t="str">
        <f>IF(ISBLANK('Apollo Dock Status'!E88),"",'Apollo Dock Status'!E88)</f>
        <v/>
      </c>
      <c r="F88" s="1" t="str">
        <f>IF(ISBLANK('Apollo Dock Status'!F88),"",'Apollo Dock Status'!F88)</f>
        <v/>
      </c>
      <c r="G88" s="1" t="str">
        <f>IF(ISBLANK('Apollo Dock Status'!G88),"",'Apollo Dock Status'!G88)</f>
        <v/>
      </c>
      <c r="H88" s="1" t="str">
        <f>IF(ISBLANK('Apollo Dock Status'!H88),"",'Apollo Dock Status'!H88)</f>
        <v/>
      </c>
      <c r="I88" s="1" t="str">
        <f>IF(ISBLANK('Apollo Dock Status'!I88),"",'Apollo Dock Status'!I88)</f>
        <v/>
      </c>
      <c r="J88" s="1" t="str">
        <f>IF(ISBLANK('Apollo Dock Status'!J88),"",'Apollo Dock Status'!J88)</f>
        <v/>
      </c>
      <c r="K88" s="1" t="str">
        <f>IF(ISBLANK('Apollo Dock Status'!K88),"",'Apollo Dock Status'!K88)</f>
        <v/>
      </c>
      <c r="L88" s="1" t="str">
        <f>IF(ISBLANK('Apollo Dock Status'!L88),"",'Apollo Dock Status'!L88)</f>
        <v/>
      </c>
      <c r="M88" s="1" t="str">
        <f>IF(ISBLANK('Apollo Dock Status'!M88),"",'Apollo Dock Status'!M88)</f>
        <v/>
      </c>
      <c r="N88" s="1" t="str">
        <f>IF(ISBLANK('Apollo Dock Status'!N88),"",'Apollo Dock Status'!N88)</f>
        <v/>
      </c>
      <c r="O88" s="1" t="str">
        <f t="shared" si="90"/>
        <v/>
      </c>
      <c r="P88" s="1" t="str">
        <f t="shared" si="91"/>
        <v/>
      </c>
      <c r="Q88" s="1" t="str">
        <f t="shared" si="92"/>
        <v/>
      </c>
      <c r="R88" s="1" t="str">
        <f t="shared" si="93"/>
        <v/>
      </c>
      <c r="S88" s="11" t="str">
        <f t="shared" si="94"/>
        <v/>
      </c>
      <c r="T88" s="1" t="str">
        <f t="shared" si="95"/>
        <v/>
      </c>
      <c r="U88" s="11" t="str">
        <f t="shared" si="96"/>
        <v/>
      </c>
      <c r="V88" s="11" t="str">
        <f t="shared" si="97"/>
        <v/>
      </c>
      <c r="X88" s="1" t="str">
        <f t="shared" si="98"/>
        <v/>
      </c>
      <c r="Y88" s="1" t="str">
        <f t="shared" si="99"/>
        <v/>
      </c>
      <c r="Z88" s="1" t="str">
        <f t="shared" si="100"/>
        <v/>
      </c>
      <c r="AB88" s="13">
        <f t="shared" ca="1" si="101"/>
        <v>46176</v>
      </c>
      <c r="AC88" s="1">
        <f t="shared" ca="1" si="102"/>
        <v>2026</v>
      </c>
      <c r="AD88" s="1" t="str">
        <f t="shared" ca="1" si="103"/>
        <v>6</v>
      </c>
      <c r="AE88" s="1">
        <f t="shared" si="104"/>
        <v>1</v>
      </c>
      <c r="AF88" s="1" t="str">
        <f t="shared" si="105"/>
        <v/>
      </c>
      <c r="AG88" s="1">
        <f t="shared" ca="1" si="106"/>
        <v>2026</v>
      </c>
      <c r="AH88" s="1">
        <f t="shared" si="107"/>
        <v>1</v>
      </c>
      <c r="AI88" s="1" t="str">
        <f t="shared" ca="1" si="108"/>
        <v>6</v>
      </c>
      <c r="AJ88" s="13" t="e">
        <f t="shared" ca="1" si="109"/>
        <v>#VALUE!</v>
      </c>
      <c r="AK88" s="1" t="e">
        <f>IF(ISBLANK(A88),"",IFERROR(MID(F88,SEARCH(", ",F88)+LEN(", "),SEARCH(" "&amp;'Exception Stores'!$A$2,F88)-SEARCH(", ",F88)-LEN(", ")),MID(F88,SEARCH(", ",F88)+LEN(", "),SEARCH(" "&amp;'Exception Stores'!$B$2,F88)-SEARCH(", ",F88)-LEN(", "))))</f>
        <v>#VALUE!</v>
      </c>
      <c r="AL88" s="1" t="e">
        <f t="shared" si="110"/>
        <v>#VALUE!</v>
      </c>
      <c r="AM88" s="15" t="e">
        <f t="shared" ca="1" si="111"/>
        <v>#VALUE!</v>
      </c>
      <c r="AN88" s="24" t="e">
        <f t="shared" ca="1" si="112"/>
        <v>#VALUE!</v>
      </c>
      <c r="AO88" s="1" t="e">
        <f t="shared" ca="1" si="113"/>
        <v>#VALUE!</v>
      </c>
      <c r="AP88" s="13" t="e">
        <f t="shared" ca="1" si="114"/>
        <v>#VALUE!</v>
      </c>
      <c r="AQ88" s="17" t="e">
        <f t="shared" ca="1" si="115"/>
        <v>#VALUE!</v>
      </c>
      <c r="AS88" s="15" t="e">
        <f t="shared" ca="1" si="116"/>
        <v>#VALUE!</v>
      </c>
      <c r="AT88" s="5">
        <f>'Exception Stores'!$D$2</f>
        <v>0.125</v>
      </c>
      <c r="AU88" s="15" t="e">
        <f t="shared" ca="1" si="117"/>
        <v>#VALUE!</v>
      </c>
      <c r="AV88" s="15" t="e">
        <f t="shared" ca="1" si="118"/>
        <v>#VALUE!</v>
      </c>
      <c r="AW88" s="15" t="e">
        <f t="shared" ca="1" si="119"/>
        <v>#VALUE!</v>
      </c>
      <c r="AX88" s="15" t="e">
        <f t="shared" ca="1" si="120"/>
        <v>#VALUE!</v>
      </c>
      <c r="AY88" s="15" t="e">
        <f t="shared" ca="1" si="121"/>
        <v>#VALUE!</v>
      </c>
      <c r="AZ88" s="1" t="e">
        <f t="shared" ca="1" si="122"/>
        <v>#VALUE!</v>
      </c>
      <c r="BA88" s="15" t="e">
        <f t="shared" ca="1" si="123"/>
        <v>#VALUE!</v>
      </c>
      <c r="BB88" s="15" t="e">
        <f t="shared" ca="1" si="124"/>
        <v>#VALUE!</v>
      </c>
      <c r="BC88" s="1" t="e">
        <f t="shared" ca="1" si="125"/>
        <v>#VALUE!</v>
      </c>
      <c r="BE88" s="15" t="str">
        <f>IF(ISBLANK('Exception Stores'!$A$6),"",'Exception Stores'!$A$6)</f>
        <v/>
      </c>
      <c r="BF88" s="15" t="str">
        <f>IF(ISBLANK('Exception Stores'!$B$6),"",'Exception Stores'!$B$6)</f>
        <v/>
      </c>
      <c r="BG88" s="1">
        <f>IF(ISBLANK('Exception Stores'!$A$6),0,IF($AN$2&gt;$BF$2,($AN$2-$BF$2)*24,0))</f>
        <v>0</v>
      </c>
      <c r="BH88" s="11">
        <f>IF(ISBLANK('Exception Stores'!$A$6),0,($BF$2-$BE$2)*24)</f>
        <v>0</v>
      </c>
      <c r="BI8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88" s="1">
        <f>IF(ISBLANK('Exception Stores'!$A$6),0,IF($AN$2&gt;$BF$2,0,IF(AND($AN$2&lt;$BF$2,$BT$2="B"),(($BF$2-$AN$2)*24)-$BS$2,($BF$2-$AN$2)*24)))</f>
        <v>0</v>
      </c>
      <c r="BL88" s="5"/>
      <c r="BM88" s="5"/>
      <c r="BN88" s="5"/>
      <c r="BO88" s="5"/>
      <c r="BP88" s="5"/>
      <c r="BV88" s="1" t="e">
        <f t="shared" ca="1" si="126"/>
        <v>#VALUE!</v>
      </c>
      <c r="BW88" s="1" t="e">
        <f t="shared" ca="1" si="127"/>
        <v>#VALUE!</v>
      </c>
      <c r="BX88" s="1" t="e">
        <f t="shared" ca="1" si="128"/>
        <v>#VALUE!</v>
      </c>
      <c r="BY88" s="1" t="e">
        <f t="shared" ca="1" si="129"/>
        <v>#VALUE!</v>
      </c>
      <c r="BZ88" s="1" t="e">
        <f t="shared" ca="1" si="130"/>
        <v>#VALUE!</v>
      </c>
      <c r="CB88" s="1" t="str">
        <f>IF(ISBLANK('Exception Stores'!$A$6),"",WEEKDAY($BF$2))</f>
        <v/>
      </c>
      <c r="CC88" s="1" t="str">
        <f>IF(ISBLANK('Exception Stores'!$A$6),"NO",IF('Exception Stores'!$A$6&lt;$AU$2,"YES","NO"))</f>
        <v>NO</v>
      </c>
      <c r="CD88" s="1" t="str">
        <f>IF(ISBLANK('Exception Stores'!$A$6),"NO",IF('Exception Stores'!$A$6&lt;$AV$2,"YES","NO"))</f>
        <v>NO</v>
      </c>
      <c r="CE88" s="1" t="str">
        <f>IF(ISBLANK('Exception Stores'!$A$6),"NO",IF('Exception Stores'!$A$6&lt;$AW$2,"YES","NO"))</f>
        <v>NO</v>
      </c>
      <c r="CF88" s="1" t="str">
        <f>IF(ISBLANK('Exception Stores'!$A$6),"NO",IF('Exception Stores'!$A$6&lt;$AX$2,"YES","NO"))</f>
        <v>NO</v>
      </c>
      <c r="CG88" s="1" t="str">
        <f>IF(ISBLANK('Exception Stores'!$A$6),"NO",IF('Exception Stores'!$A$6&lt;$AY$2,"YES","NO"))</f>
        <v>NO</v>
      </c>
      <c r="CI88" s="42" t="str">
        <f>IF(ISBLANK('Exception Stores'!$B$6),"NO",IF('Exception Stores'!$B$6&lt;=$AU$2,"YES","NO"))</f>
        <v>NO</v>
      </c>
      <c r="CJ88" s="42" t="str">
        <f>IF(ISBLANK('Exception Stores'!$B$6),"NO",IF('Exception Stores'!$B$6&lt;=$AV$2,"YES","NO"))</f>
        <v>NO</v>
      </c>
      <c r="CK88" s="1" t="str">
        <f>IF(ISBLANK('Exception Stores'!$B$6),"NO",IF('Exception Stores'!$B$6&lt;=$AW$2,"YES","NO"))</f>
        <v>NO</v>
      </c>
      <c r="CL88" s="1" t="str">
        <f>IF(ISBLANK('Exception Stores'!$B$6),"NO",IF('Exception Stores'!$B$6&lt;=$AX$2,"YES","NO"))</f>
        <v>NO</v>
      </c>
      <c r="CM88" s="1" t="str">
        <f>IF(ISBLANK('Exception Stores'!$B$6),"NO",IF('Exception Stores'!$B$6&lt;=$AY$2,"YES","NO"))</f>
        <v>NO</v>
      </c>
      <c r="CO88" s="1" t="e">
        <f ca="1">IF(AM88&lt;'Exception Stores'!$A$6,"YES","NO")</f>
        <v>#VALUE!</v>
      </c>
      <c r="CP88" s="1">
        <f t="shared" si="131"/>
        <v>0</v>
      </c>
      <c r="CQ88" s="1">
        <f t="shared" si="132"/>
        <v>0</v>
      </c>
      <c r="CR88" s="1">
        <f t="shared" si="133"/>
        <v>0</v>
      </c>
      <c r="CS88" s="1">
        <f t="shared" si="134"/>
        <v>0</v>
      </c>
      <c r="CT88" s="1">
        <f t="shared" si="135"/>
        <v>0</v>
      </c>
      <c r="CU88" s="1">
        <f t="shared" si="136"/>
        <v>0</v>
      </c>
      <c r="CW88" s="1" t="e">
        <f t="shared" ca="1" si="77"/>
        <v>#VALUE!</v>
      </c>
      <c r="CX88" s="1" t="e">
        <f t="shared" ca="1" si="78"/>
        <v>#VALUE!</v>
      </c>
      <c r="CY88" s="1" t="e">
        <f t="shared" ca="1" si="79"/>
        <v>#VALUE!</v>
      </c>
      <c r="CZ88" s="1" t="e">
        <f t="shared" ca="1" si="80"/>
        <v>#VALUE!</v>
      </c>
      <c r="DA88" s="1" t="e">
        <f t="shared" ca="1" si="81"/>
        <v>#VALUE!</v>
      </c>
      <c r="DB88" s="26" t="e">
        <f t="shared" ca="1" si="137"/>
        <v>#VALUE!</v>
      </c>
      <c r="DC88" s="1">
        <f t="shared" si="82"/>
        <v>0</v>
      </c>
      <c r="DD88" s="1">
        <f t="shared" si="83"/>
        <v>0</v>
      </c>
      <c r="DE88" s="1">
        <f t="shared" si="84"/>
        <v>0</v>
      </c>
      <c r="DF88" s="1">
        <f t="shared" si="85"/>
        <v>0</v>
      </c>
      <c r="DG88" s="1">
        <f t="shared" si="86"/>
        <v>0</v>
      </c>
      <c r="DH88" s="26">
        <f t="shared" si="138"/>
        <v>0</v>
      </c>
      <c r="DI88" s="1" t="e">
        <f t="shared" ca="1" si="139"/>
        <v>#VALUE!</v>
      </c>
      <c r="DK88" s="11" t="str">
        <f t="shared" si="87"/>
        <v/>
      </c>
      <c r="DL88" s="11" t="e">
        <f ca="1">IF(AND(NOT(ISBLANK('Exception Stores'!$A$6)),CO88="YES"),S88-$BH$2-(DI88*$BS$2)-(CU88*$BS$2),S88-(DB88*$BS$2))</f>
        <v>#VALUE!</v>
      </c>
      <c r="DM88" s="11" t="str">
        <f>IF(ISBLANK(A88),"",IF(COUNTIF(Remaps!$A$2:$A$200,B88)&gt;0,"YES",""))</f>
        <v>YES</v>
      </c>
      <c r="DN88" s="29">
        <f>IFERROR(INDEX(Remaps!$B$2:$B$200,MATCH(B88,Remaps!$A$2:$A$200,0),1),0)</f>
        <v>0</v>
      </c>
      <c r="DO88" s="11" t="e">
        <f t="shared" ca="1" si="88"/>
        <v>#VALUE!</v>
      </c>
      <c r="DP88" s="29" t="e">
        <f t="shared" si="89"/>
        <v>#VALUE!</v>
      </c>
      <c r="DQ88" s="11" t="e">
        <f ca="1">('Apollo Dock Status'!$Z$1-DP88)/DO88</f>
        <v>#VALUE!</v>
      </c>
      <c r="DR88" s="15" t="e">
        <f t="shared" ca="1" si="140"/>
        <v>#VALUE!</v>
      </c>
    </row>
    <row r="89" spans="1:122">
      <c r="A89" s="1" t="str">
        <f>IF(ISBLANK('Apollo Dock Status'!A89),"",'Apollo Dock Status'!A89)</f>
        <v/>
      </c>
      <c r="B89" s="1" t="str">
        <f>IF(ISBLANK('Apollo Dock Status'!B89),"",'Apollo Dock Status'!B89)</f>
        <v/>
      </c>
      <c r="C89" s="1" t="str">
        <f>IF(ISBLANK('Apollo Dock Status'!C89),"",'Apollo Dock Status'!C89)</f>
        <v/>
      </c>
      <c r="D89" s="1" t="str">
        <f>IF(ISBLANK('Apollo Dock Status'!D89),"",'Apollo Dock Status'!D89)</f>
        <v/>
      </c>
      <c r="E89" s="1" t="str">
        <f>IF(ISBLANK('Apollo Dock Status'!E89),"",'Apollo Dock Status'!E89)</f>
        <v/>
      </c>
      <c r="F89" s="1" t="str">
        <f>IF(ISBLANK('Apollo Dock Status'!F89),"",'Apollo Dock Status'!F89)</f>
        <v/>
      </c>
      <c r="G89" s="1" t="str">
        <f>IF(ISBLANK('Apollo Dock Status'!G89),"",'Apollo Dock Status'!G89)</f>
        <v/>
      </c>
      <c r="H89" s="1" t="str">
        <f>IF(ISBLANK('Apollo Dock Status'!H89),"",'Apollo Dock Status'!H89)</f>
        <v/>
      </c>
      <c r="I89" s="1" t="str">
        <f>IF(ISBLANK('Apollo Dock Status'!I89),"",'Apollo Dock Status'!I89)</f>
        <v/>
      </c>
      <c r="J89" s="1" t="str">
        <f>IF(ISBLANK('Apollo Dock Status'!J89),"",'Apollo Dock Status'!J89)</f>
        <v/>
      </c>
      <c r="K89" s="1" t="str">
        <f>IF(ISBLANK('Apollo Dock Status'!K89),"",'Apollo Dock Status'!K89)</f>
        <v/>
      </c>
      <c r="L89" s="1" t="str">
        <f>IF(ISBLANK('Apollo Dock Status'!L89),"",'Apollo Dock Status'!L89)</f>
        <v/>
      </c>
      <c r="M89" s="1" t="str">
        <f>IF(ISBLANK('Apollo Dock Status'!M89),"",'Apollo Dock Status'!M89)</f>
        <v/>
      </c>
      <c r="N89" s="1" t="str">
        <f>IF(ISBLANK('Apollo Dock Status'!N89),"",'Apollo Dock Status'!N89)</f>
        <v/>
      </c>
      <c r="O89" s="1" t="str">
        <f t="shared" si="90"/>
        <v/>
      </c>
      <c r="P89" s="1" t="str">
        <f t="shared" si="91"/>
        <v/>
      </c>
      <c r="Q89" s="1" t="str">
        <f t="shared" si="92"/>
        <v/>
      </c>
      <c r="R89" s="1" t="str">
        <f t="shared" si="93"/>
        <v/>
      </c>
      <c r="S89" s="11" t="str">
        <f t="shared" si="94"/>
        <v/>
      </c>
      <c r="T89" s="1" t="str">
        <f t="shared" si="95"/>
        <v/>
      </c>
      <c r="U89" s="11" t="str">
        <f t="shared" si="96"/>
        <v/>
      </c>
      <c r="V89" s="11" t="str">
        <f t="shared" si="97"/>
        <v/>
      </c>
      <c r="X89" s="1" t="str">
        <f t="shared" si="98"/>
        <v/>
      </c>
      <c r="Y89" s="1" t="str">
        <f t="shared" si="99"/>
        <v/>
      </c>
      <c r="Z89" s="1" t="str">
        <f t="shared" si="100"/>
        <v/>
      </c>
      <c r="AB89" s="13">
        <f t="shared" ca="1" si="101"/>
        <v>46176</v>
      </c>
      <c r="AC89" s="1">
        <f t="shared" ca="1" si="102"/>
        <v>2026</v>
      </c>
      <c r="AD89" s="1" t="str">
        <f t="shared" ca="1" si="103"/>
        <v>6</v>
      </c>
      <c r="AE89" s="1">
        <f t="shared" si="104"/>
        <v>1</v>
      </c>
      <c r="AF89" s="1" t="str">
        <f t="shared" si="105"/>
        <v/>
      </c>
      <c r="AG89" s="1">
        <f t="shared" ca="1" si="106"/>
        <v>2026</v>
      </c>
      <c r="AH89" s="1">
        <f t="shared" si="107"/>
        <v>1</v>
      </c>
      <c r="AI89" s="1" t="str">
        <f t="shared" ca="1" si="108"/>
        <v>6</v>
      </c>
      <c r="AJ89" s="13" t="e">
        <f t="shared" ca="1" si="109"/>
        <v>#VALUE!</v>
      </c>
      <c r="AK89" s="1" t="e">
        <f>IF(ISBLANK(A89),"",IFERROR(MID(F89,SEARCH(", ",F89)+LEN(", "),SEARCH(" "&amp;'Exception Stores'!$A$2,F89)-SEARCH(", ",F89)-LEN(", ")),MID(F89,SEARCH(", ",F89)+LEN(", "),SEARCH(" "&amp;'Exception Stores'!$B$2,F89)-SEARCH(", ",F89)-LEN(", "))))</f>
        <v>#VALUE!</v>
      </c>
      <c r="AL89" s="1" t="e">
        <f t="shared" si="110"/>
        <v>#VALUE!</v>
      </c>
      <c r="AM89" s="15" t="e">
        <f t="shared" ca="1" si="111"/>
        <v>#VALUE!</v>
      </c>
      <c r="AN89" s="24" t="e">
        <f t="shared" ca="1" si="112"/>
        <v>#VALUE!</v>
      </c>
      <c r="AO89" s="1" t="e">
        <f t="shared" ca="1" si="113"/>
        <v>#VALUE!</v>
      </c>
      <c r="AP89" s="13" t="e">
        <f t="shared" ca="1" si="114"/>
        <v>#VALUE!</v>
      </c>
      <c r="AQ89" s="17" t="e">
        <f t="shared" ca="1" si="115"/>
        <v>#VALUE!</v>
      </c>
      <c r="AS89" s="15" t="e">
        <f t="shared" ca="1" si="116"/>
        <v>#VALUE!</v>
      </c>
      <c r="AT89" s="5">
        <f>'Exception Stores'!$D$2</f>
        <v>0.125</v>
      </c>
      <c r="AU89" s="15" t="e">
        <f t="shared" ca="1" si="117"/>
        <v>#VALUE!</v>
      </c>
      <c r="AV89" s="15" t="e">
        <f t="shared" ca="1" si="118"/>
        <v>#VALUE!</v>
      </c>
      <c r="AW89" s="15" t="e">
        <f t="shared" ca="1" si="119"/>
        <v>#VALUE!</v>
      </c>
      <c r="AX89" s="15" t="e">
        <f t="shared" ca="1" si="120"/>
        <v>#VALUE!</v>
      </c>
      <c r="AY89" s="15" t="e">
        <f t="shared" ca="1" si="121"/>
        <v>#VALUE!</v>
      </c>
      <c r="AZ89" s="1" t="e">
        <f t="shared" ca="1" si="122"/>
        <v>#VALUE!</v>
      </c>
      <c r="BA89" s="15" t="e">
        <f t="shared" ca="1" si="123"/>
        <v>#VALUE!</v>
      </c>
      <c r="BB89" s="15" t="e">
        <f t="shared" ca="1" si="124"/>
        <v>#VALUE!</v>
      </c>
      <c r="BC89" s="1" t="e">
        <f t="shared" ca="1" si="125"/>
        <v>#VALUE!</v>
      </c>
      <c r="BE89" s="15" t="str">
        <f>IF(ISBLANK('Exception Stores'!$A$6),"",'Exception Stores'!$A$6)</f>
        <v/>
      </c>
      <c r="BF89" s="15" t="str">
        <f>IF(ISBLANK('Exception Stores'!$B$6),"",'Exception Stores'!$B$6)</f>
        <v/>
      </c>
      <c r="BG89" s="1">
        <f>IF(ISBLANK('Exception Stores'!$A$6),0,IF($AN$2&gt;$BF$2,($AN$2-$BF$2)*24,0))</f>
        <v>0</v>
      </c>
      <c r="BH89" s="11">
        <f>IF(ISBLANK('Exception Stores'!$A$6),0,($BF$2-$BE$2)*24)</f>
        <v>0</v>
      </c>
      <c r="BI8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89" s="1">
        <f>IF(ISBLANK('Exception Stores'!$A$6),0,IF($AN$2&gt;$BF$2,0,IF(AND($AN$2&lt;$BF$2,$BT$2="B"),(($BF$2-$AN$2)*24)-$BS$2,($BF$2-$AN$2)*24)))</f>
        <v>0</v>
      </c>
      <c r="BL89" s="5"/>
      <c r="BM89" s="5"/>
      <c r="BN89" s="5"/>
      <c r="BO89" s="5"/>
      <c r="BP89" s="5"/>
      <c r="BV89" s="1" t="e">
        <f t="shared" ca="1" si="126"/>
        <v>#VALUE!</v>
      </c>
      <c r="BW89" s="1" t="e">
        <f t="shared" ca="1" si="127"/>
        <v>#VALUE!</v>
      </c>
      <c r="BX89" s="1" t="e">
        <f t="shared" ca="1" si="128"/>
        <v>#VALUE!</v>
      </c>
      <c r="BY89" s="1" t="e">
        <f t="shared" ca="1" si="129"/>
        <v>#VALUE!</v>
      </c>
      <c r="BZ89" s="1" t="e">
        <f t="shared" ca="1" si="130"/>
        <v>#VALUE!</v>
      </c>
      <c r="CB89" s="1" t="str">
        <f>IF(ISBLANK('Exception Stores'!$A$6),"",WEEKDAY($BF$2))</f>
        <v/>
      </c>
      <c r="CC89" s="1" t="str">
        <f>IF(ISBLANK('Exception Stores'!$A$6),"NO",IF('Exception Stores'!$A$6&lt;$AU$2,"YES","NO"))</f>
        <v>NO</v>
      </c>
      <c r="CD89" s="1" t="str">
        <f>IF(ISBLANK('Exception Stores'!$A$6),"NO",IF('Exception Stores'!$A$6&lt;$AV$2,"YES","NO"))</f>
        <v>NO</v>
      </c>
      <c r="CE89" s="1" t="str">
        <f>IF(ISBLANK('Exception Stores'!$A$6),"NO",IF('Exception Stores'!$A$6&lt;$AW$2,"YES","NO"))</f>
        <v>NO</v>
      </c>
      <c r="CF89" s="1" t="str">
        <f>IF(ISBLANK('Exception Stores'!$A$6),"NO",IF('Exception Stores'!$A$6&lt;$AX$2,"YES","NO"))</f>
        <v>NO</v>
      </c>
      <c r="CG89" s="1" t="str">
        <f>IF(ISBLANK('Exception Stores'!$A$6),"NO",IF('Exception Stores'!$A$6&lt;$AY$2,"YES","NO"))</f>
        <v>NO</v>
      </c>
      <c r="CI89" s="42" t="str">
        <f>IF(ISBLANK('Exception Stores'!$B$6),"NO",IF('Exception Stores'!$B$6&lt;=$AU$2,"YES","NO"))</f>
        <v>NO</v>
      </c>
      <c r="CJ89" s="42" t="str">
        <f>IF(ISBLANK('Exception Stores'!$B$6),"NO",IF('Exception Stores'!$B$6&lt;=$AV$2,"YES","NO"))</f>
        <v>NO</v>
      </c>
      <c r="CK89" s="1" t="str">
        <f>IF(ISBLANK('Exception Stores'!$B$6),"NO",IF('Exception Stores'!$B$6&lt;=$AW$2,"YES","NO"))</f>
        <v>NO</v>
      </c>
      <c r="CL89" s="1" t="str">
        <f>IF(ISBLANK('Exception Stores'!$B$6),"NO",IF('Exception Stores'!$B$6&lt;=$AX$2,"YES","NO"))</f>
        <v>NO</v>
      </c>
      <c r="CM89" s="1" t="str">
        <f>IF(ISBLANK('Exception Stores'!$B$6),"NO",IF('Exception Stores'!$B$6&lt;=$AY$2,"YES","NO"))</f>
        <v>NO</v>
      </c>
      <c r="CO89" s="1" t="e">
        <f ca="1">IF(AM89&lt;'Exception Stores'!$A$6,"YES","NO")</f>
        <v>#VALUE!</v>
      </c>
      <c r="CP89" s="1">
        <f t="shared" si="131"/>
        <v>0</v>
      </c>
      <c r="CQ89" s="1">
        <f t="shared" si="132"/>
        <v>0</v>
      </c>
      <c r="CR89" s="1">
        <f t="shared" si="133"/>
        <v>0</v>
      </c>
      <c r="CS89" s="1">
        <f t="shared" si="134"/>
        <v>0</v>
      </c>
      <c r="CT89" s="1">
        <f t="shared" si="135"/>
        <v>0</v>
      </c>
      <c r="CU89" s="1">
        <f t="shared" si="136"/>
        <v>0</v>
      </c>
      <c r="CW89" s="1" t="e">
        <f t="shared" ca="1" si="77"/>
        <v>#VALUE!</v>
      </c>
      <c r="CX89" s="1" t="e">
        <f t="shared" ca="1" si="78"/>
        <v>#VALUE!</v>
      </c>
      <c r="CY89" s="1" t="e">
        <f t="shared" ca="1" si="79"/>
        <v>#VALUE!</v>
      </c>
      <c r="CZ89" s="1" t="e">
        <f t="shared" ca="1" si="80"/>
        <v>#VALUE!</v>
      </c>
      <c r="DA89" s="1" t="e">
        <f t="shared" ca="1" si="81"/>
        <v>#VALUE!</v>
      </c>
      <c r="DB89" s="26" t="e">
        <f t="shared" ca="1" si="137"/>
        <v>#VALUE!</v>
      </c>
      <c r="DC89" s="1">
        <f t="shared" si="82"/>
        <v>0</v>
      </c>
      <c r="DD89" s="1">
        <f t="shared" si="83"/>
        <v>0</v>
      </c>
      <c r="DE89" s="1">
        <f t="shared" si="84"/>
        <v>0</v>
      </c>
      <c r="DF89" s="1">
        <f t="shared" si="85"/>
        <v>0</v>
      </c>
      <c r="DG89" s="1">
        <f t="shared" si="86"/>
        <v>0</v>
      </c>
      <c r="DH89" s="26">
        <f t="shared" si="138"/>
        <v>0</v>
      </c>
      <c r="DI89" s="1" t="e">
        <f t="shared" ca="1" si="139"/>
        <v>#VALUE!</v>
      </c>
      <c r="DK89" s="11" t="str">
        <f t="shared" si="87"/>
        <v/>
      </c>
      <c r="DL89" s="11" t="e">
        <f ca="1">IF(AND(NOT(ISBLANK('Exception Stores'!$A$6)),CO89="YES"),S89-$BH$2-(DI89*$BS$2)-(CU89*$BS$2),S89-(DB89*$BS$2))</f>
        <v>#VALUE!</v>
      </c>
      <c r="DM89" s="11" t="str">
        <f>IF(ISBLANK(A89),"",IF(COUNTIF(Remaps!$A$2:$A$200,B89)&gt;0,"YES",""))</f>
        <v>YES</v>
      </c>
      <c r="DN89" s="29">
        <f>IFERROR(INDEX(Remaps!$B$2:$B$200,MATCH(B89,Remaps!$A$2:$A$200,0),1),0)</f>
        <v>0</v>
      </c>
      <c r="DO89" s="11" t="e">
        <f t="shared" ca="1" si="88"/>
        <v>#VALUE!</v>
      </c>
      <c r="DP89" s="29" t="e">
        <f t="shared" si="89"/>
        <v>#VALUE!</v>
      </c>
      <c r="DQ89" s="11" t="e">
        <f ca="1">('Apollo Dock Status'!$Z$1-DP89)/DO89</f>
        <v>#VALUE!</v>
      </c>
      <c r="DR89" s="15" t="e">
        <f t="shared" ca="1" si="140"/>
        <v>#VALUE!</v>
      </c>
    </row>
    <row r="90" spans="1:122">
      <c r="A90" s="1" t="str">
        <f>IF(ISBLANK('Apollo Dock Status'!A90),"",'Apollo Dock Status'!A90)</f>
        <v/>
      </c>
      <c r="B90" s="1" t="str">
        <f>IF(ISBLANK('Apollo Dock Status'!B90),"",'Apollo Dock Status'!B90)</f>
        <v/>
      </c>
      <c r="C90" s="1" t="str">
        <f>IF(ISBLANK('Apollo Dock Status'!C90),"",'Apollo Dock Status'!C90)</f>
        <v/>
      </c>
      <c r="D90" s="1" t="str">
        <f>IF(ISBLANK('Apollo Dock Status'!D90),"",'Apollo Dock Status'!D90)</f>
        <v/>
      </c>
      <c r="E90" s="1" t="str">
        <f>IF(ISBLANK('Apollo Dock Status'!E90),"",'Apollo Dock Status'!E90)</f>
        <v/>
      </c>
      <c r="F90" s="1" t="str">
        <f>IF(ISBLANK('Apollo Dock Status'!F90),"",'Apollo Dock Status'!F90)</f>
        <v/>
      </c>
      <c r="G90" s="1" t="str">
        <f>IF(ISBLANK('Apollo Dock Status'!G90),"",'Apollo Dock Status'!G90)</f>
        <v/>
      </c>
      <c r="H90" s="1" t="str">
        <f>IF(ISBLANK('Apollo Dock Status'!H90),"",'Apollo Dock Status'!H90)</f>
        <v/>
      </c>
      <c r="I90" s="1" t="str">
        <f>IF(ISBLANK('Apollo Dock Status'!I90),"",'Apollo Dock Status'!I90)</f>
        <v/>
      </c>
      <c r="J90" s="1" t="str">
        <f>IF(ISBLANK('Apollo Dock Status'!J90),"",'Apollo Dock Status'!J90)</f>
        <v/>
      </c>
      <c r="K90" s="1" t="str">
        <f>IF(ISBLANK('Apollo Dock Status'!K90),"",'Apollo Dock Status'!K90)</f>
        <v/>
      </c>
      <c r="L90" s="1" t="str">
        <f>IF(ISBLANK('Apollo Dock Status'!L90),"",'Apollo Dock Status'!L90)</f>
        <v/>
      </c>
      <c r="M90" s="1" t="str">
        <f>IF(ISBLANK('Apollo Dock Status'!M90),"",'Apollo Dock Status'!M90)</f>
        <v/>
      </c>
      <c r="N90" s="1" t="str">
        <f>IF(ISBLANK('Apollo Dock Status'!N90),"",'Apollo Dock Status'!N90)</f>
        <v/>
      </c>
      <c r="O90" s="1" t="str">
        <f t="shared" si="90"/>
        <v/>
      </c>
      <c r="P90" s="1" t="str">
        <f t="shared" si="91"/>
        <v/>
      </c>
      <c r="Q90" s="1" t="str">
        <f t="shared" si="92"/>
        <v/>
      </c>
      <c r="R90" s="1" t="str">
        <f t="shared" si="93"/>
        <v/>
      </c>
      <c r="S90" s="11" t="str">
        <f t="shared" si="94"/>
        <v/>
      </c>
      <c r="T90" s="1" t="str">
        <f t="shared" si="95"/>
        <v/>
      </c>
      <c r="U90" s="11" t="str">
        <f t="shared" si="96"/>
        <v/>
      </c>
      <c r="V90" s="11" t="str">
        <f t="shared" si="97"/>
        <v/>
      </c>
      <c r="X90" s="1" t="str">
        <f t="shared" si="98"/>
        <v/>
      </c>
      <c r="Y90" s="1" t="str">
        <f t="shared" si="99"/>
        <v/>
      </c>
      <c r="Z90" s="1" t="str">
        <f t="shared" si="100"/>
        <v/>
      </c>
      <c r="AB90" s="13">
        <f t="shared" ca="1" si="101"/>
        <v>46176</v>
      </c>
      <c r="AC90" s="1">
        <f t="shared" ca="1" si="102"/>
        <v>2026</v>
      </c>
      <c r="AD90" s="1" t="str">
        <f t="shared" ca="1" si="103"/>
        <v>6</v>
      </c>
      <c r="AE90" s="1">
        <f t="shared" si="104"/>
        <v>1</v>
      </c>
      <c r="AF90" s="1" t="str">
        <f t="shared" si="105"/>
        <v/>
      </c>
      <c r="AG90" s="1">
        <f t="shared" ca="1" si="106"/>
        <v>2026</v>
      </c>
      <c r="AH90" s="1">
        <f t="shared" si="107"/>
        <v>1</v>
      </c>
      <c r="AI90" s="1" t="str">
        <f t="shared" ca="1" si="108"/>
        <v>6</v>
      </c>
      <c r="AJ90" s="13" t="e">
        <f t="shared" ca="1" si="109"/>
        <v>#VALUE!</v>
      </c>
      <c r="AK90" s="1" t="e">
        <f>IF(ISBLANK(A90),"",IFERROR(MID(F90,SEARCH(", ",F90)+LEN(", "),SEARCH(" "&amp;'Exception Stores'!$A$2,F90)-SEARCH(", ",F90)-LEN(", ")),MID(F90,SEARCH(", ",F90)+LEN(", "),SEARCH(" "&amp;'Exception Stores'!$B$2,F90)-SEARCH(", ",F90)-LEN(", "))))</f>
        <v>#VALUE!</v>
      </c>
      <c r="AL90" s="1" t="e">
        <f t="shared" si="110"/>
        <v>#VALUE!</v>
      </c>
      <c r="AM90" s="15" t="e">
        <f t="shared" ca="1" si="111"/>
        <v>#VALUE!</v>
      </c>
      <c r="AN90" s="24" t="e">
        <f t="shared" ca="1" si="112"/>
        <v>#VALUE!</v>
      </c>
      <c r="AO90" s="1" t="e">
        <f t="shared" ca="1" si="113"/>
        <v>#VALUE!</v>
      </c>
      <c r="AP90" s="13" t="e">
        <f t="shared" ca="1" si="114"/>
        <v>#VALUE!</v>
      </c>
      <c r="AQ90" s="17" t="e">
        <f t="shared" ca="1" si="115"/>
        <v>#VALUE!</v>
      </c>
      <c r="AS90" s="15" t="e">
        <f t="shared" ca="1" si="116"/>
        <v>#VALUE!</v>
      </c>
      <c r="AT90" s="5">
        <f>'Exception Stores'!$D$2</f>
        <v>0.125</v>
      </c>
      <c r="AU90" s="15" t="e">
        <f t="shared" ca="1" si="117"/>
        <v>#VALUE!</v>
      </c>
      <c r="AV90" s="15" t="e">
        <f t="shared" ca="1" si="118"/>
        <v>#VALUE!</v>
      </c>
      <c r="AW90" s="15" t="e">
        <f t="shared" ca="1" si="119"/>
        <v>#VALUE!</v>
      </c>
      <c r="AX90" s="15" t="e">
        <f t="shared" ca="1" si="120"/>
        <v>#VALUE!</v>
      </c>
      <c r="AY90" s="15" t="e">
        <f t="shared" ca="1" si="121"/>
        <v>#VALUE!</v>
      </c>
      <c r="AZ90" s="1" t="e">
        <f t="shared" ca="1" si="122"/>
        <v>#VALUE!</v>
      </c>
      <c r="BA90" s="15" t="e">
        <f t="shared" ca="1" si="123"/>
        <v>#VALUE!</v>
      </c>
      <c r="BB90" s="15" t="e">
        <f t="shared" ca="1" si="124"/>
        <v>#VALUE!</v>
      </c>
      <c r="BC90" s="1" t="e">
        <f t="shared" ca="1" si="125"/>
        <v>#VALUE!</v>
      </c>
      <c r="BE90" s="15" t="str">
        <f>IF(ISBLANK('Exception Stores'!$A$6),"",'Exception Stores'!$A$6)</f>
        <v/>
      </c>
      <c r="BF90" s="15" t="str">
        <f>IF(ISBLANK('Exception Stores'!$B$6),"",'Exception Stores'!$B$6)</f>
        <v/>
      </c>
      <c r="BG90" s="1">
        <f>IF(ISBLANK('Exception Stores'!$A$6),0,IF($AN$2&gt;$BF$2,($AN$2-$BF$2)*24,0))</f>
        <v>0</v>
      </c>
      <c r="BH90" s="11">
        <f>IF(ISBLANK('Exception Stores'!$A$6),0,($BF$2-$BE$2)*24)</f>
        <v>0</v>
      </c>
      <c r="BI9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90" s="1">
        <f>IF(ISBLANK('Exception Stores'!$A$6),0,IF($AN$2&gt;$BF$2,0,IF(AND($AN$2&lt;$BF$2,$BT$2="B"),(($BF$2-$AN$2)*24)-$BS$2,($BF$2-$AN$2)*24)))</f>
        <v>0</v>
      </c>
      <c r="BL90" s="5"/>
      <c r="BM90" s="5"/>
      <c r="BN90" s="5"/>
      <c r="BO90" s="5"/>
      <c r="BP90" s="5"/>
      <c r="BV90" s="1" t="e">
        <f t="shared" ca="1" si="126"/>
        <v>#VALUE!</v>
      </c>
      <c r="BW90" s="1" t="e">
        <f t="shared" ca="1" si="127"/>
        <v>#VALUE!</v>
      </c>
      <c r="BX90" s="1" t="e">
        <f t="shared" ca="1" si="128"/>
        <v>#VALUE!</v>
      </c>
      <c r="BY90" s="1" t="e">
        <f t="shared" ca="1" si="129"/>
        <v>#VALUE!</v>
      </c>
      <c r="BZ90" s="1" t="e">
        <f t="shared" ca="1" si="130"/>
        <v>#VALUE!</v>
      </c>
      <c r="CB90" s="1" t="str">
        <f>IF(ISBLANK('Exception Stores'!$A$6),"",WEEKDAY($BF$2))</f>
        <v/>
      </c>
      <c r="CC90" s="1" t="str">
        <f>IF(ISBLANK('Exception Stores'!$A$6),"NO",IF('Exception Stores'!$A$6&lt;$AU$2,"YES","NO"))</f>
        <v>NO</v>
      </c>
      <c r="CD90" s="1" t="str">
        <f>IF(ISBLANK('Exception Stores'!$A$6),"NO",IF('Exception Stores'!$A$6&lt;$AV$2,"YES","NO"))</f>
        <v>NO</v>
      </c>
      <c r="CE90" s="1" t="str">
        <f>IF(ISBLANK('Exception Stores'!$A$6),"NO",IF('Exception Stores'!$A$6&lt;$AW$2,"YES","NO"))</f>
        <v>NO</v>
      </c>
      <c r="CF90" s="1" t="str">
        <f>IF(ISBLANK('Exception Stores'!$A$6),"NO",IF('Exception Stores'!$A$6&lt;$AX$2,"YES","NO"))</f>
        <v>NO</v>
      </c>
      <c r="CG90" s="1" t="str">
        <f>IF(ISBLANK('Exception Stores'!$A$6),"NO",IF('Exception Stores'!$A$6&lt;$AY$2,"YES","NO"))</f>
        <v>NO</v>
      </c>
      <c r="CI90" s="42" t="str">
        <f>IF(ISBLANK('Exception Stores'!$B$6),"NO",IF('Exception Stores'!$B$6&lt;=$AU$2,"YES","NO"))</f>
        <v>NO</v>
      </c>
      <c r="CJ90" s="42" t="str">
        <f>IF(ISBLANK('Exception Stores'!$B$6),"NO",IF('Exception Stores'!$B$6&lt;=$AV$2,"YES","NO"))</f>
        <v>NO</v>
      </c>
      <c r="CK90" s="1" t="str">
        <f>IF(ISBLANK('Exception Stores'!$B$6),"NO",IF('Exception Stores'!$B$6&lt;=$AW$2,"YES","NO"))</f>
        <v>NO</v>
      </c>
      <c r="CL90" s="1" t="str">
        <f>IF(ISBLANK('Exception Stores'!$B$6),"NO",IF('Exception Stores'!$B$6&lt;=$AX$2,"YES","NO"))</f>
        <v>NO</v>
      </c>
      <c r="CM90" s="1" t="str">
        <f>IF(ISBLANK('Exception Stores'!$B$6),"NO",IF('Exception Stores'!$B$6&lt;=$AY$2,"YES","NO"))</f>
        <v>NO</v>
      </c>
      <c r="CO90" s="1" t="e">
        <f ca="1">IF(AM90&lt;'Exception Stores'!$A$6,"YES","NO")</f>
        <v>#VALUE!</v>
      </c>
      <c r="CP90" s="1">
        <f t="shared" si="131"/>
        <v>0</v>
      </c>
      <c r="CQ90" s="1">
        <f t="shared" si="132"/>
        <v>0</v>
      </c>
      <c r="CR90" s="1">
        <f t="shared" si="133"/>
        <v>0</v>
      </c>
      <c r="CS90" s="1">
        <f t="shared" si="134"/>
        <v>0</v>
      </c>
      <c r="CT90" s="1">
        <f t="shared" si="135"/>
        <v>0</v>
      </c>
      <c r="CU90" s="1">
        <f t="shared" si="136"/>
        <v>0</v>
      </c>
      <c r="CW90" s="1" t="e">
        <f t="shared" ca="1" si="77"/>
        <v>#VALUE!</v>
      </c>
      <c r="CX90" s="1" t="e">
        <f t="shared" ca="1" si="78"/>
        <v>#VALUE!</v>
      </c>
      <c r="CY90" s="1" t="e">
        <f t="shared" ca="1" si="79"/>
        <v>#VALUE!</v>
      </c>
      <c r="CZ90" s="1" t="e">
        <f t="shared" ca="1" si="80"/>
        <v>#VALUE!</v>
      </c>
      <c r="DA90" s="1" t="e">
        <f t="shared" ca="1" si="81"/>
        <v>#VALUE!</v>
      </c>
      <c r="DB90" s="26" t="e">
        <f t="shared" ca="1" si="137"/>
        <v>#VALUE!</v>
      </c>
      <c r="DC90" s="1">
        <f t="shared" si="82"/>
        <v>0</v>
      </c>
      <c r="DD90" s="1">
        <f t="shared" si="83"/>
        <v>0</v>
      </c>
      <c r="DE90" s="1">
        <f t="shared" si="84"/>
        <v>0</v>
      </c>
      <c r="DF90" s="1">
        <f t="shared" si="85"/>
        <v>0</v>
      </c>
      <c r="DG90" s="1">
        <f t="shared" si="86"/>
        <v>0</v>
      </c>
      <c r="DH90" s="26">
        <f t="shared" si="138"/>
        <v>0</v>
      </c>
      <c r="DI90" s="1" t="e">
        <f t="shared" ca="1" si="139"/>
        <v>#VALUE!</v>
      </c>
      <c r="DK90" s="11" t="str">
        <f t="shared" si="87"/>
        <v/>
      </c>
      <c r="DL90" s="11" t="e">
        <f ca="1">IF(AND(NOT(ISBLANK('Exception Stores'!$A$6)),CO90="YES"),S90-$BH$2-(DI90*$BS$2)-(CU90*$BS$2),S90-(DB90*$BS$2))</f>
        <v>#VALUE!</v>
      </c>
      <c r="DM90" s="11" t="str">
        <f>IF(ISBLANK(A90),"",IF(COUNTIF(Remaps!$A$2:$A$200,B90)&gt;0,"YES",""))</f>
        <v>YES</v>
      </c>
      <c r="DN90" s="29">
        <f>IFERROR(INDEX(Remaps!$B$2:$B$200,MATCH(B90,Remaps!$A$2:$A$200,0),1),0)</f>
        <v>0</v>
      </c>
      <c r="DO90" s="11" t="e">
        <f t="shared" ca="1" si="88"/>
        <v>#VALUE!</v>
      </c>
      <c r="DP90" s="29" t="e">
        <f t="shared" si="89"/>
        <v>#VALUE!</v>
      </c>
      <c r="DQ90" s="11" t="e">
        <f ca="1">('Apollo Dock Status'!$Z$1-DP90)/DO90</f>
        <v>#VALUE!</v>
      </c>
      <c r="DR90" s="15" t="e">
        <f t="shared" ca="1" si="140"/>
        <v>#VALUE!</v>
      </c>
    </row>
    <row r="91" spans="1:122">
      <c r="A91" s="1" t="str">
        <f>IF(ISBLANK('Apollo Dock Status'!A91),"",'Apollo Dock Status'!A91)</f>
        <v/>
      </c>
      <c r="B91" s="1" t="str">
        <f>IF(ISBLANK('Apollo Dock Status'!B91),"",'Apollo Dock Status'!B91)</f>
        <v/>
      </c>
      <c r="C91" s="1" t="str">
        <f>IF(ISBLANK('Apollo Dock Status'!C91),"",'Apollo Dock Status'!C91)</f>
        <v/>
      </c>
      <c r="D91" s="1" t="str">
        <f>IF(ISBLANK('Apollo Dock Status'!D91),"",'Apollo Dock Status'!D91)</f>
        <v/>
      </c>
      <c r="E91" s="1" t="str">
        <f>IF(ISBLANK('Apollo Dock Status'!E91),"",'Apollo Dock Status'!E91)</f>
        <v/>
      </c>
      <c r="F91" s="1" t="str">
        <f>IF(ISBLANK('Apollo Dock Status'!F91),"",'Apollo Dock Status'!F91)</f>
        <v/>
      </c>
      <c r="G91" s="1" t="str">
        <f>IF(ISBLANK('Apollo Dock Status'!G91),"",'Apollo Dock Status'!G91)</f>
        <v/>
      </c>
      <c r="H91" s="1" t="str">
        <f>IF(ISBLANK('Apollo Dock Status'!H91),"",'Apollo Dock Status'!H91)</f>
        <v/>
      </c>
      <c r="I91" s="1" t="str">
        <f>IF(ISBLANK('Apollo Dock Status'!I91),"",'Apollo Dock Status'!I91)</f>
        <v/>
      </c>
      <c r="J91" s="1" t="str">
        <f>IF(ISBLANK('Apollo Dock Status'!J91),"",'Apollo Dock Status'!J91)</f>
        <v/>
      </c>
      <c r="K91" s="1" t="str">
        <f>IF(ISBLANK('Apollo Dock Status'!K91),"",'Apollo Dock Status'!K91)</f>
        <v/>
      </c>
      <c r="L91" s="1" t="str">
        <f>IF(ISBLANK('Apollo Dock Status'!L91),"",'Apollo Dock Status'!L91)</f>
        <v/>
      </c>
      <c r="M91" s="1" t="str">
        <f>IF(ISBLANK('Apollo Dock Status'!M91),"",'Apollo Dock Status'!M91)</f>
        <v/>
      </c>
      <c r="N91" s="1" t="str">
        <f>IF(ISBLANK('Apollo Dock Status'!N91),"",'Apollo Dock Status'!N91)</f>
        <v/>
      </c>
      <c r="O91" s="1" t="str">
        <f t="shared" si="90"/>
        <v/>
      </c>
      <c r="P91" s="1" t="str">
        <f t="shared" si="91"/>
        <v/>
      </c>
      <c r="Q91" s="1" t="str">
        <f t="shared" si="92"/>
        <v/>
      </c>
      <c r="R91" s="1" t="str">
        <f t="shared" si="93"/>
        <v/>
      </c>
      <c r="S91" s="11" t="str">
        <f t="shared" si="94"/>
        <v/>
      </c>
      <c r="T91" s="1" t="str">
        <f t="shared" si="95"/>
        <v/>
      </c>
      <c r="U91" s="11" t="str">
        <f t="shared" si="96"/>
        <v/>
      </c>
      <c r="V91" s="11" t="str">
        <f t="shared" si="97"/>
        <v/>
      </c>
      <c r="X91" s="1" t="str">
        <f t="shared" si="98"/>
        <v/>
      </c>
      <c r="Y91" s="1" t="str">
        <f t="shared" si="99"/>
        <v/>
      </c>
      <c r="Z91" s="1" t="str">
        <f t="shared" si="100"/>
        <v/>
      </c>
      <c r="AB91" s="13">
        <f t="shared" ca="1" si="101"/>
        <v>46176</v>
      </c>
      <c r="AC91" s="1">
        <f t="shared" ca="1" si="102"/>
        <v>2026</v>
      </c>
      <c r="AD91" s="1" t="str">
        <f t="shared" ca="1" si="103"/>
        <v>6</v>
      </c>
      <c r="AE91" s="1">
        <f t="shared" si="104"/>
        <v>1</v>
      </c>
      <c r="AF91" s="1" t="str">
        <f t="shared" si="105"/>
        <v/>
      </c>
      <c r="AG91" s="1">
        <f t="shared" ca="1" si="106"/>
        <v>2026</v>
      </c>
      <c r="AH91" s="1">
        <f t="shared" si="107"/>
        <v>1</v>
      </c>
      <c r="AI91" s="1" t="str">
        <f t="shared" ca="1" si="108"/>
        <v>6</v>
      </c>
      <c r="AJ91" s="13" t="e">
        <f t="shared" ca="1" si="109"/>
        <v>#VALUE!</v>
      </c>
      <c r="AK91" s="1" t="e">
        <f>IF(ISBLANK(A91),"",IFERROR(MID(F91,SEARCH(", ",F91)+LEN(", "),SEARCH(" "&amp;'Exception Stores'!$A$2,F91)-SEARCH(", ",F91)-LEN(", ")),MID(F91,SEARCH(", ",F91)+LEN(", "),SEARCH(" "&amp;'Exception Stores'!$B$2,F91)-SEARCH(", ",F91)-LEN(", "))))</f>
        <v>#VALUE!</v>
      </c>
      <c r="AL91" s="1" t="e">
        <f t="shared" si="110"/>
        <v>#VALUE!</v>
      </c>
      <c r="AM91" s="15" t="e">
        <f t="shared" ca="1" si="111"/>
        <v>#VALUE!</v>
      </c>
      <c r="AN91" s="24" t="e">
        <f t="shared" ca="1" si="112"/>
        <v>#VALUE!</v>
      </c>
      <c r="AO91" s="1" t="e">
        <f t="shared" ca="1" si="113"/>
        <v>#VALUE!</v>
      </c>
      <c r="AP91" s="13" t="e">
        <f t="shared" ca="1" si="114"/>
        <v>#VALUE!</v>
      </c>
      <c r="AQ91" s="17" t="e">
        <f t="shared" ca="1" si="115"/>
        <v>#VALUE!</v>
      </c>
      <c r="AS91" s="15" t="e">
        <f t="shared" ca="1" si="116"/>
        <v>#VALUE!</v>
      </c>
      <c r="AT91" s="5">
        <f>'Exception Stores'!$D$2</f>
        <v>0.125</v>
      </c>
      <c r="AU91" s="15" t="e">
        <f t="shared" ca="1" si="117"/>
        <v>#VALUE!</v>
      </c>
      <c r="AV91" s="15" t="e">
        <f t="shared" ca="1" si="118"/>
        <v>#VALUE!</v>
      </c>
      <c r="AW91" s="15" t="e">
        <f t="shared" ca="1" si="119"/>
        <v>#VALUE!</v>
      </c>
      <c r="AX91" s="15" t="e">
        <f t="shared" ca="1" si="120"/>
        <v>#VALUE!</v>
      </c>
      <c r="AY91" s="15" t="e">
        <f t="shared" ca="1" si="121"/>
        <v>#VALUE!</v>
      </c>
      <c r="AZ91" s="1" t="e">
        <f t="shared" ca="1" si="122"/>
        <v>#VALUE!</v>
      </c>
      <c r="BA91" s="15" t="e">
        <f t="shared" ca="1" si="123"/>
        <v>#VALUE!</v>
      </c>
      <c r="BB91" s="15" t="e">
        <f t="shared" ca="1" si="124"/>
        <v>#VALUE!</v>
      </c>
      <c r="BC91" s="1" t="e">
        <f t="shared" ca="1" si="125"/>
        <v>#VALUE!</v>
      </c>
      <c r="BE91" s="15" t="str">
        <f>IF(ISBLANK('Exception Stores'!$A$6),"",'Exception Stores'!$A$6)</f>
        <v/>
      </c>
      <c r="BF91" s="15" t="str">
        <f>IF(ISBLANK('Exception Stores'!$B$6),"",'Exception Stores'!$B$6)</f>
        <v/>
      </c>
      <c r="BG91" s="1">
        <f>IF(ISBLANK('Exception Stores'!$A$6),0,IF($AN$2&gt;$BF$2,($AN$2-$BF$2)*24,0))</f>
        <v>0</v>
      </c>
      <c r="BH91" s="11">
        <f>IF(ISBLANK('Exception Stores'!$A$6),0,($BF$2-$BE$2)*24)</f>
        <v>0</v>
      </c>
      <c r="BI9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91" s="1">
        <f>IF(ISBLANK('Exception Stores'!$A$6),0,IF($AN$2&gt;$BF$2,0,IF(AND($AN$2&lt;$BF$2,$BT$2="B"),(($BF$2-$AN$2)*24)-$BS$2,($BF$2-$AN$2)*24)))</f>
        <v>0</v>
      </c>
      <c r="BL91" s="5"/>
      <c r="BM91" s="5"/>
      <c r="BN91" s="5"/>
      <c r="BO91" s="5"/>
      <c r="BP91" s="5"/>
      <c r="BV91" s="1" t="e">
        <f t="shared" ca="1" si="126"/>
        <v>#VALUE!</v>
      </c>
      <c r="BW91" s="1" t="e">
        <f t="shared" ca="1" si="127"/>
        <v>#VALUE!</v>
      </c>
      <c r="BX91" s="1" t="e">
        <f t="shared" ca="1" si="128"/>
        <v>#VALUE!</v>
      </c>
      <c r="BY91" s="1" t="e">
        <f t="shared" ca="1" si="129"/>
        <v>#VALUE!</v>
      </c>
      <c r="BZ91" s="1" t="e">
        <f t="shared" ca="1" si="130"/>
        <v>#VALUE!</v>
      </c>
      <c r="CB91" s="1" t="str">
        <f>IF(ISBLANK('Exception Stores'!$A$6),"",WEEKDAY($BF$2))</f>
        <v/>
      </c>
      <c r="CC91" s="1" t="str">
        <f>IF(ISBLANK('Exception Stores'!$A$6),"NO",IF('Exception Stores'!$A$6&lt;$AU$2,"YES","NO"))</f>
        <v>NO</v>
      </c>
      <c r="CD91" s="1" t="str">
        <f>IF(ISBLANK('Exception Stores'!$A$6),"NO",IF('Exception Stores'!$A$6&lt;$AV$2,"YES","NO"))</f>
        <v>NO</v>
      </c>
      <c r="CE91" s="1" t="str">
        <f>IF(ISBLANK('Exception Stores'!$A$6),"NO",IF('Exception Stores'!$A$6&lt;$AW$2,"YES","NO"))</f>
        <v>NO</v>
      </c>
      <c r="CF91" s="1" t="str">
        <f>IF(ISBLANK('Exception Stores'!$A$6),"NO",IF('Exception Stores'!$A$6&lt;$AX$2,"YES","NO"))</f>
        <v>NO</v>
      </c>
      <c r="CG91" s="1" t="str">
        <f>IF(ISBLANK('Exception Stores'!$A$6),"NO",IF('Exception Stores'!$A$6&lt;$AY$2,"YES","NO"))</f>
        <v>NO</v>
      </c>
      <c r="CI91" s="42" t="str">
        <f>IF(ISBLANK('Exception Stores'!$B$6),"NO",IF('Exception Stores'!$B$6&lt;=$AU$2,"YES","NO"))</f>
        <v>NO</v>
      </c>
      <c r="CJ91" s="42" t="str">
        <f>IF(ISBLANK('Exception Stores'!$B$6),"NO",IF('Exception Stores'!$B$6&lt;=$AV$2,"YES","NO"))</f>
        <v>NO</v>
      </c>
      <c r="CK91" s="1" t="str">
        <f>IF(ISBLANK('Exception Stores'!$B$6),"NO",IF('Exception Stores'!$B$6&lt;=$AW$2,"YES","NO"))</f>
        <v>NO</v>
      </c>
      <c r="CL91" s="1" t="str">
        <f>IF(ISBLANK('Exception Stores'!$B$6),"NO",IF('Exception Stores'!$B$6&lt;=$AX$2,"YES","NO"))</f>
        <v>NO</v>
      </c>
      <c r="CM91" s="1" t="str">
        <f>IF(ISBLANK('Exception Stores'!$B$6),"NO",IF('Exception Stores'!$B$6&lt;=$AY$2,"YES","NO"))</f>
        <v>NO</v>
      </c>
      <c r="CO91" s="1" t="e">
        <f ca="1">IF(AM91&lt;'Exception Stores'!$A$6,"YES","NO")</f>
        <v>#VALUE!</v>
      </c>
      <c r="CP91" s="1">
        <f t="shared" si="131"/>
        <v>0</v>
      </c>
      <c r="CQ91" s="1">
        <f t="shared" si="132"/>
        <v>0</v>
      </c>
      <c r="CR91" s="1">
        <f t="shared" si="133"/>
        <v>0</v>
      </c>
      <c r="CS91" s="1">
        <f t="shared" si="134"/>
        <v>0</v>
      </c>
      <c r="CT91" s="1">
        <f t="shared" si="135"/>
        <v>0</v>
      </c>
      <c r="CU91" s="1">
        <f t="shared" si="136"/>
        <v>0</v>
      </c>
      <c r="CW91" s="1" t="e">
        <f t="shared" ca="1" si="77"/>
        <v>#VALUE!</v>
      </c>
      <c r="CX91" s="1" t="e">
        <f t="shared" ca="1" si="78"/>
        <v>#VALUE!</v>
      </c>
      <c r="CY91" s="1" t="e">
        <f t="shared" ca="1" si="79"/>
        <v>#VALUE!</v>
      </c>
      <c r="CZ91" s="1" t="e">
        <f t="shared" ca="1" si="80"/>
        <v>#VALUE!</v>
      </c>
      <c r="DA91" s="1" t="e">
        <f t="shared" ca="1" si="81"/>
        <v>#VALUE!</v>
      </c>
      <c r="DB91" s="26" t="e">
        <f t="shared" ca="1" si="137"/>
        <v>#VALUE!</v>
      </c>
      <c r="DC91" s="1">
        <f t="shared" si="82"/>
        <v>0</v>
      </c>
      <c r="DD91" s="1">
        <f t="shared" si="83"/>
        <v>0</v>
      </c>
      <c r="DE91" s="1">
        <f t="shared" si="84"/>
        <v>0</v>
      </c>
      <c r="DF91" s="1">
        <f t="shared" si="85"/>
        <v>0</v>
      </c>
      <c r="DG91" s="1">
        <f t="shared" si="86"/>
        <v>0</v>
      </c>
      <c r="DH91" s="26">
        <f t="shared" si="138"/>
        <v>0</v>
      </c>
      <c r="DI91" s="1" t="e">
        <f t="shared" ca="1" si="139"/>
        <v>#VALUE!</v>
      </c>
      <c r="DK91" s="11" t="str">
        <f t="shared" si="87"/>
        <v/>
      </c>
      <c r="DL91" s="11" t="e">
        <f ca="1">IF(AND(NOT(ISBLANK('Exception Stores'!$A$6)),CO91="YES"),S91-$BH$2-(DI91*$BS$2)-(CU91*$BS$2),S91-(DB91*$BS$2))</f>
        <v>#VALUE!</v>
      </c>
      <c r="DM91" s="11" t="str">
        <f>IF(ISBLANK(A91),"",IF(COUNTIF(Remaps!$A$2:$A$200,B91)&gt;0,"YES",""))</f>
        <v>YES</v>
      </c>
      <c r="DN91" s="29">
        <f>IFERROR(INDEX(Remaps!$B$2:$B$200,MATCH(B91,Remaps!$A$2:$A$200,0),1),0)</f>
        <v>0</v>
      </c>
      <c r="DO91" s="11" t="e">
        <f t="shared" ca="1" si="88"/>
        <v>#VALUE!</v>
      </c>
      <c r="DP91" s="29" t="e">
        <f t="shared" si="89"/>
        <v>#VALUE!</v>
      </c>
      <c r="DQ91" s="11" t="e">
        <f ca="1">('Apollo Dock Status'!$Z$1-DP91)/DO91</f>
        <v>#VALUE!</v>
      </c>
      <c r="DR91" s="15" t="e">
        <f t="shared" ca="1" si="140"/>
        <v>#VALUE!</v>
      </c>
    </row>
    <row r="92" spans="1:122">
      <c r="A92" s="1" t="str">
        <f>IF(ISBLANK('Apollo Dock Status'!A92),"",'Apollo Dock Status'!A92)</f>
        <v/>
      </c>
      <c r="B92" s="1" t="str">
        <f>IF(ISBLANK('Apollo Dock Status'!B92),"",'Apollo Dock Status'!B92)</f>
        <v/>
      </c>
      <c r="C92" s="1" t="str">
        <f>IF(ISBLANK('Apollo Dock Status'!C92),"",'Apollo Dock Status'!C92)</f>
        <v/>
      </c>
      <c r="D92" s="1" t="str">
        <f>IF(ISBLANK('Apollo Dock Status'!D92),"",'Apollo Dock Status'!D92)</f>
        <v/>
      </c>
      <c r="E92" s="1" t="str">
        <f>IF(ISBLANK('Apollo Dock Status'!E92),"",'Apollo Dock Status'!E92)</f>
        <v/>
      </c>
      <c r="F92" s="1" t="str">
        <f>IF(ISBLANK('Apollo Dock Status'!F92),"",'Apollo Dock Status'!F92)</f>
        <v/>
      </c>
      <c r="G92" s="1" t="str">
        <f>IF(ISBLANK('Apollo Dock Status'!G92),"",'Apollo Dock Status'!G92)</f>
        <v/>
      </c>
      <c r="H92" s="1" t="str">
        <f>IF(ISBLANK('Apollo Dock Status'!H92),"",'Apollo Dock Status'!H92)</f>
        <v/>
      </c>
      <c r="I92" s="1" t="str">
        <f>IF(ISBLANK('Apollo Dock Status'!I92),"",'Apollo Dock Status'!I92)</f>
        <v/>
      </c>
      <c r="J92" s="1" t="str">
        <f>IF(ISBLANK('Apollo Dock Status'!J92),"",'Apollo Dock Status'!J92)</f>
        <v/>
      </c>
      <c r="K92" s="1" t="str">
        <f>IF(ISBLANK('Apollo Dock Status'!K92),"",'Apollo Dock Status'!K92)</f>
        <v/>
      </c>
      <c r="L92" s="1" t="str">
        <f>IF(ISBLANK('Apollo Dock Status'!L92),"",'Apollo Dock Status'!L92)</f>
        <v/>
      </c>
      <c r="M92" s="1" t="str">
        <f>IF(ISBLANK('Apollo Dock Status'!M92),"",'Apollo Dock Status'!M92)</f>
        <v/>
      </c>
      <c r="N92" s="1" t="str">
        <f>IF(ISBLANK('Apollo Dock Status'!N92),"",'Apollo Dock Status'!N92)</f>
        <v/>
      </c>
      <c r="O92" s="1" t="str">
        <f t="shared" si="90"/>
        <v/>
      </c>
      <c r="P92" s="1" t="str">
        <f t="shared" si="91"/>
        <v/>
      </c>
      <c r="Q92" s="1" t="str">
        <f t="shared" si="92"/>
        <v/>
      </c>
      <c r="R92" s="1" t="str">
        <f t="shared" si="93"/>
        <v/>
      </c>
      <c r="S92" s="11" t="str">
        <f t="shared" si="94"/>
        <v/>
      </c>
      <c r="T92" s="1" t="str">
        <f t="shared" si="95"/>
        <v/>
      </c>
      <c r="U92" s="11" t="str">
        <f t="shared" si="96"/>
        <v/>
      </c>
      <c r="V92" s="11" t="str">
        <f t="shared" si="97"/>
        <v/>
      </c>
      <c r="X92" s="1" t="str">
        <f t="shared" si="98"/>
        <v/>
      </c>
      <c r="Y92" s="1" t="str">
        <f t="shared" si="99"/>
        <v/>
      </c>
      <c r="Z92" s="1" t="str">
        <f t="shared" si="100"/>
        <v/>
      </c>
      <c r="AB92" s="13">
        <f t="shared" ca="1" si="101"/>
        <v>46176</v>
      </c>
      <c r="AC92" s="1">
        <f t="shared" ca="1" si="102"/>
        <v>2026</v>
      </c>
      <c r="AD92" s="1" t="str">
        <f t="shared" ca="1" si="103"/>
        <v>6</v>
      </c>
      <c r="AE92" s="1">
        <f t="shared" si="104"/>
        <v>1</v>
      </c>
      <c r="AF92" s="1" t="str">
        <f t="shared" si="105"/>
        <v/>
      </c>
      <c r="AG92" s="1">
        <f t="shared" ca="1" si="106"/>
        <v>2026</v>
      </c>
      <c r="AH92" s="1">
        <f t="shared" si="107"/>
        <v>1</v>
      </c>
      <c r="AI92" s="1" t="str">
        <f t="shared" ca="1" si="108"/>
        <v>6</v>
      </c>
      <c r="AJ92" s="13" t="e">
        <f t="shared" ca="1" si="109"/>
        <v>#VALUE!</v>
      </c>
      <c r="AK92" s="1" t="e">
        <f>IF(ISBLANK(A92),"",IFERROR(MID(F92,SEARCH(", ",F92)+LEN(", "),SEARCH(" "&amp;'Exception Stores'!$A$2,F92)-SEARCH(", ",F92)-LEN(", ")),MID(F92,SEARCH(", ",F92)+LEN(", "),SEARCH(" "&amp;'Exception Stores'!$B$2,F92)-SEARCH(", ",F92)-LEN(", "))))</f>
        <v>#VALUE!</v>
      </c>
      <c r="AL92" s="1" t="e">
        <f t="shared" si="110"/>
        <v>#VALUE!</v>
      </c>
      <c r="AM92" s="15" t="e">
        <f t="shared" ca="1" si="111"/>
        <v>#VALUE!</v>
      </c>
      <c r="AN92" s="24" t="e">
        <f t="shared" ca="1" si="112"/>
        <v>#VALUE!</v>
      </c>
      <c r="AO92" s="1" t="e">
        <f t="shared" ca="1" si="113"/>
        <v>#VALUE!</v>
      </c>
      <c r="AP92" s="13" t="e">
        <f t="shared" ca="1" si="114"/>
        <v>#VALUE!</v>
      </c>
      <c r="AQ92" s="17" t="e">
        <f t="shared" ca="1" si="115"/>
        <v>#VALUE!</v>
      </c>
      <c r="AS92" s="15" t="e">
        <f t="shared" ca="1" si="116"/>
        <v>#VALUE!</v>
      </c>
      <c r="AT92" s="5">
        <f>'Exception Stores'!$D$2</f>
        <v>0.125</v>
      </c>
      <c r="AU92" s="15" t="e">
        <f t="shared" ca="1" si="117"/>
        <v>#VALUE!</v>
      </c>
      <c r="AV92" s="15" t="e">
        <f t="shared" ca="1" si="118"/>
        <v>#VALUE!</v>
      </c>
      <c r="AW92" s="15" t="e">
        <f t="shared" ca="1" si="119"/>
        <v>#VALUE!</v>
      </c>
      <c r="AX92" s="15" t="e">
        <f t="shared" ca="1" si="120"/>
        <v>#VALUE!</v>
      </c>
      <c r="AY92" s="15" t="e">
        <f t="shared" ca="1" si="121"/>
        <v>#VALUE!</v>
      </c>
      <c r="AZ92" s="1" t="e">
        <f t="shared" ca="1" si="122"/>
        <v>#VALUE!</v>
      </c>
      <c r="BA92" s="15" t="e">
        <f t="shared" ca="1" si="123"/>
        <v>#VALUE!</v>
      </c>
      <c r="BB92" s="15" t="e">
        <f t="shared" ca="1" si="124"/>
        <v>#VALUE!</v>
      </c>
      <c r="BC92" s="1" t="e">
        <f t="shared" ca="1" si="125"/>
        <v>#VALUE!</v>
      </c>
      <c r="BE92" s="15" t="str">
        <f>IF(ISBLANK('Exception Stores'!$A$6),"",'Exception Stores'!$A$6)</f>
        <v/>
      </c>
      <c r="BF92" s="15" t="str">
        <f>IF(ISBLANK('Exception Stores'!$B$6),"",'Exception Stores'!$B$6)</f>
        <v/>
      </c>
      <c r="BG92" s="1">
        <f>IF(ISBLANK('Exception Stores'!$A$6),0,IF($AN$2&gt;$BF$2,($AN$2-$BF$2)*24,0))</f>
        <v>0</v>
      </c>
      <c r="BH92" s="11">
        <f>IF(ISBLANK('Exception Stores'!$A$6),0,($BF$2-$BE$2)*24)</f>
        <v>0</v>
      </c>
      <c r="BI9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92" s="1">
        <f>IF(ISBLANK('Exception Stores'!$A$6),0,IF($AN$2&gt;$BF$2,0,IF(AND($AN$2&lt;$BF$2,$BT$2="B"),(($BF$2-$AN$2)*24)-$BS$2,($BF$2-$AN$2)*24)))</f>
        <v>0</v>
      </c>
      <c r="BL92" s="5"/>
      <c r="BM92" s="5"/>
      <c r="BN92" s="5"/>
      <c r="BO92" s="5"/>
      <c r="BP92" s="5"/>
      <c r="BV92" s="1" t="e">
        <f t="shared" ca="1" si="126"/>
        <v>#VALUE!</v>
      </c>
      <c r="BW92" s="1" t="e">
        <f t="shared" ca="1" si="127"/>
        <v>#VALUE!</v>
      </c>
      <c r="BX92" s="1" t="e">
        <f t="shared" ca="1" si="128"/>
        <v>#VALUE!</v>
      </c>
      <c r="BY92" s="1" t="e">
        <f t="shared" ca="1" si="129"/>
        <v>#VALUE!</v>
      </c>
      <c r="BZ92" s="1" t="e">
        <f t="shared" ca="1" si="130"/>
        <v>#VALUE!</v>
      </c>
      <c r="CB92" s="1" t="str">
        <f>IF(ISBLANK('Exception Stores'!$A$6),"",WEEKDAY($BF$2))</f>
        <v/>
      </c>
      <c r="CC92" s="1" t="str">
        <f>IF(ISBLANK('Exception Stores'!$A$6),"NO",IF('Exception Stores'!$A$6&lt;$AU$2,"YES","NO"))</f>
        <v>NO</v>
      </c>
      <c r="CD92" s="1" t="str">
        <f>IF(ISBLANK('Exception Stores'!$A$6),"NO",IF('Exception Stores'!$A$6&lt;$AV$2,"YES","NO"))</f>
        <v>NO</v>
      </c>
      <c r="CE92" s="1" t="str">
        <f>IF(ISBLANK('Exception Stores'!$A$6),"NO",IF('Exception Stores'!$A$6&lt;$AW$2,"YES","NO"))</f>
        <v>NO</v>
      </c>
      <c r="CF92" s="1" t="str">
        <f>IF(ISBLANK('Exception Stores'!$A$6),"NO",IF('Exception Stores'!$A$6&lt;$AX$2,"YES","NO"))</f>
        <v>NO</v>
      </c>
      <c r="CG92" s="1" t="str">
        <f>IF(ISBLANK('Exception Stores'!$A$6),"NO",IF('Exception Stores'!$A$6&lt;$AY$2,"YES","NO"))</f>
        <v>NO</v>
      </c>
      <c r="CI92" s="42" t="str">
        <f>IF(ISBLANK('Exception Stores'!$B$6),"NO",IF('Exception Stores'!$B$6&lt;=$AU$2,"YES","NO"))</f>
        <v>NO</v>
      </c>
      <c r="CJ92" s="42" t="str">
        <f>IF(ISBLANK('Exception Stores'!$B$6),"NO",IF('Exception Stores'!$B$6&lt;=$AV$2,"YES","NO"))</f>
        <v>NO</v>
      </c>
      <c r="CK92" s="1" t="str">
        <f>IF(ISBLANK('Exception Stores'!$B$6),"NO",IF('Exception Stores'!$B$6&lt;=$AW$2,"YES","NO"))</f>
        <v>NO</v>
      </c>
      <c r="CL92" s="1" t="str">
        <f>IF(ISBLANK('Exception Stores'!$B$6),"NO",IF('Exception Stores'!$B$6&lt;=$AX$2,"YES","NO"))</f>
        <v>NO</v>
      </c>
      <c r="CM92" s="1" t="str">
        <f>IF(ISBLANK('Exception Stores'!$B$6),"NO",IF('Exception Stores'!$B$6&lt;=$AY$2,"YES","NO"))</f>
        <v>NO</v>
      </c>
      <c r="CO92" s="1" t="e">
        <f ca="1">IF(AM92&lt;'Exception Stores'!$A$6,"YES","NO")</f>
        <v>#VALUE!</v>
      </c>
      <c r="CP92" s="1">
        <f t="shared" si="131"/>
        <v>0</v>
      </c>
      <c r="CQ92" s="1">
        <f t="shared" si="132"/>
        <v>0</v>
      </c>
      <c r="CR92" s="1">
        <f t="shared" si="133"/>
        <v>0</v>
      </c>
      <c r="CS92" s="1">
        <f t="shared" si="134"/>
        <v>0</v>
      </c>
      <c r="CT92" s="1">
        <f t="shared" si="135"/>
        <v>0</v>
      </c>
      <c r="CU92" s="1">
        <f t="shared" si="136"/>
        <v>0</v>
      </c>
      <c r="CW92" s="1" t="e">
        <f t="shared" ca="1" si="77"/>
        <v>#VALUE!</v>
      </c>
      <c r="CX92" s="1" t="e">
        <f t="shared" ca="1" si="78"/>
        <v>#VALUE!</v>
      </c>
      <c r="CY92" s="1" t="e">
        <f t="shared" ca="1" si="79"/>
        <v>#VALUE!</v>
      </c>
      <c r="CZ92" s="1" t="e">
        <f t="shared" ca="1" si="80"/>
        <v>#VALUE!</v>
      </c>
      <c r="DA92" s="1" t="e">
        <f t="shared" ca="1" si="81"/>
        <v>#VALUE!</v>
      </c>
      <c r="DB92" s="26" t="e">
        <f t="shared" ca="1" si="137"/>
        <v>#VALUE!</v>
      </c>
      <c r="DC92" s="1">
        <f t="shared" si="82"/>
        <v>0</v>
      </c>
      <c r="DD92" s="1">
        <f t="shared" si="83"/>
        <v>0</v>
      </c>
      <c r="DE92" s="1">
        <f t="shared" si="84"/>
        <v>0</v>
      </c>
      <c r="DF92" s="1">
        <f t="shared" si="85"/>
        <v>0</v>
      </c>
      <c r="DG92" s="1">
        <f t="shared" si="86"/>
        <v>0</v>
      </c>
      <c r="DH92" s="26">
        <f t="shared" si="138"/>
        <v>0</v>
      </c>
      <c r="DI92" s="1" t="e">
        <f t="shared" ca="1" si="139"/>
        <v>#VALUE!</v>
      </c>
      <c r="DK92" s="11" t="str">
        <f t="shared" si="87"/>
        <v/>
      </c>
      <c r="DL92" s="11" t="e">
        <f ca="1">IF(AND(NOT(ISBLANK('Exception Stores'!$A$6)),CO92="YES"),S92-$BH$2-(DI92*$BS$2)-(CU92*$BS$2),S92-(DB92*$BS$2))</f>
        <v>#VALUE!</v>
      </c>
      <c r="DM92" s="11" t="str">
        <f>IF(ISBLANK(A92),"",IF(COUNTIF(Remaps!$A$2:$A$200,B92)&gt;0,"YES",""))</f>
        <v>YES</v>
      </c>
      <c r="DN92" s="29">
        <f>IFERROR(INDEX(Remaps!$B$2:$B$200,MATCH(B92,Remaps!$A$2:$A$200,0),1),0)</f>
        <v>0</v>
      </c>
      <c r="DO92" s="11" t="e">
        <f t="shared" ca="1" si="88"/>
        <v>#VALUE!</v>
      </c>
      <c r="DP92" s="29" t="e">
        <f t="shared" si="89"/>
        <v>#VALUE!</v>
      </c>
      <c r="DQ92" s="11" t="e">
        <f ca="1">('Apollo Dock Status'!$Z$1-DP92)/DO92</f>
        <v>#VALUE!</v>
      </c>
      <c r="DR92" s="15" t="e">
        <f t="shared" ca="1" si="140"/>
        <v>#VALUE!</v>
      </c>
    </row>
    <row r="93" spans="1:122">
      <c r="A93" s="1" t="str">
        <f>IF(ISBLANK('Apollo Dock Status'!A93),"",'Apollo Dock Status'!A93)</f>
        <v/>
      </c>
      <c r="B93" s="1" t="str">
        <f>IF(ISBLANK('Apollo Dock Status'!B93),"",'Apollo Dock Status'!B93)</f>
        <v/>
      </c>
      <c r="C93" s="1" t="str">
        <f>IF(ISBLANK('Apollo Dock Status'!C93),"",'Apollo Dock Status'!C93)</f>
        <v/>
      </c>
      <c r="D93" s="1" t="str">
        <f>IF(ISBLANK('Apollo Dock Status'!D93),"",'Apollo Dock Status'!D93)</f>
        <v/>
      </c>
      <c r="E93" s="1" t="str">
        <f>IF(ISBLANK('Apollo Dock Status'!E93),"",'Apollo Dock Status'!E93)</f>
        <v/>
      </c>
      <c r="F93" s="1" t="str">
        <f>IF(ISBLANK('Apollo Dock Status'!F93),"",'Apollo Dock Status'!F93)</f>
        <v/>
      </c>
      <c r="G93" s="1" t="str">
        <f>IF(ISBLANK('Apollo Dock Status'!G93),"",'Apollo Dock Status'!G93)</f>
        <v/>
      </c>
      <c r="H93" s="1" t="str">
        <f>IF(ISBLANK('Apollo Dock Status'!H93),"",'Apollo Dock Status'!H93)</f>
        <v/>
      </c>
      <c r="I93" s="1" t="str">
        <f>IF(ISBLANK('Apollo Dock Status'!I93),"",'Apollo Dock Status'!I93)</f>
        <v/>
      </c>
      <c r="J93" s="1" t="str">
        <f>IF(ISBLANK('Apollo Dock Status'!J93),"",'Apollo Dock Status'!J93)</f>
        <v/>
      </c>
      <c r="K93" s="1" t="str">
        <f>IF(ISBLANK('Apollo Dock Status'!K93),"",'Apollo Dock Status'!K93)</f>
        <v/>
      </c>
      <c r="L93" s="1" t="str">
        <f>IF(ISBLANK('Apollo Dock Status'!L93),"",'Apollo Dock Status'!L93)</f>
        <v/>
      </c>
      <c r="M93" s="1" t="str">
        <f>IF(ISBLANK('Apollo Dock Status'!M93),"",'Apollo Dock Status'!M93)</f>
        <v/>
      </c>
      <c r="N93" s="1" t="str">
        <f>IF(ISBLANK('Apollo Dock Status'!N93),"",'Apollo Dock Status'!N93)</f>
        <v/>
      </c>
      <c r="O93" s="1" t="str">
        <f t="shared" si="90"/>
        <v/>
      </c>
      <c r="P93" s="1" t="str">
        <f t="shared" si="91"/>
        <v/>
      </c>
      <c r="Q93" s="1" t="str">
        <f t="shared" si="92"/>
        <v/>
      </c>
      <c r="R93" s="1" t="str">
        <f t="shared" si="93"/>
        <v/>
      </c>
      <c r="S93" s="11" t="str">
        <f t="shared" si="94"/>
        <v/>
      </c>
      <c r="T93" s="1" t="str">
        <f t="shared" si="95"/>
        <v/>
      </c>
      <c r="U93" s="11" t="str">
        <f t="shared" si="96"/>
        <v/>
      </c>
      <c r="V93" s="11" t="str">
        <f t="shared" si="97"/>
        <v/>
      </c>
      <c r="X93" s="1" t="str">
        <f t="shared" si="98"/>
        <v/>
      </c>
      <c r="Y93" s="1" t="str">
        <f t="shared" si="99"/>
        <v/>
      </c>
      <c r="Z93" s="1" t="str">
        <f t="shared" si="100"/>
        <v/>
      </c>
      <c r="AB93" s="13">
        <f t="shared" ca="1" si="101"/>
        <v>46176</v>
      </c>
      <c r="AC93" s="1">
        <f t="shared" ca="1" si="102"/>
        <v>2026</v>
      </c>
      <c r="AD93" s="1" t="str">
        <f t="shared" ca="1" si="103"/>
        <v>6</v>
      </c>
      <c r="AE93" s="1">
        <f t="shared" si="104"/>
        <v>1</v>
      </c>
      <c r="AF93" s="1" t="str">
        <f t="shared" si="105"/>
        <v/>
      </c>
      <c r="AG93" s="1">
        <f t="shared" ca="1" si="106"/>
        <v>2026</v>
      </c>
      <c r="AH93" s="1">
        <f t="shared" si="107"/>
        <v>1</v>
      </c>
      <c r="AI93" s="1" t="str">
        <f t="shared" ca="1" si="108"/>
        <v>6</v>
      </c>
      <c r="AJ93" s="13" t="e">
        <f t="shared" ca="1" si="109"/>
        <v>#VALUE!</v>
      </c>
      <c r="AK93" s="1" t="e">
        <f>IF(ISBLANK(A93),"",IFERROR(MID(F93,SEARCH(", ",F93)+LEN(", "),SEARCH(" "&amp;'Exception Stores'!$A$2,F93)-SEARCH(", ",F93)-LEN(", ")),MID(F93,SEARCH(", ",F93)+LEN(", "),SEARCH(" "&amp;'Exception Stores'!$B$2,F93)-SEARCH(", ",F93)-LEN(", "))))</f>
        <v>#VALUE!</v>
      </c>
      <c r="AL93" s="1" t="e">
        <f t="shared" si="110"/>
        <v>#VALUE!</v>
      </c>
      <c r="AM93" s="15" t="e">
        <f t="shared" ca="1" si="111"/>
        <v>#VALUE!</v>
      </c>
      <c r="AN93" s="24" t="e">
        <f t="shared" ca="1" si="112"/>
        <v>#VALUE!</v>
      </c>
      <c r="AO93" s="1" t="e">
        <f t="shared" ca="1" si="113"/>
        <v>#VALUE!</v>
      </c>
      <c r="AP93" s="13" t="e">
        <f t="shared" ca="1" si="114"/>
        <v>#VALUE!</v>
      </c>
      <c r="AQ93" s="17" t="e">
        <f t="shared" ca="1" si="115"/>
        <v>#VALUE!</v>
      </c>
      <c r="AS93" s="15" t="e">
        <f t="shared" ca="1" si="116"/>
        <v>#VALUE!</v>
      </c>
      <c r="AT93" s="5">
        <f>'Exception Stores'!$D$2</f>
        <v>0.125</v>
      </c>
      <c r="AU93" s="15" t="e">
        <f t="shared" ca="1" si="117"/>
        <v>#VALUE!</v>
      </c>
      <c r="AV93" s="15" t="e">
        <f t="shared" ca="1" si="118"/>
        <v>#VALUE!</v>
      </c>
      <c r="AW93" s="15" t="e">
        <f t="shared" ca="1" si="119"/>
        <v>#VALUE!</v>
      </c>
      <c r="AX93" s="15" t="e">
        <f t="shared" ca="1" si="120"/>
        <v>#VALUE!</v>
      </c>
      <c r="AY93" s="15" t="e">
        <f t="shared" ca="1" si="121"/>
        <v>#VALUE!</v>
      </c>
      <c r="AZ93" s="1" t="e">
        <f t="shared" ca="1" si="122"/>
        <v>#VALUE!</v>
      </c>
      <c r="BA93" s="15" t="e">
        <f t="shared" ca="1" si="123"/>
        <v>#VALUE!</v>
      </c>
      <c r="BB93" s="15" t="e">
        <f t="shared" ca="1" si="124"/>
        <v>#VALUE!</v>
      </c>
      <c r="BC93" s="1" t="e">
        <f t="shared" ca="1" si="125"/>
        <v>#VALUE!</v>
      </c>
      <c r="BE93" s="15" t="str">
        <f>IF(ISBLANK('Exception Stores'!$A$6),"",'Exception Stores'!$A$6)</f>
        <v/>
      </c>
      <c r="BF93" s="15" t="str">
        <f>IF(ISBLANK('Exception Stores'!$B$6),"",'Exception Stores'!$B$6)</f>
        <v/>
      </c>
      <c r="BG93" s="1">
        <f>IF(ISBLANK('Exception Stores'!$A$6),0,IF($AN$2&gt;$BF$2,($AN$2-$BF$2)*24,0))</f>
        <v>0</v>
      </c>
      <c r="BH93" s="11">
        <f>IF(ISBLANK('Exception Stores'!$A$6),0,($BF$2-$BE$2)*24)</f>
        <v>0</v>
      </c>
      <c r="BI9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93" s="1">
        <f>IF(ISBLANK('Exception Stores'!$A$6),0,IF($AN$2&gt;$BF$2,0,IF(AND($AN$2&lt;$BF$2,$BT$2="B"),(($BF$2-$AN$2)*24)-$BS$2,($BF$2-$AN$2)*24)))</f>
        <v>0</v>
      </c>
      <c r="BL93" s="5"/>
      <c r="BM93" s="5"/>
      <c r="BN93" s="5"/>
      <c r="BO93" s="5"/>
      <c r="BP93" s="5"/>
      <c r="BV93" s="1" t="e">
        <f t="shared" ca="1" si="126"/>
        <v>#VALUE!</v>
      </c>
      <c r="BW93" s="1" t="e">
        <f t="shared" ca="1" si="127"/>
        <v>#VALUE!</v>
      </c>
      <c r="BX93" s="1" t="e">
        <f t="shared" ca="1" si="128"/>
        <v>#VALUE!</v>
      </c>
      <c r="BY93" s="1" t="e">
        <f t="shared" ca="1" si="129"/>
        <v>#VALUE!</v>
      </c>
      <c r="BZ93" s="1" t="e">
        <f t="shared" ca="1" si="130"/>
        <v>#VALUE!</v>
      </c>
      <c r="CB93" s="1" t="str">
        <f>IF(ISBLANK('Exception Stores'!$A$6),"",WEEKDAY($BF$2))</f>
        <v/>
      </c>
      <c r="CC93" s="1" t="str">
        <f>IF(ISBLANK('Exception Stores'!$A$6),"NO",IF('Exception Stores'!$A$6&lt;$AU$2,"YES","NO"))</f>
        <v>NO</v>
      </c>
      <c r="CD93" s="1" t="str">
        <f>IF(ISBLANK('Exception Stores'!$A$6),"NO",IF('Exception Stores'!$A$6&lt;$AV$2,"YES","NO"))</f>
        <v>NO</v>
      </c>
      <c r="CE93" s="1" t="str">
        <f>IF(ISBLANK('Exception Stores'!$A$6),"NO",IF('Exception Stores'!$A$6&lt;$AW$2,"YES","NO"))</f>
        <v>NO</v>
      </c>
      <c r="CF93" s="1" t="str">
        <f>IF(ISBLANK('Exception Stores'!$A$6),"NO",IF('Exception Stores'!$A$6&lt;$AX$2,"YES","NO"))</f>
        <v>NO</v>
      </c>
      <c r="CG93" s="1" t="str">
        <f>IF(ISBLANK('Exception Stores'!$A$6),"NO",IF('Exception Stores'!$A$6&lt;$AY$2,"YES","NO"))</f>
        <v>NO</v>
      </c>
      <c r="CI93" s="42" t="str">
        <f>IF(ISBLANK('Exception Stores'!$B$6),"NO",IF('Exception Stores'!$B$6&lt;=$AU$2,"YES","NO"))</f>
        <v>NO</v>
      </c>
      <c r="CJ93" s="42" t="str">
        <f>IF(ISBLANK('Exception Stores'!$B$6),"NO",IF('Exception Stores'!$B$6&lt;=$AV$2,"YES","NO"))</f>
        <v>NO</v>
      </c>
      <c r="CK93" s="1" t="str">
        <f>IF(ISBLANK('Exception Stores'!$B$6),"NO",IF('Exception Stores'!$B$6&lt;=$AW$2,"YES","NO"))</f>
        <v>NO</v>
      </c>
      <c r="CL93" s="1" t="str">
        <f>IF(ISBLANK('Exception Stores'!$B$6),"NO",IF('Exception Stores'!$B$6&lt;=$AX$2,"YES","NO"))</f>
        <v>NO</v>
      </c>
      <c r="CM93" s="1" t="str">
        <f>IF(ISBLANK('Exception Stores'!$B$6),"NO",IF('Exception Stores'!$B$6&lt;=$AY$2,"YES","NO"))</f>
        <v>NO</v>
      </c>
      <c r="CO93" s="1" t="e">
        <f ca="1">IF(AM93&lt;'Exception Stores'!$A$6,"YES","NO")</f>
        <v>#VALUE!</v>
      </c>
      <c r="CP93" s="1">
        <f t="shared" si="131"/>
        <v>0</v>
      </c>
      <c r="CQ93" s="1">
        <f t="shared" si="132"/>
        <v>0</v>
      </c>
      <c r="CR93" s="1">
        <f t="shared" si="133"/>
        <v>0</v>
      </c>
      <c r="CS93" s="1">
        <f t="shared" si="134"/>
        <v>0</v>
      </c>
      <c r="CT93" s="1">
        <f t="shared" si="135"/>
        <v>0</v>
      </c>
      <c r="CU93" s="1">
        <f t="shared" si="136"/>
        <v>0</v>
      </c>
      <c r="CW93" s="1" t="e">
        <f t="shared" ca="1" si="77"/>
        <v>#VALUE!</v>
      </c>
      <c r="CX93" s="1" t="e">
        <f t="shared" ca="1" si="78"/>
        <v>#VALUE!</v>
      </c>
      <c r="CY93" s="1" t="e">
        <f t="shared" ca="1" si="79"/>
        <v>#VALUE!</v>
      </c>
      <c r="CZ93" s="1" t="e">
        <f t="shared" ca="1" si="80"/>
        <v>#VALUE!</v>
      </c>
      <c r="DA93" s="1" t="e">
        <f t="shared" ca="1" si="81"/>
        <v>#VALUE!</v>
      </c>
      <c r="DB93" s="26" t="e">
        <f t="shared" ca="1" si="137"/>
        <v>#VALUE!</v>
      </c>
      <c r="DC93" s="1">
        <f t="shared" si="82"/>
        <v>0</v>
      </c>
      <c r="DD93" s="1">
        <f t="shared" si="83"/>
        <v>0</v>
      </c>
      <c r="DE93" s="1">
        <f t="shared" si="84"/>
        <v>0</v>
      </c>
      <c r="DF93" s="1">
        <f t="shared" si="85"/>
        <v>0</v>
      </c>
      <c r="DG93" s="1">
        <f t="shared" si="86"/>
        <v>0</v>
      </c>
      <c r="DH93" s="26">
        <f t="shared" si="138"/>
        <v>0</v>
      </c>
      <c r="DI93" s="1" t="e">
        <f t="shared" ca="1" si="139"/>
        <v>#VALUE!</v>
      </c>
      <c r="DK93" s="11" t="str">
        <f t="shared" si="87"/>
        <v/>
      </c>
      <c r="DL93" s="11" t="e">
        <f ca="1">IF(AND(NOT(ISBLANK('Exception Stores'!$A$6)),CO93="YES"),S93-$BH$2-(DI93*$BS$2)-(CU93*$BS$2),S93-(DB93*$BS$2))</f>
        <v>#VALUE!</v>
      </c>
      <c r="DM93" s="11" t="str">
        <f>IF(ISBLANK(A93),"",IF(COUNTIF(Remaps!$A$2:$A$200,B93)&gt;0,"YES",""))</f>
        <v>YES</v>
      </c>
      <c r="DN93" s="29">
        <f>IFERROR(INDEX(Remaps!$B$2:$B$200,MATCH(B93,Remaps!$A$2:$A$200,0),1),0)</f>
        <v>0</v>
      </c>
      <c r="DO93" s="11" t="e">
        <f t="shared" ca="1" si="88"/>
        <v>#VALUE!</v>
      </c>
      <c r="DP93" s="29" t="e">
        <f t="shared" si="89"/>
        <v>#VALUE!</v>
      </c>
      <c r="DQ93" s="11" t="e">
        <f ca="1">('Apollo Dock Status'!$Z$1-DP93)/DO93</f>
        <v>#VALUE!</v>
      </c>
      <c r="DR93" s="15" t="e">
        <f t="shared" ca="1" si="140"/>
        <v>#VALUE!</v>
      </c>
    </row>
    <row r="94" spans="1:122">
      <c r="A94" s="1" t="str">
        <f>IF(ISBLANK('Apollo Dock Status'!A94),"",'Apollo Dock Status'!A94)</f>
        <v/>
      </c>
      <c r="B94" s="1" t="str">
        <f>IF(ISBLANK('Apollo Dock Status'!B94),"",'Apollo Dock Status'!B94)</f>
        <v/>
      </c>
      <c r="C94" s="1" t="str">
        <f>IF(ISBLANK('Apollo Dock Status'!C94),"",'Apollo Dock Status'!C94)</f>
        <v/>
      </c>
      <c r="D94" s="1" t="str">
        <f>IF(ISBLANK('Apollo Dock Status'!D94),"",'Apollo Dock Status'!D94)</f>
        <v/>
      </c>
      <c r="E94" s="1" t="str">
        <f>IF(ISBLANK('Apollo Dock Status'!E94),"",'Apollo Dock Status'!E94)</f>
        <v/>
      </c>
      <c r="F94" s="1" t="str">
        <f>IF(ISBLANK('Apollo Dock Status'!F94),"",'Apollo Dock Status'!F94)</f>
        <v/>
      </c>
      <c r="G94" s="1" t="str">
        <f>IF(ISBLANK('Apollo Dock Status'!G94),"",'Apollo Dock Status'!G94)</f>
        <v/>
      </c>
      <c r="H94" s="1" t="str">
        <f>IF(ISBLANK('Apollo Dock Status'!H94),"",'Apollo Dock Status'!H94)</f>
        <v/>
      </c>
      <c r="I94" s="1" t="str">
        <f>IF(ISBLANK('Apollo Dock Status'!I94),"",'Apollo Dock Status'!I94)</f>
        <v/>
      </c>
      <c r="J94" s="1" t="str">
        <f>IF(ISBLANK('Apollo Dock Status'!J94),"",'Apollo Dock Status'!J94)</f>
        <v/>
      </c>
      <c r="K94" s="1" t="str">
        <f>IF(ISBLANK('Apollo Dock Status'!K94),"",'Apollo Dock Status'!K94)</f>
        <v/>
      </c>
      <c r="L94" s="1" t="str">
        <f>IF(ISBLANK('Apollo Dock Status'!L94),"",'Apollo Dock Status'!L94)</f>
        <v/>
      </c>
      <c r="M94" s="1" t="str">
        <f>IF(ISBLANK('Apollo Dock Status'!M94),"",'Apollo Dock Status'!M94)</f>
        <v/>
      </c>
      <c r="N94" s="1" t="str">
        <f>IF(ISBLANK('Apollo Dock Status'!N94),"",'Apollo Dock Status'!N94)</f>
        <v/>
      </c>
      <c r="O94" s="1" t="str">
        <f t="shared" si="90"/>
        <v/>
      </c>
      <c r="P94" s="1" t="str">
        <f t="shared" si="91"/>
        <v/>
      </c>
      <c r="Q94" s="1" t="str">
        <f t="shared" si="92"/>
        <v/>
      </c>
      <c r="R94" s="1" t="str">
        <f t="shared" si="93"/>
        <v/>
      </c>
      <c r="S94" s="11" t="str">
        <f t="shared" si="94"/>
        <v/>
      </c>
      <c r="T94" s="1" t="str">
        <f t="shared" si="95"/>
        <v/>
      </c>
      <c r="U94" s="11" t="str">
        <f t="shared" si="96"/>
        <v/>
      </c>
      <c r="V94" s="11" t="str">
        <f t="shared" si="97"/>
        <v/>
      </c>
      <c r="X94" s="1" t="str">
        <f t="shared" si="98"/>
        <v/>
      </c>
      <c r="Y94" s="1" t="str">
        <f t="shared" si="99"/>
        <v/>
      </c>
      <c r="Z94" s="1" t="str">
        <f t="shared" si="100"/>
        <v/>
      </c>
      <c r="AB94" s="13">
        <f t="shared" ca="1" si="101"/>
        <v>46176</v>
      </c>
      <c r="AC94" s="1">
        <f t="shared" ca="1" si="102"/>
        <v>2026</v>
      </c>
      <c r="AD94" s="1" t="str">
        <f t="shared" ca="1" si="103"/>
        <v>6</v>
      </c>
      <c r="AE94" s="1">
        <f t="shared" si="104"/>
        <v>1</v>
      </c>
      <c r="AF94" s="1" t="str">
        <f t="shared" si="105"/>
        <v/>
      </c>
      <c r="AG94" s="1">
        <f t="shared" ca="1" si="106"/>
        <v>2026</v>
      </c>
      <c r="AH94" s="1">
        <f t="shared" si="107"/>
        <v>1</v>
      </c>
      <c r="AI94" s="1" t="str">
        <f t="shared" ca="1" si="108"/>
        <v>6</v>
      </c>
      <c r="AJ94" s="13" t="e">
        <f t="shared" ca="1" si="109"/>
        <v>#VALUE!</v>
      </c>
      <c r="AK94" s="1" t="e">
        <f>IF(ISBLANK(A94),"",IFERROR(MID(F94,SEARCH(", ",F94)+LEN(", "),SEARCH(" "&amp;'Exception Stores'!$A$2,F94)-SEARCH(", ",F94)-LEN(", ")),MID(F94,SEARCH(", ",F94)+LEN(", "),SEARCH(" "&amp;'Exception Stores'!$B$2,F94)-SEARCH(", ",F94)-LEN(", "))))</f>
        <v>#VALUE!</v>
      </c>
      <c r="AL94" s="1" t="e">
        <f t="shared" si="110"/>
        <v>#VALUE!</v>
      </c>
      <c r="AM94" s="15" t="e">
        <f t="shared" ca="1" si="111"/>
        <v>#VALUE!</v>
      </c>
      <c r="AN94" s="24" t="e">
        <f t="shared" ca="1" si="112"/>
        <v>#VALUE!</v>
      </c>
      <c r="AO94" s="1" t="e">
        <f t="shared" ca="1" si="113"/>
        <v>#VALUE!</v>
      </c>
      <c r="AP94" s="13" t="e">
        <f t="shared" ca="1" si="114"/>
        <v>#VALUE!</v>
      </c>
      <c r="AQ94" s="17" t="e">
        <f t="shared" ca="1" si="115"/>
        <v>#VALUE!</v>
      </c>
      <c r="AS94" s="15" t="e">
        <f t="shared" ca="1" si="116"/>
        <v>#VALUE!</v>
      </c>
      <c r="AT94" s="5">
        <f>'Exception Stores'!$D$2</f>
        <v>0.125</v>
      </c>
      <c r="AU94" s="15" t="e">
        <f t="shared" ca="1" si="117"/>
        <v>#VALUE!</v>
      </c>
      <c r="AV94" s="15" t="e">
        <f t="shared" ca="1" si="118"/>
        <v>#VALUE!</v>
      </c>
      <c r="AW94" s="15" t="e">
        <f t="shared" ca="1" si="119"/>
        <v>#VALUE!</v>
      </c>
      <c r="AX94" s="15" t="e">
        <f t="shared" ca="1" si="120"/>
        <v>#VALUE!</v>
      </c>
      <c r="AY94" s="15" t="e">
        <f t="shared" ca="1" si="121"/>
        <v>#VALUE!</v>
      </c>
      <c r="AZ94" s="1" t="e">
        <f t="shared" ca="1" si="122"/>
        <v>#VALUE!</v>
      </c>
      <c r="BA94" s="15" t="e">
        <f t="shared" ca="1" si="123"/>
        <v>#VALUE!</v>
      </c>
      <c r="BB94" s="15" t="e">
        <f t="shared" ca="1" si="124"/>
        <v>#VALUE!</v>
      </c>
      <c r="BC94" s="1" t="e">
        <f t="shared" ca="1" si="125"/>
        <v>#VALUE!</v>
      </c>
      <c r="BE94" s="15" t="str">
        <f>IF(ISBLANK('Exception Stores'!$A$6),"",'Exception Stores'!$A$6)</f>
        <v/>
      </c>
      <c r="BF94" s="15" t="str">
        <f>IF(ISBLANK('Exception Stores'!$B$6),"",'Exception Stores'!$B$6)</f>
        <v/>
      </c>
      <c r="BG94" s="1">
        <f>IF(ISBLANK('Exception Stores'!$A$6),0,IF($AN$2&gt;$BF$2,($AN$2-$BF$2)*24,0))</f>
        <v>0</v>
      </c>
      <c r="BH94" s="11">
        <f>IF(ISBLANK('Exception Stores'!$A$6),0,($BF$2-$BE$2)*24)</f>
        <v>0</v>
      </c>
      <c r="BI9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94" s="1">
        <f>IF(ISBLANK('Exception Stores'!$A$6),0,IF($AN$2&gt;$BF$2,0,IF(AND($AN$2&lt;$BF$2,$BT$2="B"),(($BF$2-$AN$2)*24)-$BS$2,($BF$2-$AN$2)*24)))</f>
        <v>0</v>
      </c>
      <c r="BL94" s="5"/>
      <c r="BM94" s="5"/>
      <c r="BN94" s="5"/>
      <c r="BO94" s="5"/>
      <c r="BP94" s="5"/>
      <c r="BV94" s="1" t="e">
        <f t="shared" ca="1" si="126"/>
        <v>#VALUE!</v>
      </c>
      <c r="BW94" s="1" t="e">
        <f t="shared" ca="1" si="127"/>
        <v>#VALUE!</v>
      </c>
      <c r="BX94" s="1" t="e">
        <f t="shared" ca="1" si="128"/>
        <v>#VALUE!</v>
      </c>
      <c r="BY94" s="1" t="e">
        <f t="shared" ca="1" si="129"/>
        <v>#VALUE!</v>
      </c>
      <c r="BZ94" s="1" t="e">
        <f t="shared" ca="1" si="130"/>
        <v>#VALUE!</v>
      </c>
      <c r="CB94" s="1" t="str">
        <f>IF(ISBLANK('Exception Stores'!$A$6),"",WEEKDAY($BF$2))</f>
        <v/>
      </c>
      <c r="CC94" s="1" t="str">
        <f>IF(ISBLANK('Exception Stores'!$A$6),"NO",IF('Exception Stores'!$A$6&lt;$AU$2,"YES","NO"))</f>
        <v>NO</v>
      </c>
      <c r="CD94" s="1" t="str">
        <f>IF(ISBLANK('Exception Stores'!$A$6),"NO",IF('Exception Stores'!$A$6&lt;$AV$2,"YES","NO"))</f>
        <v>NO</v>
      </c>
      <c r="CE94" s="1" t="str">
        <f>IF(ISBLANK('Exception Stores'!$A$6),"NO",IF('Exception Stores'!$A$6&lt;$AW$2,"YES","NO"))</f>
        <v>NO</v>
      </c>
      <c r="CF94" s="1" t="str">
        <f>IF(ISBLANK('Exception Stores'!$A$6),"NO",IF('Exception Stores'!$A$6&lt;$AX$2,"YES","NO"))</f>
        <v>NO</v>
      </c>
      <c r="CG94" s="1" t="str">
        <f>IF(ISBLANK('Exception Stores'!$A$6),"NO",IF('Exception Stores'!$A$6&lt;$AY$2,"YES","NO"))</f>
        <v>NO</v>
      </c>
      <c r="CI94" s="42" t="str">
        <f>IF(ISBLANK('Exception Stores'!$B$6),"NO",IF('Exception Stores'!$B$6&lt;=$AU$2,"YES","NO"))</f>
        <v>NO</v>
      </c>
      <c r="CJ94" s="42" t="str">
        <f>IF(ISBLANK('Exception Stores'!$B$6),"NO",IF('Exception Stores'!$B$6&lt;=$AV$2,"YES","NO"))</f>
        <v>NO</v>
      </c>
      <c r="CK94" s="1" t="str">
        <f>IF(ISBLANK('Exception Stores'!$B$6),"NO",IF('Exception Stores'!$B$6&lt;=$AW$2,"YES","NO"))</f>
        <v>NO</v>
      </c>
      <c r="CL94" s="1" t="str">
        <f>IF(ISBLANK('Exception Stores'!$B$6),"NO",IF('Exception Stores'!$B$6&lt;=$AX$2,"YES","NO"))</f>
        <v>NO</v>
      </c>
      <c r="CM94" s="1" t="str">
        <f>IF(ISBLANK('Exception Stores'!$B$6),"NO",IF('Exception Stores'!$B$6&lt;=$AY$2,"YES","NO"))</f>
        <v>NO</v>
      </c>
      <c r="CO94" s="1" t="e">
        <f ca="1">IF(AM94&lt;'Exception Stores'!$A$6,"YES","NO")</f>
        <v>#VALUE!</v>
      </c>
      <c r="CP94" s="1">
        <f t="shared" si="131"/>
        <v>0</v>
      </c>
      <c r="CQ94" s="1">
        <f t="shared" si="132"/>
        <v>0</v>
      </c>
      <c r="CR94" s="1">
        <f t="shared" si="133"/>
        <v>0</v>
      </c>
      <c r="CS94" s="1">
        <f t="shared" si="134"/>
        <v>0</v>
      </c>
      <c r="CT94" s="1">
        <f t="shared" si="135"/>
        <v>0</v>
      </c>
      <c r="CU94" s="1">
        <f t="shared" si="136"/>
        <v>0</v>
      </c>
      <c r="CW94" s="1" t="e">
        <f t="shared" ca="1" si="77"/>
        <v>#VALUE!</v>
      </c>
      <c r="CX94" s="1" t="e">
        <f t="shared" ca="1" si="78"/>
        <v>#VALUE!</v>
      </c>
      <c r="CY94" s="1" t="e">
        <f t="shared" ca="1" si="79"/>
        <v>#VALUE!</v>
      </c>
      <c r="CZ94" s="1" t="e">
        <f t="shared" ca="1" si="80"/>
        <v>#VALUE!</v>
      </c>
      <c r="DA94" s="1" t="e">
        <f t="shared" ca="1" si="81"/>
        <v>#VALUE!</v>
      </c>
      <c r="DB94" s="26" t="e">
        <f t="shared" ca="1" si="137"/>
        <v>#VALUE!</v>
      </c>
      <c r="DC94" s="1">
        <f t="shared" si="82"/>
        <v>0</v>
      </c>
      <c r="DD94" s="1">
        <f t="shared" si="83"/>
        <v>0</v>
      </c>
      <c r="DE94" s="1">
        <f t="shared" si="84"/>
        <v>0</v>
      </c>
      <c r="DF94" s="1">
        <f t="shared" si="85"/>
        <v>0</v>
      </c>
      <c r="DG94" s="1">
        <f t="shared" si="86"/>
        <v>0</v>
      </c>
      <c r="DH94" s="26">
        <f t="shared" si="138"/>
        <v>0</v>
      </c>
      <c r="DI94" s="1" t="e">
        <f t="shared" ca="1" si="139"/>
        <v>#VALUE!</v>
      </c>
      <c r="DK94" s="11" t="str">
        <f t="shared" si="87"/>
        <v/>
      </c>
      <c r="DL94" s="11" t="e">
        <f ca="1">IF(AND(NOT(ISBLANK('Exception Stores'!$A$6)),CO94="YES"),S94-$BH$2-(DI94*$BS$2)-(CU94*$BS$2),S94-(DB94*$BS$2))</f>
        <v>#VALUE!</v>
      </c>
      <c r="DM94" s="11" t="str">
        <f>IF(ISBLANK(A94),"",IF(COUNTIF(Remaps!$A$2:$A$200,B94)&gt;0,"YES",""))</f>
        <v>YES</v>
      </c>
      <c r="DN94" s="29">
        <f>IFERROR(INDEX(Remaps!$B$2:$B$200,MATCH(B94,Remaps!$A$2:$A$200,0),1),0)</f>
        <v>0</v>
      </c>
      <c r="DO94" s="11" t="e">
        <f t="shared" ca="1" si="88"/>
        <v>#VALUE!</v>
      </c>
      <c r="DP94" s="29" t="e">
        <f t="shared" si="89"/>
        <v>#VALUE!</v>
      </c>
      <c r="DQ94" s="11" t="e">
        <f ca="1">('Apollo Dock Status'!$Z$1-DP94)/DO94</f>
        <v>#VALUE!</v>
      </c>
      <c r="DR94" s="15" t="e">
        <f t="shared" ca="1" si="140"/>
        <v>#VALUE!</v>
      </c>
    </row>
    <row r="95" spans="1:122">
      <c r="A95" s="1" t="str">
        <f>IF(ISBLANK('Apollo Dock Status'!A95),"",'Apollo Dock Status'!A95)</f>
        <v/>
      </c>
      <c r="B95" s="1" t="str">
        <f>IF(ISBLANK('Apollo Dock Status'!B95),"",'Apollo Dock Status'!B95)</f>
        <v/>
      </c>
      <c r="C95" s="1" t="str">
        <f>IF(ISBLANK('Apollo Dock Status'!C95),"",'Apollo Dock Status'!C95)</f>
        <v/>
      </c>
      <c r="D95" s="1" t="str">
        <f>IF(ISBLANK('Apollo Dock Status'!D95),"",'Apollo Dock Status'!D95)</f>
        <v/>
      </c>
      <c r="E95" s="1" t="str">
        <f>IF(ISBLANK('Apollo Dock Status'!E95),"",'Apollo Dock Status'!E95)</f>
        <v/>
      </c>
      <c r="F95" s="1" t="str">
        <f>IF(ISBLANK('Apollo Dock Status'!F95),"",'Apollo Dock Status'!F95)</f>
        <v/>
      </c>
      <c r="G95" s="1" t="str">
        <f>IF(ISBLANK('Apollo Dock Status'!G95),"",'Apollo Dock Status'!G95)</f>
        <v/>
      </c>
      <c r="H95" s="1" t="str">
        <f>IF(ISBLANK('Apollo Dock Status'!H95),"",'Apollo Dock Status'!H95)</f>
        <v/>
      </c>
      <c r="I95" s="1" t="str">
        <f>IF(ISBLANK('Apollo Dock Status'!I95),"",'Apollo Dock Status'!I95)</f>
        <v/>
      </c>
      <c r="J95" s="1" t="str">
        <f>IF(ISBLANK('Apollo Dock Status'!J95),"",'Apollo Dock Status'!J95)</f>
        <v/>
      </c>
      <c r="K95" s="1" t="str">
        <f>IF(ISBLANK('Apollo Dock Status'!K95),"",'Apollo Dock Status'!K95)</f>
        <v/>
      </c>
      <c r="L95" s="1" t="str">
        <f>IF(ISBLANK('Apollo Dock Status'!L95),"",'Apollo Dock Status'!L95)</f>
        <v/>
      </c>
      <c r="M95" s="1" t="str">
        <f>IF(ISBLANK('Apollo Dock Status'!M95),"",'Apollo Dock Status'!M95)</f>
        <v/>
      </c>
      <c r="N95" s="1" t="str">
        <f>IF(ISBLANK('Apollo Dock Status'!N95),"",'Apollo Dock Status'!N95)</f>
        <v/>
      </c>
      <c r="O95" s="1" t="str">
        <f t="shared" si="90"/>
        <v/>
      </c>
      <c r="P95" s="1" t="str">
        <f t="shared" si="91"/>
        <v/>
      </c>
      <c r="Q95" s="1" t="str">
        <f t="shared" si="92"/>
        <v/>
      </c>
      <c r="R95" s="1" t="str">
        <f t="shared" si="93"/>
        <v/>
      </c>
      <c r="S95" s="11" t="str">
        <f t="shared" si="94"/>
        <v/>
      </c>
      <c r="T95" s="1" t="str">
        <f t="shared" si="95"/>
        <v/>
      </c>
      <c r="U95" s="11" t="str">
        <f t="shared" si="96"/>
        <v/>
      </c>
      <c r="V95" s="11" t="str">
        <f t="shared" si="97"/>
        <v/>
      </c>
      <c r="X95" s="1" t="str">
        <f t="shared" si="98"/>
        <v/>
      </c>
      <c r="Y95" s="1" t="str">
        <f t="shared" si="99"/>
        <v/>
      </c>
      <c r="Z95" s="1" t="str">
        <f t="shared" si="100"/>
        <v/>
      </c>
      <c r="AB95" s="13">
        <f t="shared" ca="1" si="101"/>
        <v>46176</v>
      </c>
      <c r="AC95" s="1">
        <f t="shared" ca="1" si="102"/>
        <v>2026</v>
      </c>
      <c r="AD95" s="1" t="str">
        <f t="shared" ca="1" si="103"/>
        <v>6</v>
      </c>
      <c r="AE95" s="1">
        <f t="shared" si="104"/>
        <v>1</v>
      </c>
      <c r="AF95" s="1" t="str">
        <f t="shared" si="105"/>
        <v/>
      </c>
      <c r="AG95" s="1">
        <f t="shared" ca="1" si="106"/>
        <v>2026</v>
      </c>
      <c r="AH95" s="1">
        <f t="shared" si="107"/>
        <v>1</v>
      </c>
      <c r="AI95" s="1" t="str">
        <f t="shared" ca="1" si="108"/>
        <v>6</v>
      </c>
      <c r="AJ95" s="13" t="e">
        <f t="shared" ca="1" si="109"/>
        <v>#VALUE!</v>
      </c>
      <c r="AK95" s="1" t="e">
        <f>IF(ISBLANK(A95),"",IFERROR(MID(F95,SEARCH(", ",F95)+LEN(", "),SEARCH(" "&amp;'Exception Stores'!$A$2,F95)-SEARCH(", ",F95)-LEN(", ")),MID(F95,SEARCH(", ",F95)+LEN(", "),SEARCH(" "&amp;'Exception Stores'!$B$2,F95)-SEARCH(", ",F95)-LEN(", "))))</f>
        <v>#VALUE!</v>
      </c>
      <c r="AL95" s="1" t="e">
        <f t="shared" si="110"/>
        <v>#VALUE!</v>
      </c>
      <c r="AM95" s="15" t="e">
        <f t="shared" ca="1" si="111"/>
        <v>#VALUE!</v>
      </c>
      <c r="AN95" s="24" t="e">
        <f t="shared" ca="1" si="112"/>
        <v>#VALUE!</v>
      </c>
      <c r="AO95" s="1" t="e">
        <f t="shared" ca="1" si="113"/>
        <v>#VALUE!</v>
      </c>
      <c r="AP95" s="13" t="e">
        <f t="shared" ca="1" si="114"/>
        <v>#VALUE!</v>
      </c>
      <c r="AQ95" s="17" t="e">
        <f t="shared" ca="1" si="115"/>
        <v>#VALUE!</v>
      </c>
      <c r="AS95" s="15" t="e">
        <f t="shared" ca="1" si="116"/>
        <v>#VALUE!</v>
      </c>
      <c r="AT95" s="5">
        <f>'Exception Stores'!$D$2</f>
        <v>0.125</v>
      </c>
      <c r="AU95" s="15" t="e">
        <f t="shared" ca="1" si="117"/>
        <v>#VALUE!</v>
      </c>
      <c r="AV95" s="15" t="e">
        <f t="shared" ca="1" si="118"/>
        <v>#VALUE!</v>
      </c>
      <c r="AW95" s="15" t="e">
        <f t="shared" ca="1" si="119"/>
        <v>#VALUE!</v>
      </c>
      <c r="AX95" s="15" t="e">
        <f t="shared" ca="1" si="120"/>
        <v>#VALUE!</v>
      </c>
      <c r="AY95" s="15" t="e">
        <f t="shared" ca="1" si="121"/>
        <v>#VALUE!</v>
      </c>
      <c r="AZ95" s="1" t="e">
        <f t="shared" ca="1" si="122"/>
        <v>#VALUE!</v>
      </c>
      <c r="BA95" s="15" t="e">
        <f t="shared" ca="1" si="123"/>
        <v>#VALUE!</v>
      </c>
      <c r="BB95" s="15" t="e">
        <f t="shared" ca="1" si="124"/>
        <v>#VALUE!</v>
      </c>
      <c r="BC95" s="1" t="e">
        <f t="shared" ca="1" si="125"/>
        <v>#VALUE!</v>
      </c>
      <c r="BE95" s="15" t="str">
        <f>IF(ISBLANK('Exception Stores'!$A$6),"",'Exception Stores'!$A$6)</f>
        <v/>
      </c>
      <c r="BF95" s="15" t="str">
        <f>IF(ISBLANK('Exception Stores'!$B$6),"",'Exception Stores'!$B$6)</f>
        <v/>
      </c>
      <c r="BG95" s="1">
        <f>IF(ISBLANK('Exception Stores'!$A$6),0,IF($AN$2&gt;$BF$2,($AN$2-$BF$2)*24,0))</f>
        <v>0</v>
      </c>
      <c r="BH95" s="11">
        <f>IF(ISBLANK('Exception Stores'!$A$6),0,($BF$2-$BE$2)*24)</f>
        <v>0</v>
      </c>
      <c r="BI9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95" s="1">
        <f>IF(ISBLANK('Exception Stores'!$A$6),0,IF($AN$2&gt;$BF$2,0,IF(AND($AN$2&lt;$BF$2,$BT$2="B"),(($BF$2-$AN$2)*24)-$BS$2,($BF$2-$AN$2)*24)))</f>
        <v>0</v>
      </c>
      <c r="BL95" s="5"/>
      <c r="BM95" s="5"/>
      <c r="BN95" s="5"/>
      <c r="BO95" s="5"/>
      <c r="BP95" s="5"/>
      <c r="BV95" s="1" t="e">
        <f t="shared" ca="1" si="126"/>
        <v>#VALUE!</v>
      </c>
      <c r="BW95" s="1" t="e">
        <f t="shared" ca="1" si="127"/>
        <v>#VALUE!</v>
      </c>
      <c r="BX95" s="1" t="e">
        <f t="shared" ca="1" si="128"/>
        <v>#VALUE!</v>
      </c>
      <c r="BY95" s="1" t="e">
        <f t="shared" ca="1" si="129"/>
        <v>#VALUE!</v>
      </c>
      <c r="BZ95" s="1" t="e">
        <f t="shared" ca="1" si="130"/>
        <v>#VALUE!</v>
      </c>
      <c r="CB95" s="1" t="str">
        <f>IF(ISBLANK('Exception Stores'!$A$6),"",WEEKDAY($BF$2))</f>
        <v/>
      </c>
      <c r="CC95" s="1" t="str">
        <f>IF(ISBLANK('Exception Stores'!$A$6),"NO",IF('Exception Stores'!$A$6&lt;$AU$2,"YES","NO"))</f>
        <v>NO</v>
      </c>
      <c r="CD95" s="1" t="str">
        <f>IF(ISBLANK('Exception Stores'!$A$6),"NO",IF('Exception Stores'!$A$6&lt;$AV$2,"YES","NO"))</f>
        <v>NO</v>
      </c>
      <c r="CE95" s="1" t="str">
        <f>IF(ISBLANK('Exception Stores'!$A$6),"NO",IF('Exception Stores'!$A$6&lt;$AW$2,"YES","NO"))</f>
        <v>NO</v>
      </c>
      <c r="CF95" s="1" t="str">
        <f>IF(ISBLANK('Exception Stores'!$A$6),"NO",IF('Exception Stores'!$A$6&lt;$AX$2,"YES","NO"))</f>
        <v>NO</v>
      </c>
      <c r="CG95" s="1" t="str">
        <f>IF(ISBLANK('Exception Stores'!$A$6),"NO",IF('Exception Stores'!$A$6&lt;$AY$2,"YES","NO"))</f>
        <v>NO</v>
      </c>
      <c r="CI95" s="42" t="str">
        <f>IF(ISBLANK('Exception Stores'!$B$6),"NO",IF('Exception Stores'!$B$6&lt;=$AU$2,"YES","NO"))</f>
        <v>NO</v>
      </c>
      <c r="CJ95" s="42" t="str">
        <f>IF(ISBLANK('Exception Stores'!$B$6),"NO",IF('Exception Stores'!$B$6&lt;=$AV$2,"YES","NO"))</f>
        <v>NO</v>
      </c>
      <c r="CK95" s="1" t="str">
        <f>IF(ISBLANK('Exception Stores'!$B$6),"NO",IF('Exception Stores'!$B$6&lt;=$AW$2,"YES","NO"))</f>
        <v>NO</v>
      </c>
      <c r="CL95" s="1" t="str">
        <f>IF(ISBLANK('Exception Stores'!$B$6),"NO",IF('Exception Stores'!$B$6&lt;=$AX$2,"YES","NO"))</f>
        <v>NO</v>
      </c>
      <c r="CM95" s="1" t="str">
        <f>IF(ISBLANK('Exception Stores'!$B$6),"NO",IF('Exception Stores'!$B$6&lt;=$AY$2,"YES","NO"))</f>
        <v>NO</v>
      </c>
      <c r="CO95" s="1" t="e">
        <f ca="1">IF(AM95&lt;'Exception Stores'!$A$6,"YES","NO")</f>
        <v>#VALUE!</v>
      </c>
      <c r="CP95" s="1">
        <f t="shared" si="131"/>
        <v>0</v>
      </c>
      <c r="CQ95" s="1">
        <f t="shared" si="132"/>
        <v>0</v>
      </c>
      <c r="CR95" s="1">
        <f t="shared" si="133"/>
        <v>0</v>
      </c>
      <c r="CS95" s="1">
        <f t="shared" si="134"/>
        <v>0</v>
      </c>
      <c r="CT95" s="1">
        <f t="shared" si="135"/>
        <v>0</v>
      </c>
      <c r="CU95" s="1">
        <f t="shared" si="136"/>
        <v>0</v>
      </c>
      <c r="CW95" s="1" t="e">
        <f t="shared" ca="1" si="77"/>
        <v>#VALUE!</v>
      </c>
      <c r="CX95" s="1" t="e">
        <f t="shared" ca="1" si="78"/>
        <v>#VALUE!</v>
      </c>
      <c r="CY95" s="1" t="e">
        <f t="shared" ca="1" si="79"/>
        <v>#VALUE!</v>
      </c>
      <c r="CZ95" s="1" t="e">
        <f t="shared" ca="1" si="80"/>
        <v>#VALUE!</v>
      </c>
      <c r="DA95" s="1" t="e">
        <f t="shared" ca="1" si="81"/>
        <v>#VALUE!</v>
      </c>
      <c r="DB95" s="26" t="e">
        <f t="shared" ca="1" si="137"/>
        <v>#VALUE!</v>
      </c>
      <c r="DC95" s="1">
        <f t="shared" si="82"/>
        <v>0</v>
      </c>
      <c r="DD95" s="1">
        <f t="shared" si="83"/>
        <v>0</v>
      </c>
      <c r="DE95" s="1">
        <f t="shared" si="84"/>
        <v>0</v>
      </c>
      <c r="DF95" s="1">
        <f t="shared" si="85"/>
        <v>0</v>
      </c>
      <c r="DG95" s="1">
        <f t="shared" si="86"/>
        <v>0</v>
      </c>
      <c r="DH95" s="26">
        <f t="shared" si="138"/>
        <v>0</v>
      </c>
      <c r="DI95" s="1" t="e">
        <f t="shared" ca="1" si="139"/>
        <v>#VALUE!</v>
      </c>
      <c r="DK95" s="11" t="str">
        <f t="shared" si="87"/>
        <v/>
      </c>
      <c r="DL95" s="11" t="e">
        <f ca="1">IF(AND(NOT(ISBLANK('Exception Stores'!$A$6)),CO95="YES"),S95-$BH$2-(DI95*$BS$2)-(CU95*$BS$2),S95-(DB95*$BS$2))</f>
        <v>#VALUE!</v>
      </c>
      <c r="DM95" s="11" t="str">
        <f>IF(ISBLANK(A95),"",IF(COUNTIF(Remaps!$A$2:$A$200,B95)&gt;0,"YES",""))</f>
        <v>YES</v>
      </c>
      <c r="DN95" s="29">
        <f>IFERROR(INDEX(Remaps!$B$2:$B$200,MATCH(B95,Remaps!$A$2:$A$200,0),1),0)</f>
        <v>0</v>
      </c>
      <c r="DO95" s="11" t="e">
        <f t="shared" ca="1" si="88"/>
        <v>#VALUE!</v>
      </c>
      <c r="DP95" s="29" t="e">
        <f t="shared" si="89"/>
        <v>#VALUE!</v>
      </c>
      <c r="DQ95" s="11" t="e">
        <f ca="1">('Apollo Dock Status'!$Z$1-DP95)/DO95</f>
        <v>#VALUE!</v>
      </c>
      <c r="DR95" s="15" t="e">
        <f t="shared" ca="1" si="140"/>
        <v>#VALUE!</v>
      </c>
    </row>
    <row r="96" spans="1:122">
      <c r="A96" s="1" t="str">
        <f>IF(ISBLANK('Apollo Dock Status'!A96),"",'Apollo Dock Status'!A96)</f>
        <v/>
      </c>
      <c r="B96" s="1" t="str">
        <f>IF(ISBLANK('Apollo Dock Status'!B96),"",'Apollo Dock Status'!B96)</f>
        <v/>
      </c>
      <c r="C96" s="1" t="str">
        <f>IF(ISBLANK('Apollo Dock Status'!C96),"",'Apollo Dock Status'!C96)</f>
        <v/>
      </c>
      <c r="D96" s="1" t="str">
        <f>IF(ISBLANK('Apollo Dock Status'!D96),"",'Apollo Dock Status'!D96)</f>
        <v/>
      </c>
      <c r="E96" s="1" t="str">
        <f>IF(ISBLANK('Apollo Dock Status'!E96),"",'Apollo Dock Status'!E96)</f>
        <v/>
      </c>
      <c r="F96" s="1" t="str">
        <f>IF(ISBLANK('Apollo Dock Status'!F96),"",'Apollo Dock Status'!F96)</f>
        <v/>
      </c>
      <c r="G96" s="1" t="str">
        <f>IF(ISBLANK('Apollo Dock Status'!G96),"",'Apollo Dock Status'!G96)</f>
        <v/>
      </c>
      <c r="H96" s="1" t="str">
        <f>IF(ISBLANK('Apollo Dock Status'!H96),"",'Apollo Dock Status'!H96)</f>
        <v/>
      </c>
      <c r="I96" s="1" t="str">
        <f>IF(ISBLANK('Apollo Dock Status'!I96),"",'Apollo Dock Status'!I96)</f>
        <v/>
      </c>
      <c r="J96" s="1" t="str">
        <f>IF(ISBLANK('Apollo Dock Status'!J96),"",'Apollo Dock Status'!J96)</f>
        <v/>
      </c>
      <c r="K96" s="1" t="str">
        <f>IF(ISBLANK('Apollo Dock Status'!K96),"",'Apollo Dock Status'!K96)</f>
        <v/>
      </c>
      <c r="L96" s="1" t="str">
        <f>IF(ISBLANK('Apollo Dock Status'!L96),"",'Apollo Dock Status'!L96)</f>
        <v/>
      </c>
      <c r="M96" s="1" t="str">
        <f>IF(ISBLANK('Apollo Dock Status'!M96),"",'Apollo Dock Status'!M96)</f>
        <v/>
      </c>
      <c r="N96" s="1" t="str">
        <f>IF(ISBLANK('Apollo Dock Status'!N96),"",'Apollo Dock Status'!N96)</f>
        <v/>
      </c>
      <c r="O96" s="1" t="str">
        <f t="shared" si="90"/>
        <v/>
      </c>
      <c r="P96" s="1" t="str">
        <f t="shared" si="91"/>
        <v/>
      </c>
      <c r="Q96" s="1" t="str">
        <f t="shared" si="92"/>
        <v/>
      </c>
      <c r="R96" s="1" t="str">
        <f t="shared" si="93"/>
        <v/>
      </c>
      <c r="S96" s="11" t="str">
        <f t="shared" si="94"/>
        <v/>
      </c>
      <c r="T96" s="1" t="str">
        <f t="shared" si="95"/>
        <v/>
      </c>
      <c r="U96" s="11" t="str">
        <f t="shared" si="96"/>
        <v/>
      </c>
      <c r="V96" s="11" t="str">
        <f t="shared" si="97"/>
        <v/>
      </c>
      <c r="X96" s="1" t="str">
        <f t="shared" si="98"/>
        <v/>
      </c>
      <c r="Y96" s="1" t="str">
        <f t="shared" si="99"/>
        <v/>
      </c>
      <c r="Z96" s="1" t="str">
        <f t="shared" si="100"/>
        <v/>
      </c>
      <c r="AB96" s="13">
        <f t="shared" ca="1" si="101"/>
        <v>46176</v>
      </c>
      <c r="AC96" s="1">
        <f t="shared" ca="1" si="102"/>
        <v>2026</v>
      </c>
      <c r="AD96" s="1" t="str">
        <f t="shared" ca="1" si="103"/>
        <v>6</v>
      </c>
      <c r="AE96" s="1">
        <f t="shared" si="104"/>
        <v>1</v>
      </c>
      <c r="AF96" s="1" t="str">
        <f t="shared" si="105"/>
        <v/>
      </c>
      <c r="AG96" s="1">
        <f t="shared" ca="1" si="106"/>
        <v>2026</v>
      </c>
      <c r="AH96" s="1">
        <f t="shared" si="107"/>
        <v>1</v>
      </c>
      <c r="AI96" s="1" t="str">
        <f t="shared" ca="1" si="108"/>
        <v>6</v>
      </c>
      <c r="AJ96" s="13" t="e">
        <f t="shared" ca="1" si="109"/>
        <v>#VALUE!</v>
      </c>
      <c r="AK96" s="1" t="e">
        <f>IF(ISBLANK(A96),"",IFERROR(MID(F96,SEARCH(", ",F96)+LEN(", "),SEARCH(" "&amp;'Exception Stores'!$A$2,F96)-SEARCH(", ",F96)-LEN(", ")),MID(F96,SEARCH(", ",F96)+LEN(", "),SEARCH(" "&amp;'Exception Stores'!$B$2,F96)-SEARCH(", ",F96)-LEN(", "))))</f>
        <v>#VALUE!</v>
      </c>
      <c r="AL96" s="1" t="e">
        <f t="shared" si="110"/>
        <v>#VALUE!</v>
      </c>
      <c r="AM96" s="15" t="e">
        <f t="shared" ca="1" si="111"/>
        <v>#VALUE!</v>
      </c>
      <c r="AN96" s="24" t="e">
        <f t="shared" ca="1" si="112"/>
        <v>#VALUE!</v>
      </c>
      <c r="AO96" s="1" t="e">
        <f t="shared" ca="1" si="113"/>
        <v>#VALUE!</v>
      </c>
      <c r="AP96" s="13" t="e">
        <f t="shared" ca="1" si="114"/>
        <v>#VALUE!</v>
      </c>
      <c r="AQ96" s="17" t="e">
        <f t="shared" ca="1" si="115"/>
        <v>#VALUE!</v>
      </c>
      <c r="AS96" s="15" t="e">
        <f t="shared" ca="1" si="116"/>
        <v>#VALUE!</v>
      </c>
      <c r="AT96" s="5">
        <f>'Exception Stores'!$D$2</f>
        <v>0.125</v>
      </c>
      <c r="AU96" s="15" t="e">
        <f t="shared" ca="1" si="117"/>
        <v>#VALUE!</v>
      </c>
      <c r="AV96" s="15" t="e">
        <f t="shared" ca="1" si="118"/>
        <v>#VALUE!</v>
      </c>
      <c r="AW96" s="15" t="e">
        <f t="shared" ca="1" si="119"/>
        <v>#VALUE!</v>
      </c>
      <c r="AX96" s="15" t="e">
        <f t="shared" ca="1" si="120"/>
        <v>#VALUE!</v>
      </c>
      <c r="AY96" s="15" t="e">
        <f t="shared" ca="1" si="121"/>
        <v>#VALUE!</v>
      </c>
      <c r="AZ96" s="1" t="e">
        <f t="shared" ca="1" si="122"/>
        <v>#VALUE!</v>
      </c>
      <c r="BA96" s="15" t="e">
        <f t="shared" ca="1" si="123"/>
        <v>#VALUE!</v>
      </c>
      <c r="BB96" s="15" t="e">
        <f t="shared" ca="1" si="124"/>
        <v>#VALUE!</v>
      </c>
      <c r="BC96" s="1" t="e">
        <f t="shared" ca="1" si="125"/>
        <v>#VALUE!</v>
      </c>
      <c r="BE96" s="15" t="str">
        <f>IF(ISBLANK('Exception Stores'!$A$6),"",'Exception Stores'!$A$6)</f>
        <v/>
      </c>
      <c r="BF96" s="15" t="str">
        <f>IF(ISBLANK('Exception Stores'!$B$6),"",'Exception Stores'!$B$6)</f>
        <v/>
      </c>
      <c r="BG96" s="1">
        <f>IF(ISBLANK('Exception Stores'!$A$6),0,IF($AN$2&gt;$BF$2,($AN$2-$BF$2)*24,0))</f>
        <v>0</v>
      </c>
      <c r="BH96" s="11">
        <f>IF(ISBLANK('Exception Stores'!$A$6),0,($BF$2-$BE$2)*24)</f>
        <v>0</v>
      </c>
      <c r="BI9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96" s="1">
        <f>IF(ISBLANK('Exception Stores'!$A$6),0,IF($AN$2&gt;$BF$2,0,IF(AND($AN$2&lt;$BF$2,$BT$2="B"),(($BF$2-$AN$2)*24)-$BS$2,($BF$2-$AN$2)*24)))</f>
        <v>0</v>
      </c>
      <c r="BL96" s="5"/>
      <c r="BM96" s="5"/>
      <c r="BN96" s="5"/>
      <c r="BO96" s="5"/>
      <c r="BP96" s="5"/>
      <c r="BV96" s="1" t="e">
        <f t="shared" ca="1" si="126"/>
        <v>#VALUE!</v>
      </c>
      <c r="BW96" s="1" t="e">
        <f t="shared" ca="1" si="127"/>
        <v>#VALUE!</v>
      </c>
      <c r="BX96" s="1" t="e">
        <f t="shared" ca="1" si="128"/>
        <v>#VALUE!</v>
      </c>
      <c r="BY96" s="1" t="e">
        <f t="shared" ca="1" si="129"/>
        <v>#VALUE!</v>
      </c>
      <c r="BZ96" s="1" t="e">
        <f t="shared" ca="1" si="130"/>
        <v>#VALUE!</v>
      </c>
      <c r="CB96" s="1" t="str">
        <f>IF(ISBLANK('Exception Stores'!$A$6),"",WEEKDAY($BF$2))</f>
        <v/>
      </c>
      <c r="CC96" s="1" t="str">
        <f>IF(ISBLANK('Exception Stores'!$A$6),"NO",IF('Exception Stores'!$A$6&lt;$AU$2,"YES","NO"))</f>
        <v>NO</v>
      </c>
      <c r="CD96" s="1" t="str">
        <f>IF(ISBLANK('Exception Stores'!$A$6),"NO",IF('Exception Stores'!$A$6&lt;$AV$2,"YES","NO"))</f>
        <v>NO</v>
      </c>
      <c r="CE96" s="1" t="str">
        <f>IF(ISBLANK('Exception Stores'!$A$6),"NO",IF('Exception Stores'!$A$6&lt;$AW$2,"YES","NO"))</f>
        <v>NO</v>
      </c>
      <c r="CF96" s="1" t="str">
        <f>IF(ISBLANK('Exception Stores'!$A$6),"NO",IF('Exception Stores'!$A$6&lt;$AX$2,"YES","NO"))</f>
        <v>NO</v>
      </c>
      <c r="CG96" s="1" t="str">
        <f>IF(ISBLANK('Exception Stores'!$A$6),"NO",IF('Exception Stores'!$A$6&lt;$AY$2,"YES","NO"))</f>
        <v>NO</v>
      </c>
      <c r="CI96" s="42" t="str">
        <f>IF(ISBLANK('Exception Stores'!$B$6),"NO",IF('Exception Stores'!$B$6&lt;=$AU$2,"YES","NO"))</f>
        <v>NO</v>
      </c>
      <c r="CJ96" s="42" t="str">
        <f>IF(ISBLANK('Exception Stores'!$B$6),"NO",IF('Exception Stores'!$B$6&lt;=$AV$2,"YES","NO"))</f>
        <v>NO</v>
      </c>
      <c r="CK96" s="1" t="str">
        <f>IF(ISBLANK('Exception Stores'!$B$6),"NO",IF('Exception Stores'!$B$6&lt;=$AW$2,"YES","NO"))</f>
        <v>NO</v>
      </c>
      <c r="CL96" s="1" t="str">
        <f>IF(ISBLANK('Exception Stores'!$B$6),"NO",IF('Exception Stores'!$B$6&lt;=$AX$2,"YES","NO"))</f>
        <v>NO</v>
      </c>
      <c r="CM96" s="1" t="str">
        <f>IF(ISBLANK('Exception Stores'!$B$6),"NO",IF('Exception Stores'!$B$6&lt;=$AY$2,"YES","NO"))</f>
        <v>NO</v>
      </c>
      <c r="CO96" s="1" t="e">
        <f ca="1">IF(AM96&lt;'Exception Stores'!$A$6,"YES","NO")</f>
        <v>#VALUE!</v>
      </c>
      <c r="CP96" s="1">
        <f t="shared" si="131"/>
        <v>0</v>
      </c>
      <c r="CQ96" s="1">
        <f t="shared" si="132"/>
        <v>0</v>
      </c>
      <c r="CR96" s="1">
        <f t="shared" si="133"/>
        <v>0</v>
      </c>
      <c r="CS96" s="1">
        <f t="shared" si="134"/>
        <v>0</v>
      </c>
      <c r="CT96" s="1">
        <f t="shared" si="135"/>
        <v>0</v>
      </c>
      <c r="CU96" s="1">
        <f t="shared" si="136"/>
        <v>0</v>
      </c>
      <c r="CW96" s="1" t="e">
        <f t="shared" ca="1" si="77"/>
        <v>#VALUE!</v>
      </c>
      <c r="CX96" s="1" t="e">
        <f t="shared" ca="1" si="78"/>
        <v>#VALUE!</v>
      </c>
      <c r="CY96" s="1" t="e">
        <f t="shared" ca="1" si="79"/>
        <v>#VALUE!</v>
      </c>
      <c r="CZ96" s="1" t="e">
        <f t="shared" ca="1" si="80"/>
        <v>#VALUE!</v>
      </c>
      <c r="DA96" s="1" t="e">
        <f t="shared" ca="1" si="81"/>
        <v>#VALUE!</v>
      </c>
      <c r="DB96" s="26" t="e">
        <f t="shared" ca="1" si="137"/>
        <v>#VALUE!</v>
      </c>
      <c r="DC96" s="1">
        <f t="shared" si="82"/>
        <v>0</v>
      </c>
      <c r="DD96" s="1">
        <f t="shared" si="83"/>
        <v>0</v>
      </c>
      <c r="DE96" s="1">
        <f t="shared" si="84"/>
        <v>0</v>
      </c>
      <c r="DF96" s="1">
        <f t="shared" si="85"/>
        <v>0</v>
      </c>
      <c r="DG96" s="1">
        <f t="shared" si="86"/>
        <v>0</v>
      </c>
      <c r="DH96" s="26">
        <f t="shared" si="138"/>
        <v>0</v>
      </c>
      <c r="DI96" s="1" t="e">
        <f t="shared" ca="1" si="139"/>
        <v>#VALUE!</v>
      </c>
      <c r="DK96" s="11" t="str">
        <f t="shared" si="87"/>
        <v/>
      </c>
      <c r="DL96" s="11" t="e">
        <f ca="1">IF(AND(NOT(ISBLANK('Exception Stores'!$A$6)),CO96="YES"),S96-$BH$2-(DI96*$BS$2)-(CU96*$BS$2),S96-(DB96*$BS$2))</f>
        <v>#VALUE!</v>
      </c>
      <c r="DM96" s="11" t="str">
        <f>IF(ISBLANK(A96),"",IF(COUNTIF(Remaps!$A$2:$A$200,B96)&gt;0,"YES",""))</f>
        <v>YES</v>
      </c>
      <c r="DN96" s="29">
        <f>IFERROR(INDEX(Remaps!$B$2:$B$200,MATCH(B96,Remaps!$A$2:$A$200,0),1),0)</f>
        <v>0</v>
      </c>
      <c r="DO96" s="11" t="e">
        <f t="shared" ca="1" si="88"/>
        <v>#VALUE!</v>
      </c>
      <c r="DP96" s="29" t="e">
        <f t="shared" si="89"/>
        <v>#VALUE!</v>
      </c>
      <c r="DQ96" s="11" t="e">
        <f ca="1">('Apollo Dock Status'!$Z$1-DP96)/DO96</f>
        <v>#VALUE!</v>
      </c>
      <c r="DR96" s="15" t="e">
        <f t="shared" ca="1" si="140"/>
        <v>#VALUE!</v>
      </c>
    </row>
    <row r="97" spans="1:122">
      <c r="A97" s="1" t="str">
        <f>IF(ISBLANK('Apollo Dock Status'!A97),"",'Apollo Dock Status'!A97)</f>
        <v/>
      </c>
      <c r="B97" s="1" t="str">
        <f>IF(ISBLANK('Apollo Dock Status'!B97),"",'Apollo Dock Status'!B97)</f>
        <v/>
      </c>
      <c r="C97" s="1" t="str">
        <f>IF(ISBLANK('Apollo Dock Status'!C97),"",'Apollo Dock Status'!C97)</f>
        <v/>
      </c>
      <c r="D97" s="1" t="str">
        <f>IF(ISBLANK('Apollo Dock Status'!D97),"",'Apollo Dock Status'!D97)</f>
        <v/>
      </c>
      <c r="E97" s="1" t="str">
        <f>IF(ISBLANK('Apollo Dock Status'!E97),"",'Apollo Dock Status'!E97)</f>
        <v/>
      </c>
      <c r="F97" s="1" t="str">
        <f>IF(ISBLANK('Apollo Dock Status'!F97),"",'Apollo Dock Status'!F97)</f>
        <v/>
      </c>
      <c r="G97" s="1" t="str">
        <f>IF(ISBLANK('Apollo Dock Status'!G97),"",'Apollo Dock Status'!G97)</f>
        <v/>
      </c>
      <c r="H97" s="1" t="str">
        <f>IF(ISBLANK('Apollo Dock Status'!H97),"",'Apollo Dock Status'!H97)</f>
        <v/>
      </c>
      <c r="I97" s="1" t="str">
        <f>IF(ISBLANK('Apollo Dock Status'!I97),"",'Apollo Dock Status'!I97)</f>
        <v/>
      </c>
      <c r="J97" s="1" t="str">
        <f>IF(ISBLANK('Apollo Dock Status'!J97),"",'Apollo Dock Status'!J97)</f>
        <v/>
      </c>
      <c r="K97" s="1" t="str">
        <f>IF(ISBLANK('Apollo Dock Status'!K97),"",'Apollo Dock Status'!K97)</f>
        <v/>
      </c>
      <c r="L97" s="1" t="str">
        <f>IF(ISBLANK('Apollo Dock Status'!L97),"",'Apollo Dock Status'!L97)</f>
        <v/>
      </c>
      <c r="M97" s="1" t="str">
        <f>IF(ISBLANK('Apollo Dock Status'!M97),"",'Apollo Dock Status'!M97)</f>
        <v/>
      </c>
      <c r="N97" s="1" t="str">
        <f>IF(ISBLANK('Apollo Dock Status'!N97),"",'Apollo Dock Status'!N97)</f>
        <v/>
      </c>
      <c r="O97" s="1" t="str">
        <f t="shared" si="90"/>
        <v/>
      </c>
      <c r="P97" s="1" t="str">
        <f t="shared" si="91"/>
        <v/>
      </c>
      <c r="Q97" s="1" t="str">
        <f t="shared" si="92"/>
        <v/>
      </c>
      <c r="R97" s="1" t="str">
        <f t="shared" si="93"/>
        <v/>
      </c>
      <c r="S97" s="11" t="str">
        <f t="shared" si="94"/>
        <v/>
      </c>
      <c r="T97" s="1" t="str">
        <f t="shared" si="95"/>
        <v/>
      </c>
      <c r="U97" s="11" t="str">
        <f t="shared" si="96"/>
        <v/>
      </c>
      <c r="V97" s="11" t="str">
        <f t="shared" si="97"/>
        <v/>
      </c>
      <c r="X97" s="1" t="str">
        <f t="shared" si="98"/>
        <v/>
      </c>
      <c r="Y97" s="1" t="str">
        <f t="shared" si="99"/>
        <v/>
      </c>
      <c r="Z97" s="1" t="str">
        <f t="shared" si="100"/>
        <v/>
      </c>
      <c r="AB97" s="13">
        <f t="shared" ca="1" si="101"/>
        <v>46176</v>
      </c>
      <c r="AC97" s="1">
        <f t="shared" ca="1" si="102"/>
        <v>2026</v>
      </c>
      <c r="AD97" s="1" t="str">
        <f t="shared" ca="1" si="103"/>
        <v>6</v>
      </c>
      <c r="AE97" s="1">
        <f t="shared" si="104"/>
        <v>1</v>
      </c>
      <c r="AF97" s="1" t="str">
        <f t="shared" si="105"/>
        <v/>
      </c>
      <c r="AG97" s="1">
        <f t="shared" ca="1" si="106"/>
        <v>2026</v>
      </c>
      <c r="AH97" s="1">
        <f t="shared" si="107"/>
        <v>1</v>
      </c>
      <c r="AI97" s="1" t="str">
        <f t="shared" ca="1" si="108"/>
        <v>6</v>
      </c>
      <c r="AJ97" s="13" t="e">
        <f t="shared" ca="1" si="109"/>
        <v>#VALUE!</v>
      </c>
      <c r="AK97" s="1" t="e">
        <f>IF(ISBLANK(A97),"",IFERROR(MID(F97,SEARCH(", ",F97)+LEN(", "),SEARCH(" "&amp;'Exception Stores'!$A$2,F97)-SEARCH(", ",F97)-LEN(", ")),MID(F97,SEARCH(", ",F97)+LEN(", "),SEARCH(" "&amp;'Exception Stores'!$B$2,F97)-SEARCH(", ",F97)-LEN(", "))))</f>
        <v>#VALUE!</v>
      </c>
      <c r="AL97" s="1" t="e">
        <f t="shared" si="110"/>
        <v>#VALUE!</v>
      </c>
      <c r="AM97" s="15" t="e">
        <f t="shared" ca="1" si="111"/>
        <v>#VALUE!</v>
      </c>
      <c r="AN97" s="24" t="e">
        <f t="shared" ca="1" si="112"/>
        <v>#VALUE!</v>
      </c>
      <c r="AO97" s="1" t="e">
        <f t="shared" ca="1" si="113"/>
        <v>#VALUE!</v>
      </c>
      <c r="AP97" s="13" t="e">
        <f t="shared" ca="1" si="114"/>
        <v>#VALUE!</v>
      </c>
      <c r="AQ97" s="17" t="e">
        <f t="shared" ca="1" si="115"/>
        <v>#VALUE!</v>
      </c>
      <c r="AS97" s="15" t="e">
        <f t="shared" ca="1" si="116"/>
        <v>#VALUE!</v>
      </c>
      <c r="AT97" s="5">
        <f>'Exception Stores'!$D$2</f>
        <v>0.125</v>
      </c>
      <c r="AU97" s="15" t="e">
        <f t="shared" ca="1" si="117"/>
        <v>#VALUE!</v>
      </c>
      <c r="AV97" s="15" t="e">
        <f t="shared" ca="1" si="118"/>
        <v>#VALUE!</v>
      </c>
      <c r="AW97" s="15" t="e">
        <f t="shared" ca="1" si="119"/>
        <v>#VALUE!</v>
      </c>
      <c r="AX97" s="15" t="e">
        <f t="shared" ca="1" si="120"/>
        <v>#VALUE!</v>
      </c>
      <c r="AY97" s="15" t="e">
        <f t="shared" ca="1" si="121"/>
        <v>#VALUE!</v>
      </c>
      <c r="AZ97" s="1" t="e">
        <f t="shared" ca="1" si="122"/>
        <v>#VALUE!</v>
      </c>
      <c r="BA97" s="15" t="e">
        <f t="shared" ca="1" si="123"/>
        <v>#VALUE!</v>
      </c>
      <c r="BB97" s="15" t="e">
        <f t="shared" ca="1" si="124"/>
        <v>#VALUE!</v>
      </c>
      <c r="BC97" s="1" t="e">
        <f t="shared" ca="1" si="125"/>
        <v>#VALUE!</v>
      </c>
      <c r="BE97" s="15" t="str">
        <f>IF(ISBLANK('Exception Stores'!$A$6),"",'Exception Stores'!$A$6)</f>
        <v/>
      </c>
      <c r="BF97" s="15" t="str">
        <f>IF(ISBLANK('Exception Stores'!$B$6),"",'Exception Stores'!$B$6)</f>
        <v/>
      </c>
      <c r="BG97" s="1">
        <f>IF(ISBLANK('Exception Stores'!$A$6),0,IF($AN$2&gt;$BF$2,($AN$2-$BF$2)*24,0))</f>
        <v>0</v>
      </c>
      <c r="BH97" s="11">
        <f>IF(ISBLANK('Exception Stores'!$A$6),0,($BF$2-$BE$2)*24)</f>
        <v>0</v>
      </c>
      <c r="BI9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97" s="1">
        <f>IF(ISBLANK('Exception Stores'!$A$6),0,IF($AN$2&gt;$BF$2,0,IF(AND($AN$2&lt;$BF$2,$BT$2="B"),(($BF$2-$AN$2)*24)-$BS$2,($BF$2-$AN$2)*24)))</f>
        <v>0</v>
      </c>
      <c r="BL97" s="5"/>
      <c r="BM97" s="5"/>
      <c r="BN97" s="5"/>
      <c r="BO97" s="5"/>
      <c r="BP97" s="5"/>
      <c r="BV97" s="1" t="e">
        <f t="shared" ca="1" si="126"/>
        <v>#VALUE!</v>
      </c>
      <c r="BW97" s="1" t="e">
        <f t="shared" ca="1" si="127"/>
        <v>#VALUE!</v>
      </c>
      <c r="BX97" s="1" t="e">
        <f t="shared" ca="1" si="128"/>
        <v>#VALUE!</v>
      </c>
      <c r="BY97" s="1" t="e">
        <f t="shared" ca="1" si="129"/>
        <v>#VALUE!</v>
      </c>
      <c r="BZ97" s="1" t="e">
        <f t="shared" ca="1" si="130"/>
        <v>#VALUE!</v>
      </c>
      <c r="CB97" s="1" t="str">
        <f>IF(ISBLANK('Exception Stores'!$A$6),"",WEEKDAY($BF$2))</f>
        <v/>
      </c>
      <c r="CC97" s="1" t="str">
        <f>IF(ISBLANK('Exception Stores'!$A$6),"NO",IF('Exception Stores'!$A$6&lt;$AU$2,"YES","NO"))</f>
        <v>NO</v>
      </c>
      <c r="CD97" s="1" t="str">
        <f>IF(ISBLANK('Exception Stores'!$A$6),"NO",IF('Exception Stores'!$A$6&lt;$AV$2,"YES","NO"))</f>
        <v>NO</v>
      </c>
      <c r="CE97" s="1" t="str">
        <f>IF(ISBLANK('Exception Stores'!$A$6),"NO",IF('Exception Stores'!$A$6&lt;$AW$2,"YES","NO"))</f>
        <v>NO</v>
      </c>
      <c r="CF97" s="1" t="str">
        <f>IF(ISBLANK('Exception Stores'!$A$6),"NO",IF('Exception Stores'!$A$6&lt;$AX$2,"YES","NO"))</f>
        <v>NO</v>
      </c>
      <c r="CG97" s="1" t="str">
        <f>IF(ISBLANK('Exception Stores'!$A$6),"NO",IF('Exception Stores'!$A$6&lt;$AY$2,"YES","NO"))</f>
        <v>NO</v>
      </c>
      <c r="CI97" s="42" t="str">
        <f>IF(ISBLANK('Exception Stores'!$B$6),"NO",IF('Exception Stores'!$B$6&lt;=$AU$2,"YES","NO"))</f>
        <v>NO</v>
      </c>
      <c r="CJ97" s="42" t="str">
        <f>IF(ISBLANK('Exception Stores'!$B$6),"NO",IF('Exception Stores'!$B$6&lt;=$AV$2,"YES","NO"))</f>
        <v>NO</v>
      </c>
      <c r="CK97" s="1" t="str">
        <f>IF(ISBLANK('Exception Stores'!$B$6),"NO",IF('Exception Stores'!$B$6&lt;=$AW$2,"YES","NO"))</f>
        <v>NO</v>
      </c>
      <c r="CL97" s="1" t="str">
        <f>IF(ISBLANK('Exception Stores'!$B$6),"NO",IF('Exception Stores'!$B$6&lt;=$AX$2,"YES","NO"))</f>
        <v>NO</v>
      </c>
      <c r="CM97" s="1" t="str">
        <f>IF(ISBLANK('Exception Stores'!$B$6),"NO",IF('Exception Stores'!$B$6&lt;=$AY$2,"YES","NO"))</f>
        <v>NO</v>
      </c>
      <c r="CO97" s="1" t="e">
        <f ca="1">IF(AM97&lt;'Exception Stores'!$A$6,"YES","NO")</f>
        <v>#VALUE!</v>
      </c>
      <c r="CP97" s="1">
        <f t="shared" si="131"/>
        <v>0</v>
      </c>
      <c r="CQ97" s="1">
        <f t="shared" si="132"/>
        <v>0</v>
      </c>
      <c r="CR97" s="1">
        <f t="shared" si="133"/>
        <v>0</v>
      </c>
      <c r="CS97" s="1">
        <f t="shared" si="134"/>
        <v>0</v>
      </c>
      <c r="CT97" s="1">
        <f t="shared" si="135"/>
        <v>0</v>
      </c>
      <c r="CU97" s="1">
        <f t="shared" si="136"/>
        <v>0</v>
      </c>
      <c r="CW97" s="1" t="e">
        <f t="shared" ca="1" si="77"/>
        <v>#VALUE!</v>
      </c>
      <c r="CX97" s="1" t="e">
        <f t="shared" ca="1" si="78"/>
        <v>#VALUE!</v>
      </c>
      <c r="CY97" s="1" t="e">
        <f t="shared" ca="1" si="79"/>
        <v>#VALUE!</v>
      </c>
      <c r="CZ97" s="1" t="e">
        <f t="shared" ca="1" si="80"/>
        <v>#VALUE!</v>
      </c>
      <c r="DA97" s="1" t="e">
        <f t="shared" ca="1" si="81"/>
        <v>#VALUE!</v>
      </c>
      <c r="DB97" s="26" t="e">
        <f t="shared" ca="1" si="137"/>
        <v>#VALUE!</v>
      </c>
      <c r="DC97" s="1">
        <f t="shared" si="82"/>
        <v>0</v>
      </c>
      <c r="DD97" s="1">
        <f t="shared" si="83"/>
        <v>0</v>
      </c>
      <c r="DE97" s="1">
        <f t="shared" si="84"/>
        <v>0</v>
      </c>
      <c r="DF97" s="1">
        <f t="shared" si="85"/>
        <v>0</v>
      </c>
      <c r="DG97" s="1">
        <f t="shared" si="86"/>
        <v>0</v>
      </c>
      <c r="DH97" s="26">
        <f t="shared" si="138"/>
        <v>0</v>
      </c>
      <c r="DI97" s="1" t="e">
        <f t="shared" ca="1" si="139"/>
        <v>#VALUE!</v>
      </c>
      <c r="DK97" s="11" t="str">
        <f t="shared" si="87"/>
        <v/>
      </c>
      <c r="DL97" s="11" t="e">
        <f ca="1">IF(AND(NOT(ISBLANK('Exception Stores'!$A$6)),CO97="YES"),S97-$BH$2-(DI97*$BS$2)-(CU97*$BS$2),S97-(DB97*$BS$2))</f>
        <v>#VALUE!</v>
      </c>
      <c r="DM97" s="11" t="str">
        <f>IF(ISBLANK(A97),"",IF(COUNTIF(Remaps!$A$2:$A$200,B97)&gt;0,"YES",""))</f>
        <v>YES</v>
      </c>
      <c r="DN97" s="29">
        <f>IFERROR(INDEX(Remaps!$B$2:$B$200,MATCH(B97,Remaps!$A$2:$A$200,0),1),0)</f>
        <v>0</v>
      </c>
      <c r="DO97" s="11" t="e">
        <f t="shared" ca="1" si="88"/>
        <v>#VALUE!</v>
      </c>
      <c r="DP97" s="29" t="e">
        <f t="shared" si="89"/>
        <v>#VALUE!</v>
      </c>
      <c r="DQ97" s="11" t="e">
        <f ca="1">('Apollo Dock Status'!$Z$1-DP97)/DO97</f>
        <v>#VALUE!</v>
      </c>
      <c r="DR97" s="15" t="e">
        <f t="shared" ca="1" si="140"/>
        <v>#VALUE!</v>
      </c>
    </row>
    <row r="98" spans="1:122">
      <c r="A98" s="1" t="str">
        <f>IF(ISBLANK('Apollo Dock Status'!A98),"",'Apollo Dock Status'!A98)</f>
        <v/>
      </c>
      <c r="B98" s="1" t="str">
        <f>IF(ISBLANK('Apollo Dock Status'!B98),"",'Apollo Dock Status'!B98)</f>
        <v/>
      </c>
      <c r="C98" s="1" t="str">
        <f>IF(ISBLANK('Apollo Dock Status'!C98),"",'Apollo Dock Status'!C98)</f>
        <v/>
      </c>
      <c r="D98" s="1" t="str">
        <f>IF(ISBLANK('Apollo Dock Status'!D98),"",'Apollo Dock Status'!D98)</f>
        <v/>
      </c>
      <c r="E98" s="1" t="str">
        <f>IF(ISBLANK('Apollo Dock Status'!E98),"",'Apollo Dock Status'!E98)</f>
        <v/>
      </c>
      <c r="F98" s="1" t="str">
        <f>IF(ISBLANK('Apollo Dock Status'!F98),"",'Apollo Dock Status'!F98)</f>
        <v/>
      </c>
      <c r="G98" s="1" t="str">
        <f>IF(ISBLANK('Apollo Dock Status'!G98),"",'Apollo Dock Status'!G98)</f>
        <v/>
      </c>
      <c r="H98" s="1" t="str">
        <f>IF(ISBLANK('Apollo Dock Status'!H98),"",'Apollo Dock Status'!H98)</f>
        <v/>
      </c>
      <c r="I98" s="1" t="str">
        <f>IF(ISBLANK('Apollo Dock Status'!I98),"",'Apollo Dock Status'!I98)</f>
        <v/>
      </c>
      <c r="J98" s="1" t="str">
        <f>IF(ISBLANK('Apollo Dock Status'!J98),"",'Apollo Dock Status'!J98)</f>
        <v/>
      </c>
      <c r="K98" s="1" t="str">
        <f>IF(ISBLANK('Apollo Dock Status'!K98),"",'Apollo Dock Status'!K98)</f>
        <v/>
      </c>
      <c r="L98" s="1" t="str">
        <f>IF(ISBLANK('Apollo Dock Status'!L98),"",'Apollo Dock Status'!L98)</f>
        <v/>
      </c>
      <c r="M98" s="1" t="str">
        <f>IF(ISBLANK('Apollo Dock Status'!M98),"",'Apollo Dock Status'!M98)</f>
        <v/>
      </c>
      <c r="N98" s="1" t="str">
        <f>IF(ISBLANK('Apollo Dock Status'!N98),"",'Apollo Dock Status'!N98)</f>
        <v/>
      </c>
      <c r="O98" s="1" t="str">
        <f t="shared" si="90"/>
        <v/>
      </c>
      <c r="P98" s="1" t="str">
        <f t="shared" si="91"/>
        <v/>
      </c>
      <c r="Q98" s="1" t="str">
        <f t="shared" si="92"/>
        <v/>
      </c>
      <c r="R98" s="1" t="str">
        <f t="shared" si="93"/>
        <v/>
      </c>
      <c r="S98" s="11" t="str">
        <f t="shared" si="94"/>
        <v/>
      </c>
      <c r="T98" s="1" t="str">
        <f t="shared" si="95"/>
        <v/>
      </c>
      <c r="U98" s="11" t="str">
        <f t="shared" si="96"/>
        <v/>
      </c>
      <c r="V98" s="11" t="str">
        <f t="shared" si="97"/>
        <v/>
      </c>
      <c r="X98" s="1" t="str">
        <f t="shared" si="98"/>
        <v/>
      </c>
      <c r="Y98" s="1" t="str">
        <f t="shared" si="99"/>
        <v/>
      </c>
      <c r="Z98" s="1" t="str">
        <f t="shared" si="100"/>
        <v/>
      </c>
      <c r="AB98" s="13">
        <f t="shared" ca="1" si="101"/>
        <v>46176</v>
      </c>
      <c r="AC98" s="1">
        <f t="shared" ca="1" si="102"/>
        <v>2026</v>
      </c>
      <c r="AD98" s="1" t="str">
        <f t="shared" ca="1" si="103"/>
        <v>6</v>
      </c>
      <c r="AE98" s="1">
        <f t="shared" si="104"/>
        <v>1</v>
      </c>
      <c r="AF98" s="1" t="str">
        <f t="shared" si="105"/>
        <v/>
      </c>
      <c r="AG98" s="1">
        <f t="shared" ca="1" si="106"/>
        <v>2026</v>
      </c>
      <c r="AH98" s="1">
        <f t="shared" si="107"/>
        <v>1</v>
      </c>
      <c r="AI98" s="1" t="str">
        <f t="shared" ca="1" si="108"/>
        <v>6</v>
      </c>
      <c r="AJ98" s="13" t="e">
        <f t="shared" ca="1" si="109"/>
        <v>#VALUE!</v>
      </c>
      <c r="AK98" s="1" t="e">
        <f>IF(ISBLANK(A98),"",IFERROR(MID(F98,SEARCH(", ",F98)+LEN(", "),SEARCH(" "&amp;'Exception Stores'!$A$2,F98)-SEARCH(", ",F98)-LEN(", ")),MID(F98,SEARCH(", ",F98)+LEN(", "),SEARCH(" "&amp;'Exception Stores'!$B$2,F98)-SEARCH(", ",F98)-LEN(", "))))</f>
        <v>#VALUE!</v>
      </c>
      <c r="AL98" s="1" t="e">
        <f t="shared" si="110"/>
        <v>#VALUE!</v>
      </c>
      <c r="AM98" s="15" t="e">
        <f t="shared" ca="1" si="111"/>
        <v>#VALUE!</v>
      </c>
      <c r="AN98" s="24" t="e">
        <f t="shared" ca="1" si="112"/>
        <v>#VALUE!</v>
      </c>
      <c r="AO98" s="1" t="e">
        <f t="shared" ca="1" si="113"/>
        <v>#VALUE!</v>
      </c>
      <c r="AP98" s="13" t="e">
        <f t="shared" ca="1" si="114"/>
        <v>#VALUE!</v>
      </c>
      <c r="AQ98" s="17" t="e">
        <f t="shared" ca="1" si="115"/>
        <v>#VALUE!</v>
      </c>
      <c r="AS98" s="15" t="e">
        <f t="shared" ca="1" si="116"/>
        <v>#VALUE!</v>
      </c>
      <c r="AT98" s="5">
        <f>'Exception Stores'!$D$2</f>
        <v>0.125</v>
      </c>
      <c r="AU98" s="15" t="e">
        <f t="shared" ca="1" si="117"/>
        <v>#VALUE!</v>
      </c>
      <c r="AV98" s="15" t="e">
        <f t="shared" ca="1" si="118"/>
        <v>#VALUE!</v>
      </c>
      <c r="AW98" s="15" t="e">
        <f t="shared" ca="1" si="119"/>
        <v>#VALUE!</v>
      </c>
      <c r="AX98" s="15" t="e">
        <f t="shared" ca="1" si="120"/>
        <v>#VALUE!</v>
      </c>
      <c r="AY98" s="15" t="e">
        <f t="shared" ca="1" si="121"/>
        <v>#VALUE!</v>
      </c>
      <c r="AZ98" s="1" t="e">
        <f t="shared" ca="1" si="122"/>
        <v>#VALUE!</v>
      </c>
      <c r="BA98" s="15" t="e">
        <f t="shared" ca="1" si="123"/>
        <v>#VALUE!</v>
      </c>
      <c r="BB98" s="15" t="e">
        <f t="shared" ca="1" si="124"/>
        <v>#VALUE!</v>
      </c>
      <c r="BC98" s="1" t="e">
        <f t="shared" ca="1" si="125"/>
        <v>#VALUE!</v>
      </c>
      <c r="BE98" s="15" t="str">
        <f>IF(ISBLANK('Exception Stores'!$A$6),"",'Exception Stores'!$A$6)</f>
        <v/>
      </c>
      <c r="BF98" s="15" t="str">
        <f>IF(ISBLANK('Exception Stores'!$B$6),"",'Exception Stores'!$B$6)</f>
        <v/>
      </c>
      <c r="BG98" s="1">
        <f>IF(ISBLANK('Exception Stores'!$A$6),0,IF($AN$2&gt;$BF$2,($AN$2-$BF$2)*24,0))</f>
        <v>0</v>
      </c>
      <c r="BH98" s="11">
        <f>IF(ISBLANK('Exception Stores'!$A$6),0,($BF$2-$BE$2)*24)</f>
        <v>0</v>
      </c>
      <c r="BI9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98" s="1">
        <f>IF(ISBLANK('Exception Stores'!$A$6),0,IF($AN$2&gt;$BF$2,0,IF(AND($AN$2&lt;$BF$2,$BT$2="B"),(($BF$2-$AN$2)*24)-$BS$2,($BF$2-$AN$2)*24)))</f>
        <v>0</v>
      </c>
      <c r="BL98" s="5"/>
      <c r="BM98" s="5"/>
      <c r="BN98" s="5"/>
      <c r="BO98" s="5"/>
      <c r="BP98" s="5"/>
      <c r="BV98" s="1" t="e">
        <f t="shared" ca="1" si="126"/>
        <v>#VALUE!</v>
      </c>
      <c r="BW98" s="1" t="e">
        <f t="shared" ca="1" si="127"/>
        <v>#VALUE!</v>
      </c>
      <c r="BX98" s="1" t="e">
        <f t="shared" ca="1" si="128"/>
        <v>#VALUE!</v>
      </c>
      <c r="BY98" s="1" t="e">
        <f t="shared" ca="1" si="129"/>
        <v>#VALUE!</v>
      </c>
      <c r="BZ98" s="1" t="e">
        <f t="shared" ca="1" si="130"/>
        <v>#VALUE!</v>
      </c>
      <c r="CB98" s="1" t="str">
        <f>IF(ISBLANK('Exception Stores'!$A$6),"",WEEKDAY($BF$2))</f>
        <v/>
      </c>
      <c r="CC98" s="1" t="str">
        <f>IF(ISBLANK('Exception Stores'!$A$6),"NO",IF('Exception Stores'!$A$6&lt;$AU$2,"YES","NO"))</f>
        <v>NO</v>
      </c>
      <c r="CD98" s="1" t="str">
        <f>IF(ISBLANK('Exception Stores'!$A$6),"NO",IF('Exception Stores'!$A$6&lt;$AV$2,"YES","NO"))</f>
        <v>NO</v>
      </c>
      <c r="CE98" s="1" t="str">
        <f>IF(ISBLANK('Exception Stores'!$A$6),"NO",IF('Exception Stores'!$A$6&lt;$AW$2,"YES","NO"))</f>
        <v>NO</v>
      </c>
      <c r="CF98" s="1" t="str">
        <f>IF(ISBLANK('Exception Stores'!$A$6),"NO",IF('Exception Stores'!$A$6&lt;$AX$2,"YES","NO"))</f>
        <v>NO</v>
      </c>
      <c r="CG98" s="1" t="str">
        <f>IF(ISBLANK('Exception Stores'!$A$6),"NO",IF('Exception Stores'!$A$6&lt;$AY$2,"YES","NO"))</f>
        <v>NO</v>
      </c>
      <c r="CI98" s="42" t="str">
        <f>IF(ISBLANK('Exception Stores'!$B$6),"NO",IF('Exception Stores'!$B$6&lt;=$AU$2,"YES","NO"))</f>
        <v>NO</v>
      </c>
      <c r="CJ98" s="42" t="str">
        <f>IF(ISBLANK('Exception Stores'!$B$6),"NO",IF('Exception Stores'!$B$6&lt;=$AV$2,"YES","NO"))</f>
        <v>NO</v>
      </c>
      <c r="CK98" s="1" t="str">
        <f>IF(ISBLANK('Exception Stores'!$B$6),"NO",IF('Exception Stores'!$B$6&lt;=$AW$2,"YES","NO"))</f>
        <v>NO</v>
      </c>
      <c r="CL98" s="1" t="str">
        <f>IF(ISBLANK('Exception Stores'!$B$6),"NO",IF('Exception Stores'!$B$6&lt;=$AX$2,"YES","NO"))</f>
        <v>NO</v>
      </c>
      <c r="CM98" s="1" t="str">
        <f>IF(ISBLANK('Exception Stores'!$B$6),"NO",IF('Exception Stores'!$B$6&lt;=$AY$2,"YES","NO"))</f>
        <v>NO</v>
      </c>
      <c r="CO98" s="1" t="e">
        <f ca="1">IF(AM98&lt;'Exception Stores'!$A$6,"YES","NO")</f>
        <v>#VALUE!</v>
      </c>
      <c r="CP98" s="1">
        <f t="shared" si="131"/>
        <v>0</v>
      </c>
      <c r="CQ98" s="1">
        <f t="shared" si="132"/>
        <v>0</v>
      </c>
      <c r="CR98" s="1">
        <f t="shared" si="133"/>
        <v>0</v>
      </c>
      <c r="CS98" s="1">
        <f t="shared" si="134"/>
        <v>0</v>
      </c>
      <c r="CT98" s="1">
        <f t="shared" si="135"/>
        <v>0</v>
      </c>
      <c r="CU98" s="1">
        <f t="shared" si="136"/>
        <v>0</v>
      </c>
      <c r="CW98" s="1" t="e">
        <f t="shared" ref="CW98:CW129" ca="1" si="141">IF(BV98="NO",0,1)</f>
        <v>#VALUE!</v>
      </c>
      <c r="CX98" s="1" t="e">
        <f t="shared" ref="CX98:CX129" ca="1" si="142">IF(BW98="NO",0,1)</f>
        <v>#VALUE!</v>
      </c>
      <c r="CY98" s="1" t="e">
        <f t="shared" ref="CY98:CY129" ca="1" si="143">IF(BX98="NO",0,1)</f>
        <v>#VALUE!</v>
      </c>
      <c r="CZ98" s="1" t="e">
        <f t="shared" ref="CZ98:CZ129" ca="1" si="144">IF(BY98="NO",0,1)</f>
        <v>#VALUE!</v>
      </c>
      <c r="DA98" s="1" t="e">
        <f t="shared" ref="DA98:DA129" ca="1" si="145">IF(BZ98="NO",0,1)</f>
        <v>#VALUE!</v>
      </c>
      <c r="DB98" s="26" t="e">
        <f t="shared" ca="1" si="137"/>
        <v>#VALUE!</v>
      </c>
      <c r="DC98" s="1">
        <f t="shared" ref="DC98:DC129" si="146">IF(CC98="NO",0,1)</f>
        <v>0</v>
      </c>
      <c r="DD98" s="1">
        <f t="shared" ref="DD98:DD129" si="147">IF(CD98="NO",0,1)</f>
        <v>0</v>
      </c>
      <c r="DE98" s="1">
        <f t="shared" ref="DE98:DE129" si="148">IF(CE98="NO",0,1)</f>
        <v>0</v>
      </c>
      <c r="DF98" s="1">
        <f t="shared" ref="DF98:DF129" si="149">IF(CF98="NO",0,1)</f>
        <v>0</v>
      </c>
      <c r="DG98" s="1">
        <f t="shared" ref="DG98:DG129" si="150">IF(CG98="NO",0,1)</f>
        <v>0</v>
      </c>
      <c r="DH98" s="26">
        <f t="shared" si="138"/>
        <v>0</v>
      </c>
      <c r="DI98" s="1" t="e">
        <f t="shared" ca="1" si="139"/>
        <v>#VALUE!</v>
      </c>
      <c r="DK98" s="11" t="str">
        <f t="shared" ref="DK98:DK129" si="151">S98</f>
        <v/>
      </c>
      <c r="DL98" s="11" t="e">
        <f ca="1">IF(AND(NOT(ISBLANK('Exception Stores'!$A$6)),CO98="YES"),S98-$BH$2-(DI98*$BS$2)-(CU98*$BS$2),S98-(DB98*$BS$2))</f>
        <v>#VALUE!</v>
      </c>
      <c r="DM98" s="11" t="str">
        <f>IF(ISBLANK(A98),"",IF(COUNTIF(Remaps!$A$2:$A$200,B98)&gt;0,"YES",""))</f>
        <v>YES</v>
      </c>
      <c r="DN98" s="29">
        <f>IFERROR(INDEX(Remaps!$B$2:$B$200,MATCH(B98,Remaps!$A$2:$A$200,0),1),0)</f>
        <v>0</v>
      </c>
      <c r="DO98" s="11" t="e">
        <f t="shared" ref="DO98:DO129" ca="1" si="152">K98/DL98</f>
        <v>#VALUE!</v>
      </c>
      <c r="DP98" s="29" t="e">
        <f t="shared" ref="DP98:DP129" si="153">DN98+K98</f>
        <v>#VALUE!</v>
      </c>
      <c r="DQ98" s="11" t="e">
        <f ca="1">('Apollo Dock Status'!$Z$1-DP98)/DO98</f>
        <v>#VALUE!</v>
      </c>
      <c r="DR98" s="15" t="e">
        <f t="shared" ca="1" si="140"/>
        <v>#VALUE!</v>
      </c>
    </row>
    <row r="99" spans="1:122">
      <c r="A99" s="1" t="str">
        <f>IF(ISBLANK('Apollo Dock Status'!A99),"",'Apollo Dock Status'!A99)</f>
        <v/>
      </c>
      <c r="B99" s="1" t="str">
        <f>IF(ISBLANK('Apollo Dock Status'!B99),"",'Apollo Dock Status'!B99)</f>
        <v/>
      </c>
      <c r="C99" s="1" t="str">
        <f>IF(ISBLANK('Apollo Dock Status'!C99),"",'Apollo Dock Status'!C99)</f>
        <v/>
      </c>
      <c r="D99" s="1" t="str">
        <f>IF(ISBLANK('Apollo Dock Status'!D99),"",'Apollo Dock Status'!D99)</f>
        <v/>
      </c>
      <c r="E99" s="1" t="str">
        <f>IF(ISBLANK('Apollo Dock Status'!E99),"",'Apollo Dock Status'!E99)</f>
        <v/>
      </c>
      <c r="F99" s="1" t="str">
        <f>IF(ISBLANK('Apollo Dock Status'!F99),"",'Apollo Dock Status'!F99)</f>
        <v/>
      </c>
      <c r="G99" s="1" t="str">
        <f>IF(ISBLANK('Apollo Dock Status'!G99),"",'Apollo Dock Status'!G99)</f>
        <v/>
      </c>
      <c r="H99" s="1" t="str">
        <f>IF(ISBLANK('Apollo Dock Status'!H99),"",'Apollo Dock Status'!H99)</f>
        <v/>
      </c>
      <c r="I99" s="1" t="str">
        <f>IF(ISBLANK('Apollo Dock Status'!I99),"",'Apollo Dock Status'!I99)</f>
        <v/>
      </c>
      <c r="J99" s="1" t="str">
        <f>IF(ISBLANK('Apollo Dock Status'!J99),"",'Apollo Dock Status'!J99)</f>
        <v/>
      </c>
      <c r="K99" s="1" t="str">
        <f>IF(ISBLANK('Apollo Dock Status'!K99),"",'Apollo Dock Status'!K99)</f>
        <v/>
      </c>
      <c r="L99" s="1" t="str">
        <f>IF(ISBLANK('Apollo Dock Status'!L99),"",'Apollo Dock Status'!L99)</f>
        <v/>
      </c>
      <c r="M99" s="1" t="str">
        <f>IF(ISBLANK('Apollo Dock Status'!M99),"",'Apollo Dock Status'!M99)</f>
        <v/>
      </c>
      <c r="N99" s="1" t="str">
        <f>IF(ISBLANK('Apollo Dock Status'!N99),"",'Apollo Dock Status'!N99)</f>
        <v/>
      </c>
      <c r="O99" s="1" t="str">
        <f t="shared" si="90"/>
        <v/>
      </c>
      <c r="P99" s="1" t="str">
        <f t="shared" si="91"/>
        <v/>
      </c>
      <c r="Q99" s="1" t="str">
        <f t="shared" si="92"/>
        <v/>
      </c>
      <c r="R99" s="1" t="str">
        <f t="shared" si="93"/>
        <v/>
      </c>
      <c r="S99" s="11" t="str">
        <f t="shared" si="94"/>
        <v/>
      </c>
      <c r="T99" s="1" t="str">
        <f t="shared" si="95"/>
        <v/>
      </c>
      <c r="U99" s="11" t="str">
        <f t="shared" si="96"/>
        <v/>
      </c>
      <c r="V99" s="11" t="str">
        <f t="shared" si="97"/>
        <v/>
      </c>
      <c r="X99" s="1" t="str">
        <f t="shared" si="98"/>
        <v/>
      </c>
      <c r="Y99" s="1" t="str">
        <f t="shared" si="99"/>
        <v/>
      </c>
      <c r="Z99" s="1" t="str">
        <f t="shared" si="100"/>
        <v/>
      </c>
      <c r="AB99" s="13">
        <f t="shared" ca="1" si="101"/>
        <v>46176</v>
      </c>
      <c r="AC99" s="1">
        <f t="shared" ca="1" si="102"/>
        <v>2026</v>
      </c>
      <c r="AD99" s="1" t="str">
        <f t="shared" ca="1" si="103"/>
        <v>6</v>
      </c>
      <c r="AE99" s="1">
        <f t="shared" si="104"/>
        <v>1</v>
      </c>
      <c r="AF99" s="1" t="str">
        <f t="shared" si="105"/>
        <v/>
      </c>
      <c r="AG99" s="1">
        <f t="shared" ca="1" si="106"/>
        <v>2026</v>
      </c>
      <c r="AH99" s="1">
        <f t="shared" si="107"/>
        <v>1</v>
      </c>
      <c r="AI99" s="1" t="str">
        <f t="shared" ca="1" si="108"/>
        <v>6</v>
      </c>
      <c r="AJ99" s="13" t="e">
        <f t="shared" ca="1" si="109"/>
        <v>#VALUE!</v>
      </c>
      <c r="AK99" s="1" t="e">
        <f>IF(ISBLANK(A99),"",IFERROR(MID(F99,SEARCH(", ",F99)+LEN(", "),SEARCH(" "&amp;'Exception Stores'!$A$2,F99)-SEARCH(", ",F99)-LEN(", ")),MID(F99,SEARCH(", ",F99)+LEN(", "),SEARCH(" "&amp;'Exception Stores'!$B$2,F99)-SEARCH(", ",F99)-LEN(", "))))</f>
        <v>#VALUE!</v>
      </c>
      <c r="AL99" s="1" t="e">
        <f t="shared" si="110"/>
        <v>#VALUE!</v>
      </c>
      <c r="AM99" s="15" t="e">
        <f t="shared" ca="1" si="111"/>
        <v>#VALUE!</v>
      </c>
      <c r="AN99" s="24" t="e">
        <f t="shared" ca="1" si="112"/>
        <v>#VALUE!</v>
      </c>
      <c r="AO99" s="1" t="e">
        <f t="shared" ca="1" si="113"/>
        <v>#VALUE!</v>
      </c>
      <c r="AP99" s="13" t="e">
        <f t="shared" ca="1" si="114"/>
        <v>#VALUE!</v>
      </c>
      <c r="AQ99" s="17" t="e">
        <f t="shared" ca="1" si="115"/>
        <v>#VALUE!</v>
      </c>
      <c r="AS99" s="15" t="e">
        <f t="shared" ca="1" si="116"/>
        <v>#VALUE!</v>
      </c>
      <c r="AT99" s="5">
        <f>'Exception Stores'!$D$2</f>
        <v>0.125</v>
      </c>
      <c r="AU99" s="15" t="e">
        <f t="shared" ca="1" si="117"/>
        <v>#VALUE!</v>
      </c>
      <c r="AV99" s="15" t="e">
        <f t="shared" ca="1" si="118"/>
        <v>#VALUE!</v>
      </c>
      <c r="AW99" s="15" t="e">
        <f t="shared" ca="1" si="119"/>
        <v>#VALUE!</v>
      </c>
      <c r="AX99" s="15" t="e">
        <f t="shared" ca="1" si="120"/>
        <v>#VALUE!</v>
      </c>
      <c r="AY99" s="15" t="e">
        <f t="shared" ca="1" si="121"/>
        <v>#VALUE!</v>
      </c>
      <c r="AZ99" s="1" t="e">
        <f t="shared" ca="1" si="122"/>
        <v>#VALUE!</v>
      </c>
      <c r="BA99" s="15" t="e">
        <f t="shared" ca="1" si="123"/>
        <v>#VALUE!</v>
      </c>
      <c r="BB99" s="15" t="e">
        <f t="shared" ca="1" si="124"/>
        <v>#VALUE!</v>
      </c>
      <c r="BC99" s="1" t="e">
        <f t="shared" ca="1" si="125"/>
        <v>#VALUE!</v>
      </c>
      <c r="BE99" s="15" t="str">
        <f>IF(ISBLANK('Exception Stores'!$A$6),"",'Exception Stores'!$A$6)</f>
        <v/>
      </c>
      <c r="BF99" s="15" t="str">
        <f>IF(ISBLANK('Exception Stores'!$B$6),"",'Exception Stores'!$B$6)</f>
        <v/>
      </c>
      <c r="BG99" s="1">
        <f>IF(ISBLANK('Exception Stores'!$A$6),0,IF($AN$2&gt;$BF$2,($AN$2-$BF$2)*24,0))</f>
        <v>0</v>
      </c>
      <c r="BH99" s="11">
        <f>IF(ISBLANK('Exception Stores'!$A$6),0,($BF$2-$BE$2)*24)</f>
        <v>0</v>
      </c>
      <c r="BI9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99" s="1">
        <f>IF(ISBLANK('Exception Stores'!$A$6),0,IF($AN$2&gt;$BF$2,0,IF(AND($AN$2&lt;$BF$2,$BT$2="B"),(($BF$2-$AN$2)*24)-$BS$2,($BF$2-$AN$2)*24)))</f>
        <v>0</v>
      </c>
      <c r="BL99" s="5"/>
      <c r="BM99" s="5"/>
      <c r="BN99" s="5"/>
      <c r="BO99" s="5"/>
      <c r="BP99" s="5"/>
      <c r="BV99" s="1" t="e">
        <f t="shared" ca="1" si="126"/>
        <v>#VALUE!</v>
      </c>
      <c r="BW99" s="1" t="e">
        <f t="shared" ca="1" si="127"/>
        <v>#VALUE!</v>
      </c>
      <c r="BX99" s="1" t="e">
        <f t="shared" ca="1" si="128"/>
        <v>#VALUE!</v>
      </c>
      <c r="BY99" s="1" t="e">
        <f t="shared" ca="1" si="129"/>
        <v>#VALUE!</v>
      </c>
      <c r="BZ99" s="1" t="e">
        <f t="shared" ca="1" si="130"/>
        <v>#VALUE!</v>
      </c>
      <c r="CB99" s="1" t="str">
        <f>IF(ISBLANK('Exception Stores'!$A$6),"",WEEKDAY($BF$2))</f>
        <v/>
      </c>
      <c r="CC99" s="1" t="str">
        <f>IF(ISBLANK('Exception Stores'!$A$6),"NO",IF('Exception Stores'!$A$6&lt;$AU$2,"YES","NO"))</f>
        <v>NO</v>
      </c>
      <c r="CD99" s="1" t="str">
        <f>IF(ISBLANK('Exception Stores'!$A$6),"NO",IF('Exception Stores'!$A$6&lt;$AV$2,"YES","NO"))</f>
        <v>NO</v>
      </c>
      <c r="CE99" s="1" t="str">
        <f>IF(ISBLANK('Exception Stores'!$A$6),"NO",IF('Exception Stores'!$A$6&lt;$AW$2,"YES","NO"))</f>
        <v>NO</v>
      </c>
      <c r="CF99" s="1" t="str">
        <f>IF(ISBLANK('Exception Stores'!$A$6),"NO",IF('Exception Stores'!$A$6&lt;$AX$2,"YES","NO"))</f>
        <v>NO</v>
      </c>
      <c r="CG99" s="1" t="str">
        <f>IF(ISBLANK('Exception Stores'!$A$6),"NO",IF('Exception Stores'!$A$6&lt;$AY$2,"YES","NO"))</f>
        <v>NO</v>
      </c>
      <c r="CI99" s="42" t="str">
        <f>IF(ISBLANK('Exception Stores'!$B$6),"NO",IF('Exception Stores'!$B$6&lt;=$AU$2,"YES","NO"))</f>
        <v>NO</v>
      </c>
      <c r="CJ99" s="42" t="str">
        <f>IF(ISBLANK('Exception Stores'!$B$6),"NO",IF('Exception Stores'!$B$6&lt;=$AV$2,"YES","NO"))</f>
        <v>NO</v>
      </c>
      <c r="CK99" s="1" t="str">
        <f>IF(ISBLANK('Exception Stores'!$B$6),"NO",IF('Exception Stores'!$B$6&lt;=$AW$2,"YES","NO"))</f>
        <v>NO</v>
      </c>
      <c r="CL99" s="1" t="str">
        <f>IF(ISBLANK('Exception Stores'!$B$6),"NO",IF('Exception Stores'!$B$6&lt;=$AX$2,"YES","NO"))</f>
        <v>NO</v>
      </c>
      <c r="CM99" s="1" t="str">
        <f>IF(ISBLANK('Exception Stores'!$B$6),"NO",IF('Exception Stores'!$B$6&lt;=$AY$2,"YES","NO"))</f>
        <v>NO</v>
      </c>
      <c r="CO99" s="1" t="e">
        <f ca="1">IF(AM99&lt;'Exception Stores'!$A$6,"YES","NO")</f>
        <v>#VALUE!</v>
      </c>
      <c r="CP99" s="1">
        <f t="shared" si="131"/>
        <v>0</v>
      </c>
      <c r="CQ99" s="1">
        <f t="shared" si="132"/>
        <v>0</v>
      </c>
      <c r="CR99" s="1">
        <f t="shared" si="133"/>
        <v>0</v>
      </c>
      <c r="CS99" s="1">
        <f t="shared" si="134"/>
        <v>0</v>
      </c>
      <c r="CT99" s="1">
        <f t="shared" si="135"/>
        <v>0</v>
      </c>
      <c r="CU99" s="1">
        <f t="shared" si="136"/>
        <v>0</v>
      </c>
      <c r="CW99" s="1" t="e">
        <f t="shared" ca="1" si="141"/>
        <v>#VALUE!</v>
      </c>
      <c r="CX99" s="1" t="e">
        <f t="shared" ca="1" si="142"/>
        <v>#VALUE!</v>
      </c>
      <c r="CY99" s="1" t="e">
        <f t="shared" ca="1" si="143"/>
        <v>#VALUE!</v>
      </c>
      <c r="CZ99" s="1" t="e">
        <f t="shared" ca="1" si="144"/>
        <v>#VALUE!</v>
      </c>
      <c r="DA99" s="1" t="e">
        <f t="shared" ca="1" si="145"/>
        <v>#VALUE!</v>
      </c>
      <c r="DB99" s="26" t="e">
        <f t="shared" ca="1" si="137"/>
        <v>#VALUE!</v>
      </c>
      <c r="DC99" s="1">
        <f t="shared" si="146"/>
        <v>0</v>
      </c>
      <c r="DD99" s="1">
        <f t="shared" si="147"/>
        <v>0</v>
      </c>
      <c r="DE99" s="1">
        <f t="shared" si="148"/>
        <v>0</v>
      </c>
      <c r="DF99" s="1">
        <f t="shared" si="149"/>
        <v>0</v>
      </c>
      <c r="DG99" s="1">
        <f t="shared" si="150"/>
        <v>0</v>
      </c>
      <c r="DH99" s="26">
        <f t="shared" si="138"/>
        <v>0</v>
      </c>
      <c r="DI99" s="1" t="e">
        <f t="shared" ca="1" si="139"/>
        <v>#VALUE!</v>
      </c>
      <c r="DK99" s="11" t="str">
        <f t="shared" si="151"/>
        <v/>
      </c>
      <c r="DL99" s="11" t="e">
        <f ca="1">IF(AND(NOT(ISBLANK('Exception Stores'!$A$6)),CO99="YES"),S99-$BH$2-(DI99*$BS$2)-(CU99*$BS$2),S99-(DB99*$BS$2))</f>
        <v>#VALUE!</v>
      </c>
      <c r="DM99" s="11" t="str">
        <f>IF(ISBLANK(A99),"",IF(COUNTIF(Remaps!$A$2:$A$200,B99)&gt;0,"YES",""))</f>
        <v>YES</v>
      </c>
      <c r="DN99" s="29">
        <f>IFERROR(INDEX(Remaps!$B$2:$B$200,MATCH(B99,Remaps!$A$2:$A$200,0),1),0)</f>
        <v>0</v>
      </c>
      <c r="DO99" s="11" t="e">
        <f t="shared" ca="1" si="152"/>
        <v>#VALUE!</v>
      </c>
      <c r="DP99" s="29" t="e">
        <f t="shared" si="153"/>
        <v>#VALUE!</v>
      </c>
      <c r="DQ99" s="11" t="e">
        <f ca="1">('Apollo Dock Status'!$Z$1-DP99)/DO99</f>
        <v>#VALUE!</v>
      </c>
      <c r="DR99" s="15" t="e">
        <f t="shared" ca="1" si="140"/>
        <v>#VALUE!</v>
      </c>
    </row>
    <row r="100" spans="1:122">
      <c r="A100" s="1" t="str">
        <f>IF(ISBLANK('Apollo Dock Status'!A100),"",'Apollo Dock Status'!A100)</f>
        <v/>
      </c>
      <c r="B100" s="1" t="str">
        <f>IF(ISBLANK('Apollo Dock Status'!B100),"",'Apollo Dock Status'!B100)</f>
        <v/>
      </c>
      <c r="C100" s="1" t="str">
        <f>IF(ISBLANK('Apollo Dock Status'!C100),"",'Apollo Dock Status'!C100)</f>
        <v/>
      </c>
      <c r="D100" s="1" t="str">
        <f>IF(ISBLANK('Apollo Dock Status'!D100),"",'Apollo Dock Status'!D100)</f>
        <v/>
      </c>
      <c r="E100" s="1" t="str">
        <f>IF(ISBLANK('Apollo Dock Status'!E100),"",'Apollo Dock Status'!E100)</f>
        <v/>
      </c>
      <c r="F100" s="1" t="str">
        <f>IF(ISBLANK('Apollo Dock Status'!F100),"",'Apollo Dock Status'!F100)</f>
        <v/>
      </c>
      <c r="G100" s="1" t="str">
        <f>IF(ISBLANK('Apollo Dock Status'!G100),"",'Apollo Dock Status'!G100)</f>
        <v/>
      </c>
      <c r="H100" s="1" t="str">
        <f>IF(ISBLANK('Apollo Dock Status'!H100),"",'Apollo Dock Status'!H100)</f>
        <v/>
      </c>
      <c r="I100" s="1" t="str">
        <f>IF(ISBLANK('Apollo Dock Status'!I100),"",'Apollo Dock Status'!I100)</f>
        <v/>
      </c>
      <c r="J100" s="1" t="str">
        <f>IF(ISBLANK('Apollo Dock Status'!J100),"",'Apollo Dock Status'!J100)</f>
        <v/>
      </c>
      <c r="K100" s="1" t="str">
        <f>IF(ISBLANK('Apollo Dock Status'!K100),"",'Apollo Dock Status'!K100)</f>
        <v/>
      </c>
      <c r="L100" s="1" t="str">
        <f>IF(ISBLANK('Apollo Dock Status'!L100),"",'Apollo Dock Status'!L100)</f>
        <v/>
      </c>
      <c r="M100" s="1" t="str">
        <f>IF(ISBLANK('Apollo Dock Status'!M100),"",'Apollo Dock Status'!M100)</f>
        <v/>
      </c>
      <c r="N100" s="1" t="str">
        <f>IF(ISBLANK('Apollo Dock Status'!N100),"",'Apollo Dock Status'!N100)</f>
        <v/>
      </c>
      <c r="O100" s="1" t="str">
        <f t="shared" si="90"/>
        <v/>
      </c>
      <c r="P100" s="1" t="str">
        <f t="shared" si="91"/>
        <v/>
      </c>
      <c r="Q100" s="1" t="str">
        <f t="shared" si="92"/>
        <v/>
      </c>
      <c r="R100" s="1" t="str">
        <f t="shared" si="93"/>
        <v/>
      </c>
      <c r="S100" s="11" t="str">
        <f t="shared" si="94"/>
        <v/>
      </c>
      <c r="T100" s="1" t="str">
        <f t="shared" si="95"/>
        <v/>
      </c>
      <c r="U100" s="11" t="str">
        <f t="shared" si="96"/>
        <v/>
      </c>
      <c r="V100" s="11" t="str">
        <f t="shared" si="97"/>
        <v/>
      </c>
      <c r="X100" s="1" t="str">
        <f t="shared" si="98"/>
        <v/>
      </c>
      <c r="Y100" s="1" t="str">
        <f t="shared" si="99"/>
        <v/>
      </c>
      <c r="Z100" s="1" t="str">
        <f t="shared" si="100"/>
        <v/>
      </c>
      <c r="AB100" s="13">
        <f t="shared" ca="1" si="101"/>
        <v>46176</v>
      </c>
      <c r="AC100" s="1">
        <f t="shared" ca="1" si="102"/>
        <v>2026</v>
      </c>
      <c r="AD100" s="1" t="str">
        <f t="shared" ca="1" si="103"/>
        <v>6</v>
      </c>
      <c r="AE100" s="1">
        <f t="shared" si="104"/>
        <v>1</v>
      </c>
      <c r="AF100" s="1" t="str">
        <f t="shared" si="105"/>
        <v/>
      </c>
      <c r="AG100" s="1">
        <f t="shared" ca="1" si="106"/>
        <v>2026</v>
      </c>
      <c r="AH100" s="1">
        <f t="shared" si="107"/>
        <v>1</v>
      </c>
      <c r="AI100" s="1" t="str">
        <f t="shared" ca="1" si="108"/>
        <v>6</v>
      </c>
      <c r="AJ100" s="13" t="e">
        <f t="shared" ca="1" si="109"/>
        <v>#VALUE!</v>
      </c>
      <c r="AK100" s="1" t="e">
        <f>IF(ISBLANK(A100),"",IFERROR(MID(F100,SEARCH(", ",F100)+LEN(", "),SEARCH(" "&amp;'Exception Stores'!$A$2,F100)-SEARCH(", ",F100)-LEN(", ")),MID(F100,SEARCH(", ",F100)+LEN(", "),SEARCH(" "&amp;'Exception Stores'!$B$2,F100)-SEARCH(", ",F100)-LEN(", "))))</f>
        <v>#VALUE!</v>
      </c>
      <c r="AL100" s="1" t="e">
        <f t="shared" si="110"/>
        <v>#VALUE!</v>
      </c>
      <c r="AM100" s="15" t="e">
        <f t="shared" ca="1" si="111"/>
        <v>#VALUE!</v>
      </c>
      <c r="AN100" s="24" t="e">
        <f t="shared" ca="1" si="112"/>
        <v>#VALUE!</v>
      </c>
      <c r="AO100" s="1" t="e">
        <f t="shared" ca="1" si="113"/>
        <v>#VALUE!</v>
      </c>
      <c r="AP100" s="13" t="e">
        <f t="shared" ca="1" si="114"/>
        <v>#VALUE!</v>
      </c>
      <c r="AQ100" s="17" t="e">
        <f t="shared" ca="1" si="115"/>
        <v>#VALUE!</v>
      </c>
      <c r="AS100" s="15" t="e">
        <f t="shared" ca="1" si="116"/>
        <v>#VALUE!</v>
      </c>
      <c r="AT100" s="5">
        <f>'Exception Stores'!$D$2</f>
        <v>0.125</v>
      </c>
      <c r="AU100" s="15" t="e">
        <f t="shared" ca="1" si="117"/>
        <v>#VALUE!</v>
      </c>
      <c r="AV100" s="15" t="e">
        <f t="shared" ca="1" si="118"/>
        <v>#VALUE!</v>
      </c>
      <c r="AW100" s="15" t="e">
        <f t="shared" ca="1" si="119"/>
        <v>#VALUE!</v>
      </c>
      <c r="AX100" s="15" t="e">
        <f t="shared" ca="1" si="120"/>
        <v>#VALUE!</v>
      </c>
      <c r="AY100" s="15" t="e">
        <f t="shared" ca="1" si="121"/>
        <v>#VALUE!</v>
      </c>
      <c r="AZ100" s="1" t="e">
        <f t="shared" ca="1" si="122"/>
        <v>#VALUE!</v>
      </c>
      <c r="BA100" s="15" t="e">
        <f t="shared" ca="1" si="123"/>
        <v>#VALUE!</v>
      </c>
      <c r="BB100" s="15" t="e">
        <f t="shared" ca="1" si="124"/>
        <v>#VALUE!</v>
      </c>
      <c r="BC100" s="1" t="e">
        <f t="shared" ca="1" si="125"/>
        <v>#VALUE!</v>
      </c>
      <c r="BE100" s="15" t="str">
        <f>IF(ISBLANK('Exception Stores'!$A$6),"",'Exception Stores'!$A$6)</f>
        <v/>
      </c>
      <c r="BF100" s="15" t="str">
        <f>IF(ISBLANK('Exception Stores'!$B$6),"",'Exception Stores'!$B$6)</f>
        <v/>
      </c>
      <c r="BG100" s="1">
        <f>IF(ISBLANK('Exception Stores'!$A$6),0,IF($AN$2&gt;$BF$2,($AN$2-$BF$2)*24,0))</f>
        <v>0</v>
      </c>
      <c r="BH100" s="11">
        <f>IF(ISBLANK('Exception Stores'!$A$6),0,($BF$2-$BE$2)*24)</f>
        <v>0</v>
      </c>
      <c r="BI10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00" s="1">
        <f>IF(ISBLANK('Exception Stores'!$A$6),0,IF($AN$2&gt;$BF$2,0,IF(AND($AN$2&lt;$BF$2,$BT$2="B"),(($BF$2-$AN$2)*24)-$BS$2,($BF$2-$AN$2)*24)))</f>
        <v>0</v>
      </c>
      <c r="BL100" s="5"/>
      <c r="BM100" s="5"/>
      <c r="BN100" s="5"/>
      <c r="BO100" s="5"/>
      <c r="BP100" s="5"/>
      <c r="BV100" s="1" t="e">
        <f t="shared" ca="1" si="126"/>
        <v>#VALUE!</v>
      </c>
      <c r="BW100" s="1" t="e">
        <f t="shared" ca="1" si="127"/>
        <v>#VALUE!</v>
      </c>
      <c r="BX100" s="1" t="e">
        <f t="shared" ca="1" si="128"/>
        <v>#VALUE!</v>
      </c>
      <c r="BY100" s="1" t="e">
        <f t="shared" ca="1" si="129"/>
        <v>#VALUE!</v>
      </c>
      <c r="BZ100" s="1" t="e">
        <f t="shared" ca="1" si="130"/>
        <v>#VALUE!</v>
      </c>
      <c r="CB100" s="1" t="str">
        <f>IF(ISBLANK('Exception Stores'!$A$6),"",WEEKDAY($BF$2))</f>
        <v/>
      </c>
      <c r="CC100" s="1" t="str">
        <f>IF(ISBLANK('Exception Stores'!$A$6),"NO",IF('Exception Stores'!$A$6&lt;$AU$2,"YES","NO"))</f>
        <v>NO</v>
      </c>
      <c r="CD100" s="1" t="str">
        <f>IF(ISBLANK('Exception Stores'!$A$6),"NO",IF('Exception Stores'!$A$6&lt;$AV$2,"YES","NO"))</f>
        <v>NO</v>
      </c>
      <c r="CE100" s="1" t="str">
        <f>IF(ISBLANK('Exception Stores'!$A$6),"NO",IF('Exception Stores'!$A$6&lt;$AW$2,"YES","NO"))</f>
        <v>NO</v>
      </c>
      <c r="CF100" s="1" t="str">
        <f>IF(ISBLANK('Exception Stores'!$A$6),"NO",IF('Exception Stores'!$A$6&lt;$AX$2,"YES","NO"))</f>
        <v>NO</v>
      </c>
      <c r="CG100" s="1" t="str">
        <f>IF(ISBLANK('Exception Stores'!$A$6),"NO",IF('Exception Stores'!$A$6&lt;$AY$2,"YES","NO"))</f>
        <v>NO</v>
      </c>
      <c r="CI100" s="42" t="str">
        <f>IF(ISBLANK('Exception Stores'!$B$6),"NO",IF('Exception Stores'!$B$6&lt;=$AU$2,"YES","NO"))</f>
        <v>NO</v>
      </c>
      <c r="CJ100" s="42" t="str">
        <f>IF(ISBLANK('Exception Stores'!$B$6),"NO",IF('Exception Stores'!$B$6&lt;=$AV$2,"YES","NO"))</f>
        <v>NO</v>
      </c>
      <c r="CK100" s="1" t="str">
        <f>IF(ISBLANK('Exception Stores'!$B$6),"NO",IF('Exception Stores'!$B$6&lt;=$AW$2,"YES","NO"))</f>
        <v>NO</v>
      </c>
      <c r="CL100" s="1" t="str">
        <f>IF(ISBLANK('Exception Stores'!$B$6),"NO",IF('Exception Stores'!$B$6&lt;=$AX$2,"YES","NO"))</f>
        <v>NO</v>
      </c>
      <c r="CM100" s="1" t="str">
        <f>IF(ISBLANK('Exception Stores'!$B$6),"NO",IF('Exception Stores'!$B$6&lt;=$AY$2,"YES","NO"))</f>
        <v>NO</v>
      </c>
      <c r="CO100" s="1" t="e">
        <f ca="1">IF(AM100&lt;'Exception Stores'!$A$6,"YES","NO")</f>
        <v>#VALUE!</v>
      </c>
      <c r="CP100" s="1">
        <f t="shared" si="131"/>
        <v>0</v>
      </c>
      <c r="CQ100" s="1">
        <f t="shared" si="132"/>
        <v>0</v>
      </c>
      <c r="CR100" s="1">
        <f t="shared" si="133"/>
        <v>0</v>
      </c>
      <c r="CS100" s="1">
        <f t="shared" si="134"/>
        <v>0</v>
      </c>
      <c r="CT100" s="1">
        <f t="shared" si="135"/>
        <v>0</v>
      </c>
      <c r="CU100" s="1">
        <f t="shared" si="136"/>
        <v>0</v>
      </c>
      <c r="CW100" s="1" t="e">
        <f t="shared" ca="1" si="141"/>
        <v>#VALUE!</v>
      </c>
      <c r="CX100" s="1" t="e">
        <f t="shared" ca="1" si="142"/>
        <v>#VALUE!</v>
      </c>
      <c r="CY100" s="1" t="e">
        <f t="shared" ca="1" si="143"/>
        <v>#VALUE!</v>
      </c>
      <c r="CZ100" s="1" t="e">
        <f t="shared" ca="1" si="144"/>
        <v>#VALUE!</v>
      </c>
      <c r="DA100" s="1" t="e">
        <f t="shared" ca="1" si="145"/>
        <v>#VALUE!</v>
      </c>
      <c r="DB100" s="26" t="e">
        <f t="shared" ca="1" si="137"/>
        <v>#VALUE!</v>
      </c>
      <c r="DC100" s="1">
        <f t="shared" si="146"/>
        <v>0</v>
      </c>
      <c r="DD100" s="1">
        <f t="shared" si="147"/>
        <v>0</v>
      </c>
      <c r="DE100" s="1">
        <f t="shared" si="148"/>
        <v>0</v>
      </c>
      <c r="DF100" s="1">
        <f t="shared" si="149"/>
        <v>0</v>
      </c>
      <c r="DG100" s="1">
        <f t="shared" si="150"/>
        <v>0</v>
      </c>
      <c r="DH100" s="26">
        <f t="shared" si="138"/>
        <v>0</v>
      </c>
      <c r="DI100" s="1" t="e">
        <f t="shared" ca="1" si="139"/>
        <v>#VALUE!</v>
      </c>
      <c r="DK100" s="11" t="str">
        <f t="shared" si="151"/>
        <v/>
      </c>
      <c r="DL100" s="11" t="e">
        <f ca="1">IF(AND(NOT(ISBLANK('Exception Stores'!$A$6)),CO100="YES"),S100-$BH$2-(DI100*$BS$2)-(CU100*$BS$2),S100-(DB100*$BS$2))</f>
        <v>#VALUE!</v>
      </c>
      <c r="DM100" s="11" t="str">
        <f>IF(ISBLANK(A100),"",IF(COUNTIF(Remaps!$A$2:$A$200,B100)&gt;0,"YES",""))</f>
        <v>YES</v>
      </c>
      <c r="DN100" s="29">
        <f>IFERROR(INDEX(Remaps!$B$2:$B$200,MATCH(B100,Remaps!$A$2:$A$200,0),1),0)</f>
        <v>0</v>
      </c>
      <c r="DO100" s="11" t="e">
        <f t="shared" ca="1" si="152"/>
        <v>#VALUE!</v>
      </c>
      <c r="DP100" s="29" t="e">
        <f t="shared" si="153"/>
        <v>#VALUE!</v>
      </c>
      <c r="DQ100" s="11" t="e">
        <f ca="1">('Apollo Dock Status'!$Z$1-DP100)/DO100</f>
        <v>#VALUE!</v>
      </c>
      <c r="DR100" s="15" t="e">
        <f t="shared" ca="1" si="140"/>
        <v>#VALUE!</v>
      </c>
    </row>
    <row r="101" spans="1:122">
      <c r="A101" s="1" t="str">
        <f>IF(ISBLANK('Apollo Dock Status'!A101),"",'Apollo Dock Status'!A101)</f>
        <v/>
      </c>
      <c r="B101" s="1" t="str">
        <f>IF(ISBLANK('Apollo Dock Status'!B101),"",'Apollo Dock Status'!B101)</f>
        <v/>
      </c>
      <c r="C101" s="1" t="str">
        <f>IF(ISBLANK('Apollo Dock Status'!C101),"",'Apollo Dock Status'!C101)</f>
        <v/>
      </c>
      <c r="D101" s="1" t="str">
        <f>IF(ISBLANK('Apollo Dock Status'!D101),"",'Apollo Dock Status'!D101)</f>
        <v/>
      </c>
      <c r="E101" s="1" t="str">
        <f>IF(ISBLANK('Apollo Dock Status'!E101),"",'Apollo Dock Status'!E101)</f>
        <v/>
      </c>
      <c r="F101" s="1" t="str">
        <f>IF(ISBLANK('Apollo Dock Status'!F101),"",'Apollo Dock Status'!F101)</f>
        <v/>
      </c>
      <c r="G101" s="1" t="str">
        <f>IF(ISBLANK('Apollo Dock Status'!G101),"",'Apollo Dock Status'!G101)</f>
        <v/>
      </c>
      <c r="H101" s="1" t="str">
        <f>IF(ISBLANK('Apollo Dock Status'!H101),"",'Apollo Dock Status'!H101)</f>
        <v/>
      </c>
      <c r="I101" s="1" t="str">
        <f>IF(ISBLANK('Apollo Dock Status'!I101),"",'Apollo Dock Status'!I101)</f>
        <v/>
      </c>
      <c r="J101" s="1" t="str">
        <f>IF(ISBLANK('Apollo Dock Status'!J101),"",'Apollo Dock Status'!J101)</f>
        <v/>
      </c>
      <c r="K101" s="1" t="str">
        <f>IF(ISBLANK('Apollo Dock Status'!K101),"",'Apollo Dock Status'!K101)</f>
        <v/>
      </c>
      <c r="L101" s="1" t="str">
        <f>IF(ISBLANK('Apollo Dock Status'!L101),"",'Apollo Dock Status'!L101)</f>
        <v/>
      </c>
      <c r="M101" s="1" t="str">
        <f>IF(ISBLANK('Apollo Dock Status'!M101),"",'Apollo Dock Status'!M101)</f>
        <v/>
      </c>
      <c r="N101" s="1" t="str">
        <f>IF(ISBLANK('Apollo Dock Status'!N101),"",'Apollo Dock Status'!N101)</f>
        <v/>
      </c>
      <c r="O101" s="1" t="str">
        <f t="shared" si="90"/>
        <v/>
      </c>
      <c r="P101" s="1" t="str">
        <f t="shared" si="91"/>
        <v/>
      </c>
      <c r="Q101" s="1" t="str">
        <f t="shared" si="92"/>
        <v/>
      </c>
      <c r="R101" s="1" t="str">
        <f t="shared" si="93"/>
        <v/>
      </c>
      <c r="S101" s="11" t="str">
        <f t="shared" si="94"/>
        <v/>
      </c>
      <c r="T101" s="1" t="str">
        <f t="shared" si="95"/>
        <v/>
      </c>
      <c r="U101" s="11" t="str">
        <f t="shared" si="96"/>
        <v/>
      </c>
      <c r="V101" s="11" t="str">
        <f t="shared" si="97"/>
        <v/>
      </c>
      <c r="X101" s="1" t="str">
        <f t="shared" si="98"/>
        <v/>
      </c>
      <c r="Y101" s="1" t="str">
        <f t="shared" si="99"/>
        <v/>
      </c>
      <c r="Z101" s="1" t="str">
        <f t="shared" si="100"/>
        <v/>
      </c>
      <c r="AB101" s="13">
        <f t="shared" ca="1" si="101"/>
        <v>46176</v>
      </c>
      <c r="AC101" s="1">
        <f t="shared" ca="1" si="102"/>
        <v>2026</v>
      </c>
      <c r="AD101" s="1" t="str">
        <f t="shared" ca="1" si="103"/>
        <v>6</v>
      </c>
      <c r="AE101" s="1">
        <f t="shared" si="104"/>
        <v>1</v>
      </c>
      <c r="AF101" s="1" t="str">
        <f t="shared" si="105"/>
        <v/>
      </c>
      <c r="AG101" s="1">
        <f t="shared" ca="1" si="106"/>
        <v>2026</v>
      </c>
      <c r="AH101" s="1">
        <f t="shared" si="107"/>
        <v>1</v>
      </c>
      <c r="AI101" s="1" t="str">
        <f t="shared" ca="1" si="108"/>
        <v>6</v>
      </c>
      <c r="AJ101" s="13" t="e">
        <f t="shared" ca="1" si="109"/>
        <v>#VALUE!</v>
      </c>
      <c r="AK101" s="1" t="e">
        <f>IF(ISBLANK(A101),"",IFERROR(MID(F101,SEARCH(", ",F101)+LEN(", "),SEARCH(" "&amp;'Exception Stores'!$A$2,F101)-SEARCH(", ",F101)-LEN(", ")),MID(F101,SEARCH(", ",F101)+LEN(", "),SEARCH(" "&amp;'Exception Stores'!$B$2,F101)-SEARCH(", ",F101)-LEN(", "))))</f>
        <v>#VALUE!</v>
      </c>
      <c r="AL101" s="1" t="e">
        <f t="shared" si="110"/>
        <v>#VALUE!</v>
      </c>
      <c r="AM101" s="15" t="e">
        <f t="shared" ca="1" si="111"/>
        <v>#VALUE!</v>
      </c>
      <c r="AN101" s="24" t="e">
        <f t="shared" ca="1" si="112"/>
        <v>#VALUE!</v>
      </c>
      <c r="AO101" s="1" t="e">
        <f t="shared" ca="1" si="113"/>
        <v>#VALUE!</v>
      </c>
      <c r="AP101" s="13" t="e">
        <f t="shared" ca="1" si="114"/>
        <v>#VALUE!</v>
      </c>
      <c r="AQ101" s="17" t="e">
        <f t="shared" ca="1" si="115"/>
        <v>#VALUE!</v>
      </c>
      <c r="AS101" s="15" t="e">
        <f t="shared" ca="1" si="116"/>
        <v>#VALUE!</v>
      </c>
      <c r="AT101" s="5">
        <f>'Exception Stores'!$D$2</f>
        <v>0.125</v>
      </c>
      <c r="AU101" s="15" t="e">
        <f t="shared" ca="1" si="117"/>
        <v>#VALUE!</v>
      </c>
      <c r="AV101" s="15" t="e">
        <f t="shared" ca="1" si="118"/>
        <v>#VALUE!</v>
      </c>
      <c r="AW101" s="15" t="e">
        <f t="shared" ca="1" si="119"/>
        <v>#VALUE!</v>
      </c>
      <c r="AX101" s="15" t="e">
        <f t="shared" ca="1" si="120"/>
        <v>#VALUE!</v>
      </c>
      <c r="AY101" s="15" t="e">
        <f t="shared" ca="1" si="121"/>
        <v>#VALUE!</v>
      </c>
      <c r="AZ101" s="1" t="e">
        <f t="shared" ca="1" si="122"/>
        <v>#VALUE!</v>
      </c>
      <c r="BA101" s="15" t="e">
        <f t="shared" ca="1" si="123"/>
        <v>#VALUE!</v>
      </c>
      <c r="BB101" s="15" t="e">
        <f t="shared" ca="1" si="124"/>
        <v>#VALUE!</v>
      </c>
      <c r="BC101" s="1" t="e">
        <f t="shared" ca="1" si="125"/>
        <v>#VALUE!</v>
      </c>
      <c r="BE101" s="15" t="str">
        <f>IF(ISBLANK('Exception Stores'!$A$6),"",'Exception Stores'!$A$6)</f>
        <v/>
      </c>
      <c r="BF101" s="15" t="str">
        <f>IF(ISBLANK('Exception Stores'!$B$6),"",'Exception Stores'!$B$6)</f>
        <v/>
      </c>
      <c r="BG101" s="1">
        <f>IF(ISBLANK('Exception Stores'!$A$6),0,IF($AN$2&gt;$BF$2,($AN$2-$BF$2)*24,0))</f>
        <v>0</v>
      </c>
      <c r="BH101" s="11">
        <f>IF(ISBLANK('Exception Stores'!$A$6),0,($BF$2-$BE$2)*24)</f>
        <v>0</v>
      </c>
      <c r="BI10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01" s="1">
        <f>IF(ISBLANK('Exception Stores'!$A$6),0,IF($AN$2&gt;$BF$2,0,IF(AND($AN$2&lt;$BF$2,$BT$2="B"),(($BF$2-$AN$2)*24)-$BS$2,($BF$2-$AN$2)*24)))</f>
        <v>0</v>
      </c>
      <c r="BL101" s="5"/>
      <c r="BM101" s="5"/>
      <c r="BN101" s="5"/>
      <c r="BO101" s="5"/>
      <c r="BP101" s="5"/>
      <c r="BV101" s="1" t="e">
        <f t="shared" ca="1" si="126"/>
        <v>#VALUE!</v>
      </c>
      <c r="BW101" s="1" t="e">
        <f t="shared" ca="1" si="127"/>
        <v>#VALUE!</v>
      </c>
      <c r="BX101" s="1" t="e">
        <f t="shared" ca="1" si="128"/>
        <v>#VALUE!</v>
      </c>
      <c r="BY101" s="1" t="e">
        <f t="shared" ca="1" si="129"/>
        <v>#VALUE!</v>
      </c>
      <c r="BZ101" s="1" t="e">
        <f t="shared" ca="1" si="130"/>
        <v>#VALUE!</v>
      </c>
      <c r="CB101" s="1" t="str">
        <f>IF(ISBLANK('Exception Stores'!$A$6),"",WEEKDAY($BF$2))</f>
        <v/>
      </c>
      <c r="CC101" s="1" t="str">
        <f>IF(ISBLANK('Exception Stores'!$A$6),"NO",IF('Exception Stores'!$A$6&lt;$AU$2,"YES","NO"))</f>
        <v>NO</v>
      </c>
      <c r="CD101" s="1" t="str">
        <f>IF(ISBLANK('Exception Stores'!$A$6),"NO",IF('Exception Stores'!$A$6&lt;$AV$2,"YES","NO"))</f>
        <v>NO</v>
      </c>
      <c r="CE101" s="1" t="str">
        <f>IF(ISBLANK('Exception Stores'!$A$6),"NO",IF('Exception Stores'!$A$6&lt;$AW$2,"YES","NO"))</f>
        <v>NO</v>
      </c>
      <c r="CF101" s="1" t="str">
        <f>IF(ISBLANK('Exception Stores'!$A$6),"NO",IF('Exception Stores'!$A$6&lt;$AX$2,"YES","NO"))</f>
        <v>NO</v>
      </c>
      <c r="CG101" s="1" t="str">
        <f>IF(ISBLANK('Exception Stores'!$A$6),"NO",IF('Exception Stores'!$A$6&lt;$AY$2,"YES","NO"))</f>
        <v>NO</v>
      </c>
      <c r="CI101" s="42" t="str">
        <f>IF(ISBLANK('Exception Stores'!$B$6),"NO",IF('Exception Stores'!$B$6&lt;=$AU$2,"YES","NO"))</f>
        <v>NO</v>
      </c>
      <c r="CJ101" s="42" t="str">
        <f>IF(ISBLANK('Exception Stores'!$B$6),"NO",IF('Exception Stores'!$B$6&lt;=$AV$2,"YES","NO"))</f>
        <v>NO</v>
      </c>
      <c r="CK101" s="1" t="str">
        <f>IF(ISBLANK('Exception Stores'!$B$6),"NO",IF('Exception Stores'!$B$6&lt;=$AW$2,"YES","NO"))</f>
        <v>NO</v>
      </c>
      <c r="CL101" s="1" t="str">
        <f>IF(ISBLANK('Exception Stores'!$B$6),"NO",IF('Exception Stores'!$B$6&lt;=$AX$2,"YES","NO"))</f>
        <v>NO</v>
      </c>
      <c r="CM101" s="1" t="str">
        <f>IF(ISBLANK('Exception Stores'!$B$6),"NO",IF('Exception Stores'!$B$6&lt;=$AY$2,"YES","NO"))</f>
        <v>NO</v>
      </c>
      <c r="CO101" s="1" t="e">
        <f ca="1">IF(AM101&lt;'Exception Stores'!$A$6,"YES","NO")</f>
        <v>#VALUE!</v>
      </c>
      <c r="CP101" s="1">
        <f t="shared" si="131"/>
        <v>0</v>
      </c>
      <c r="CQ101" s="1">
        <f t="shared" si="132"/>
        <v>0</v>
      </c>
      <c r="CR101" s="1">
        <f t="shared" si="133"/>
        <v>0</v>
      </c>
      <c r="CS101" s="1">
        <f t="shared" si="134"/>
        <v>0</v>
      </c>
      <c r="CT101" s="1">
        <f t="shared" si="135"/>
        <v>0</v>
      </c>
      <c r="CU101" s="1">
        <f t="shared" si="136"/>
        <v>0</v>
      </c>
      <c r="CW101" s="1" t="e">
        <f t="shared" ca="1" si="141"/>
        <v>#VALUE!</v>
      </c>
      <c r="CX101" s="1" t="e">
        <f t="shared" ca="1" si="142"/>
        <v>#VALUE!</v>
      </c>
      <c r="CY101" s="1" t="e">
        <f t="shared" ca="1" si="143"/>
        <v>#VALUE!</v>
      </c>
      <c r="CZ101" s="1" t="e">
        <f t="shared" ca="1" si="144"/>
        <v>#VALUE!</v>
      </c>
      <c r="DA101" s="1" t="e">
        <f t="shared" ca="1" si="145"/>
        <v>#VALUE!</v>
      </c>
      <c r="DB101" s="26" t="e">
        <f t="shared" ca="1" si="137"/>
        <v>#VALUE!</v>
      </c>
      <c r="DC101" s="1">
        <f t="shared" si="146"/>
        <v>0</v>
      </c>
      <c r="DD101" s="1">
        <f t="shared" si="147"/>
        <v>0</v>
      </c>
      <c r="DE101" s="1">
        <f t="shared" si="148"/>
        <v>0</v>
      </c>
      <c r="DF101" s="1">
        <f t="shared" si="149"/>
        <v>0</v>
      </c>
      <c r="DG101" s="1">
        <f t="shared" si="150"/>
        <v>0</v>
      </c>
      <c r="DH101" s="26">
        <f t="shared" si="138"/>
        <v>0</v>
      </c>
      <c r="DI101" s="1" t="e">
        <f t="shared" ca="1" si="139"/>
        <v>#VALUE!</v>
      </c>
      <c r="DK101" s="11" t="str">
        <f t="shared" si="151"/>
        <v/>
      </c>
      <c r="DL101" s="11" t="e">
        <f ca="1">IF(AND(NOT(ISBLANK('Exception Stores'!$A$6)),CO101="YES"),S101-$BH$2-(DI101*$BS$2)-(CU101*$BS$2),S101-(DB101*$BS$2))</f>
        <v>#VALUE!</v>
      </c>
      <c r="DM101" s="11" t="str">
        <f>IF(ISBLANK(A101),"",IF(COUNTIF(Remaps!$A$2:$A$200,B101)&gt;0,"YES",""))</f>
        <v>YES</v>
      </c>
      <c r="DN101" s="29">
        <f>IFERROR(INDEX(Remaps!$B$2:$B$200,MATCH(B101,Remaps!$A$2:$A$200,0),1),0)</f>
        <v>0</v>
      </c>
      <c r="DO101" s="11" t="e">
        <f t="shared" ca="1" si="152"/>
        <v>#VALUE!</v>
      </c>
      <c r="DP101" s="29" t="e">
        <f t="shared" si="153"/>
        <v>#VALUE!</v>
      </c>
      <c r="DQ101" s="11" t="e">
        <f ca="1">('Apollo Dock Status'!$Z$1-DP101)/DO101</f>
        <v>#VALUE!</v>
      </c>
      <c r="DR101" s="15" t="e">
        <f t="shared" ca="1" si="140"/>
        <v>#VALUE!</v>
      </c>
    </row>
    <row r="102" spans="1:122">
      <c r="A102" s="1" t="str">
        <f>IF(ISBLANK('Apollo Dock Status'!A102),"",'Apollo Dock Status'!A102)</f>
        <v/>
      </c>
      <c r="B102" s="1" t="str">
        <f>IF(ISBLANK('Apollo Dock Status'!B102),"",'Apollo Dock Status'!B102)</f>
        <v/>
      </c>
      <c r="C102" s="1" t="str">
        <f>IF(ISBLANK('Apollo Dock Status'!C102),"",'Apollo Dock Status'!C102)</f>
        <v/>
      </c>
      <c r="D102" s="1" t="str">
        <f>IF(ISBLANK('Apollo Dock Status'!D102),"",'Apollo Dock Status'!D102)</f>
        <v/>
      </c>
      <c r="E102" s="1" t="str">
        <f>IF(ISBLANK('Apollo Dock Status'!E102),"",'Apollo Dock Status'!E102)</f>
        <v/>
      </c>
      <c r="F102" s="1" t="str">
        <f>IF(ISBLANK('Apollo Dock Status'!F102),"",'Apollo Dock Status'!F102)</f>
        <v/>
      </c>
      <c r="G102" s="1" t="str">
        <f>IF(ISBLANK('Apollo Dock Status'!G102),"",'Apollo Dock Status'!G102)</f>
        <v/>
      </c>
      <c r="H102" s="1" t="str">
        <f>IF(ISBLANK('Apollo Dock Status'!H102),"",'Apollo Dock Status'!H102)</f>
        <v/>
      </c>
      <c r="I102" s="1" t="str">
        <f>IF(ISBLANK('Apollo Dock Status'!I102),"",'Apollo Dock Status'!I102)</f>
        <v/>
      </c>
      <c r="J102" s="1" t="str">
        <f>IF(ISBLANK('Apollo Dock Status'!J102),"",'Apollo Dock Status'!J102)</f>
        <v/>
      </c>
      <c r="K102" s="1" t="str">
        <f>IF(ISBLANK('Apollo Dock Status'!K102),"",'Apollo Dock Status'!K102)</f>
        <v/>
      </c>
      <c r="L102" s="1" t="str">
        <f>IF(ISBLANK('Apollo Dock Status'!L102),"",'Apollo Dock Status'!L102)</f>
        <v/>
      </c>
      <c r="M102" s="1" t="str">
        <f>IF(ISBLANK('Apollo Dock Status'!M102),"",'Apollo Dock Status'!M102)</f>
        <v/>
      </c>
      <c r="N102" s="1" t="str">
        <f>IF(ISBLANK('Apollo Dock Status'!N102),"",'Apollo Dock Status'!N102)</f>
        <v/>
      </c>
      <c r="O102" s="1" t="str">
        <f t="shared" si="90"/>
        <v/>
      </c>
      <c r="P102" s="1" t="str">
        <f t="shared" si="91"/>
        <v/>
      </c>
      <c r="Q102" s="1" t="str">
        <f t="shared" si="92"/>
        <v/>
      </c>
      <c r="R102" s="1" t="str">
        <f t="shared" si="93"/>
        <v/>
      </c>
      <c r="S102" s="11" t="str">
        <f t="shared" si="94"/>
        <v/>
      </c>
      <c r="T102" s="1" t="str">
        <f t="shared" si="95"/>
        <v/>
      </c>
      <c r="U102" s="11" t="str">
        <f t="shared" si="96"/>
        <v/>
      </c>
      <c r="V102" s="11" t="str">
        <f t="shared" si="97"/>
        <v/>
      </c>
      <c r="X102" s="1" t="str">
        <f t="shared" si="98"/>
        <v/>
      </c>
      <c r="Y102" s="1" t="str">
        <f t="shared" si="99"/>
        <v/>
      </c>
      <c r="Z102" s="1" t="str">
        <f t="shared" si="100"/>
        <v/>
      </c>
      <c r="AB102" s="13">
        <f t="shared" ca="1" si="101"/>
        <v>46176</v>
      </c>
      <c r="AC102" s="1">
        <f t="shared" ca="1" si="102"/>
        <v>2026</v>
      </c>
      <c r="AD102" s="1" t="str">
        <f t="shared" ca="1" si="103"/>
        <v>6</v>
      </c>
      <c r="AE102" s="1">
        <f t="shared" si="104"/>
        <v>1</v>
      </c>
      <c r="AF102" s="1" t="str">
        <f t="shared" si="105"/>
        <v/>
      </c>
      <c r="AG102" s="1">
        <f t="shared" ca="1" si="106"/>
        <v>2026</v>
      </c>
      <c r="AH102" s="1">
        <f t="shared" si="107"/>
        <v>1</v>
      </c>
      <c r="AI102" s="1" t="str">
        <f t="shared" ca="1" si="108"/>
        <v>6</v>
      </c>
      <c r="AJ102" s="13" t="e">
        <f t="shared" ca="1" si="109"/>
        <v>#VALUE!</v>
      </c>
      <c r="AK102" s="1" t="e">
        <f>IF(ISBLANK(A102),"",IFERROR(MID(F102,SEARCH(", ",F102)+LEN(", "),SEARCH(" "&amp;'Exception Stores'!$A$2,F102)-SEARCH(", ",F102)-LEN(", ")),MID(F102,SEARCH(", ",F102)+LEN(", "),SEARCH(" "&amp;'Exception Stores'!$B$2,F102)-SEARCH(", ",F102)-LEN(", "))))</f>
        <v>#VALUE!</v>
      </c>
      <c r="AL102" s="1" t="e">
        <f t="shared" si="110"/>
        <v>#VALUE!</v>
      </c>
      <c r="AM102" s="15" t="e">
        <f t="shared" ca="1" si="111"/>
        <v>#VALUE!</v>
      </c>
      <c r="AN102" s="24" t="e">
        <f t="shared" ca="1" si="112"/>
        <v>#VALUE!</v>
      </c>
      <c r="AO102" s="1" t="e">
        <f t="shared" ca="1" si="113"/>
        <v>#VALUE!</v>
      </c>
      <c r="AP102" s="13" t="e">
        <f t="shared" ca="1" si="114"/>
        <v>#VALUE!</v>
      </c>
      <c r="AQ102" s="17" t="e">
        <f t="shared" ca="1" si="115"/>
        <v>#VALUE!</v>
      </c>
      <c r="AS102" s="15" t="e">
        <f t="shared" ca="1" si="116"/>
        <v>#VALUE!</v>
      </c>
      <c r="AT102" s="5">
        <f>'Exception Stores'!$D$2</f>
        <v>0.125</v>
      </c>
      <c r="AU102" s="15" t="e">
        <f t="shared" ca="1" si="117"/>
        <v>#VALUE!</v>
      </c>
      <c r="AV102" s="15" t="e">
        <f t="shared" ca="1" si="118"/>
        <v>#VALUE!</v>
      </c>
      <c r="AW102" s="15" t="e">
        <f t="shared" ca="1" si="119"/>
        <v>#VALUE!</v>
      </c>
      <c r="AX102" s="15" t="e">
        <f t="shared" ca="1" si="120"/>
        <v>#VALUE!</v>
      </c>
      <c r="AY102" s="15" t="e">
        <f t="shared" ca="1" si="121"/>
        <v>#VALUE!</v>
      </c>
      <c r="AZ102" s="1" t="e">
        <f t="shared" ca="1" si="122"/>
        <v>#VALUE!</v>
      </c>
      <c r="BA102" s="15" t="e">
        <f t="shared" ca="1" si="123"/>
        <v>#VALUE!</v>
      </c>
      <c r="BB102" s="15" t="e">
        <f t="shared" ca="1" si="124"/>
        <v>#VALUE!</v>
      </c>
      <c r="BC102" s="1" t="e">
        <f t="shared" ca="1" si="125"/>
        <v>#VALUE!</v>
      </c>
      <c r="BE102" s="15" t="str">
        <f>IF(ISBLANK('Exception Stores'!$A$6),"",'Exception Stores'!$A$6)</f>
        <v/>
      </c>
      <c r="BF102" s="15" t="str">
        <f>IF(ISBLANK('Exception Stores'!$B$6),"",'Exception Stores'!$B$6)</f>
        <v/>
      </c>
      <c r="BG102" s="1">
        <f>IF(ISBLANK('Exception Stores'!$A$6),0,IF($AN$2&gt;$BF$2,($AN$2-$BF$2)*24,0))</f>
        <v>0</v>
      </c>
      <c r="BH102" s="11">
        <f>IF(ISBLANK('Exception Stores'!$A$6),0,($BF$2-$BE$2)*24)</f>
        <v>0</v>
      </c>
      <c r="BI10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02" s="1">
        <f>IF(ISBLANK('Exception Stores'!$A$6),0,IF($AN$2&gt;$BF$2,0,IF(AND($AN$2&lt;$BF$2,$BT$2="B"),(($BF$2-$AN$2)*24)-$BS$2,($BF$2-$AN$2)*24)))</f>
        <v>0</v>
      </c>
      <c r="BL102" s="5"/>
      <c r="BM102" s="5"/>
      <c r="BN102" s="5"/>
      <c r="BO102" s="5"/>
      <c r="BP102" s="5"/>
      <c r="BV102" s="1" t="e">
        <f t="shared" ca="1" si="126"/>
        <v>#VALUE!</v>
      </c>
      <c r="BW102" s="1" t="e">
        <f t="shared" ca="1" si="127"/>
        <v>#VALUE!</v>
      </c>
      <c r="BX102" s="1" t="e">
        <f t="shared" ca="1" si="128"/>
        <v>#VALUE!</v>
      </c>
      <c r="BY102" s="1" t="e">
        <f t="shared" ca="1" si="129"/>
        <v>#VALUE!</v>
      </c>
      <c r="BZ102" s="1" t="e">
        <f t="shared" ca="1" si="130"/>
        <v>#VALUE!</v>
      </c>
      <c r="CB102" s="1" t="str">
        <f>IF(ISBLANK('Exception Stores'!$A$6),"",WEEKDAY($BF$2))</f>
        <v/>
      </c>
      <c r="CC102" s="1" t="str">
        <f>IF(ISBLANK('Exception Stores'!$A$6),"NO",IF('Exception Stores'!$A$6&lt;$AU$2,"YES","NO"))</f>
        <v>NO</v>
      </c>
      <c r="CD102" s="1" t="str">
        <f>IF(ISBLANK('Exception Stores'!$A$6),"NO",IF('Exception Stores'!$A$6&lt;$AV$2,"YES","NO"))</f>
        <v>NO</v>
      </c>
      <c r="CE102" s="1" t="str">
        <f>IF(ISBLANK('Exception Stores'!$A$6),"NO",IF('Exception Stores'!$A$6&lt;$AW$2,"YES","NO"))</f>
        <v>NO</v>
      </c>
      <c r="CF102" s="1" t="str">
        <f>IF(ISBLANK('Exception Stores'!$A$6),"NO",IF('Exception Stores'!$A$6&lt;$AX$2,"YES","NO"))</f>
        <v>NO</v>
      </c>
      <c r="CG102" s="1" t="str">
        <f>IF(ISBLANK('Exception Stores'!$A$6),"NO",IF('Exception Stores'!$A$6&lt;$AY$2,"YES","NO"))</f>
        <v>NO</v>
      </c>
      <c r="CI102" s="42" t="str">
        <f>IF(ISBLANK('Exception Stores'!$B$6),"NO",IF('Exception Stores'!$B$6&lt;=$AU$2,"YES","NO"))</f>
        <v>NO</v>
      </c>
      <c r="CJ102" s="42" t="str">
        <f>IF(ISBLANK('Exception Stores'!$B$6),"NO",IF('Exception Stores'!$B$6&lt;=$AV$2,"YES","NO"))</f>
        <v>NO</v>
      </c>
      <c r="CK102" s="1" t="str">
        <f>IF(ISBLANK('Exception Stores'!$B$6),"NO",IF('Exception Stores'!$B$6&lt;=$AW$2,"YES","NO"))</f>
        <v>NO</v>
      </c>
      <c r="CL102" s="1" t="str">
        <f>IF(ISBLANK('Exception Stores'!$B$6),"NO",IF('Exception Stores'!$B$6&lt;=$AX$2,"YES","NO"))</f>
        <v>NO</v>
      </c>
      <c r="CM102" s="1" t="str">
        <f>IF(ISBLANK('Exception Stores'!$B$6),"NO",IF('Exception Stores'!$B$6&lt;=$AY$2,"YES","NO"))</f>
        <v>NO</v>
      </c>
      <c r="CO102" s="1" t="e">
        <f ca="1">IF(AM102&lt;'Exception Stores'!$A$6,"YES","NO")</f>
        <v>#VALUE!</v>
      </c>
      <c r="CP102" s="1">
        <f t="shared" si="131"/>
        <v>0</v>
      </c>
      <c r="CQ102" s="1">
        <f t="shared" si="132"/>
        <v>0</v>
      </c>
      <c r="CR102" s="1">
        <f t="shared" si="133"/>
        <v>0</v>
      </c>
      <c r="CS102" s="1">
        <f t="shared" si="134"/>
        <v>0</v>
      </c>
      <c r="CT102" s="1">
        <f t="shared" si="135"/>
        <v>0</v>
      </c>
      <c r="CU102" s="1">
        <f t="shared" si="136"/>
        <v>0</v>
      </c>
      <c r="CW102" s="1" t="e">
        <f t="shared" ca="1" si="141"/>
        <v>#VALUE!</v>
      </c>
      <c r="CX102" s="1" t="e">
        <f t="shared" ca="1" si="142"/>
        <v>#VALUE!</v>
      </c>
      <c r="CY102" s="1" t="e">
        <f t="shared" ca="1" si="143"/>
        <v>#VALUE!</v>
      </c>
      <c r="CZ102" s="1" t="e">
        <f t="shared" ca="1" si="144"/>
        <v>#VALUE!</v>
      </c>
      <c r="DA102" s="1" t="e">
        <f t="shared" ca="1" si="145"/>
        <v>#VALUE!</v>
      </c>
      <c r="DB102" s="26" t="e">
        <f t="shared" ca="1" si="137"/>
        <v>#VALUE!</v>
      </c>
      <c r="DC102" s="1">
        <f t="shared" si="146"/>
        <v>0</v>
      </c>
      <c r="DD102" s="1">
        <f t="shared" si="147"/>
        <v>0</v>
      </c>
      <c r="DE102" s="1">
        <f t="shared" si="148"/>
        <v>0</v>
      </c>
      <c r="DF102" s="1">
        <f t="shared" si="149"/>
        <v>0</v>
      </c>
      <c r="DG102" s="1">
        <f t="shared" si="150"/>
        <v>0</v>
      </c>
      <c r="DH102" s="26">
        <f t="shared" si="138"/>
        <v>0</v>
      </c>
      <c r="DI102" s="1" t="e">
        <f t="shared" ca="1" si="139"/>
        <v>#VALUE!</v>
      </c>
      <c r="DK102" s="11" t="str">
        <f t="shared" si="151"/>
        <v/>
      </c>
      <c r="DL102" s="11" t="e">
        <f ca="1">IF(AND(NOT(ISBLANK('Exception Stores'!$A$6)),CO102="YES"),S102-$BH$2-(DI102*$BS$2)-(CU102*$BS$2),S102-(DB102*$BS$2))</f>
        <v>#VALUE!</v>
      </c>
      <c r="DM102" s="11" t="str">
        <f>IF(ISBLANK(A102),"",IF(COUNTIF(Remaps!$A$2:$A$200,B102)&gt;0,"YES",""))</f>
        <v>YES</v>
      </c>
      <c r="DN102" s="29">
        <f>IFERROR(INDEX(Remaps!$B$2:$B$200,MATCH(B102,Remaps!$A$2:$A$200,0),1),0)</f>
        <v>0</v>
      </c>
      <c r="DO102" s="11" t="e">
        <f t="shared" ca="1" si="152"/>
        <v>#VALUE!</v>
      </c>
      <c r="DP102" s="29" t="e">
        <f t="shared" si="153"/>
        <v>#VALUE!</v>
      </c>
      <c r="DQ102" s="11" t="e">
        <f ca="1">('Apollo Dock Status'!$Z$1-DP102)/DO102</f>
        <v>#VALUE!</v>
      </c>
      <c r="DR102" s="15" t="e">
        <f t="shared" ca="1" si="140"/>
        <v>#VALUE!</v>
      </c>
    </row>
    <row r="103" spans="1:122">
      <c r="A103" s="1" t="str">
        <f>IF(ISBLANK('Apollo Dock Status'!A103),"",'Apollo Dock Status'!A103)</f>
        <v/>
      </c>
      <c r="B103" s="1" t="str">
        <f>IF(ISBLANK('Apollo Dock Status'!B103),"",'Apollo Dock Status'!B103)</f>
        <v/>
      </c>
      <c r="C103" s="1" t="str">
        <f>IF(ISBLANK('Apollo Dock Status'!C103),"",'Apollo Dock Status'!C103)</f>
        <v/>
      </c>
      <c r="D103" s="1" t="str">
        <f>IF(ISBLANK('Apollo Dock Status'!D103),"",'Apollo Dock Status'!D103)</f>
        <v/>
      </c>
      <c r="E103" s="1" t="str">
        <f>IF(ISBLANK('Apollo Dock Status'!E103),"",'Apollo Dock Status'!E103)</f>
        <v/>
      </c>
      <c r="F103" s="1" t="str">
        <f>IF(ISBLANK('Apollo Dock Status'!F103),"",'Apollo Dock Status'!F103)</f>
        <v/>
      </c>
      <c r="G103" s="1" t="str">
        <f>IF(ISBLANK('Apollo Dock Status'!G103),"",'Apollo Dock Status'!G103)</f>
        <v/>
      </c>
      <c r="H103" s="1" t="str">
        <f>IF(ISBLANK('Apollo Dock Status'!H103),"",'Apollo Dock Status'!H103)</f>
        <v/>
      </c>
      <c r="I103" s="1" t="str">
        <f>IF(ISBLANK('Apollo Dock Status'!I103),"",'Apollo Dock Status'!I103)</f>
        <v/>
      </c>
      <c r="J103" s="1" t="str">
        <f>IF(ISBLANK('Apollo Dock Status'!J103),"",'Apollo Dock Status'!J103)</f>
        <v/>
      </c>
      <c r="K103" s="1" t="str">
        <f>IF(ISBLANK('Apollo Dock Status'!K103),"",'Apollo Dock Status'!K103)</f>
        <v/>
      </c>
      <c r="L103" s="1" t="str">
        <f>IF(ISBLANK('Apollo Dock Status'!L103),"",'Apollo Dock Status'!L103)</f>
        <v/>
      </c>
      <c r="M103" s="1" t="str">
        <f>IF(ISBLANK('Apollo Dock Status'!M103),"",'Apollo Dock Status'!M103)</f>
        <v/>
      </c>
      <c r="N103" s="1" t="str">
        <f>IF(ISBLANK('Apollo Dock Status'!N103),"",'Apollo Dock Status'!N103)</f>
        <v/>
      </c>
      <c r="O103" s="1" t="str">
        <f t="shared" si="90"/>
        <v/>
      </c>
      <c r="P103" s="1" t="str">
        <f t="shared" si="91"/>
        <v/>
      </c>
      <c r="Q103" s="1" t="str">
        <f t="shared" si="92"/>
        <v/>
      </c>
      <c r="R103" s="1" t="str">
        <f t="shared" si="93"/>
        <v/>
      </c>
      <c r="S103" s="11" t="str">
        <f t="shared" si="94"/>
        <v/>
      </c>
      <c r="T103" s="1" t="str">
        <f t="shared" si="95"/>
        <v/>
      </c>
      <c r="U103" s="11" t="str">
        <f t="shared" si="96"/>
        <v/>
      </c>
      <c r="V103" s="11" t="str">
        <f t="shared" si="97"/>
        <v/>
      </c>
      <c r="X103" s="1" t="str">
        <f t="shared" si="98"/>
        <v/>
      </c>
      <c r="Y103" s="1" t="str">
        <f t="shared" si="99"/>
        <v/>
      </c>
      <c r="Z103" s="1" t="str">
        <f t="shared" si="100"/>
        <v/>
      </c>
      <c r="AB103" s="13">
        <f t="shared" ca="1" si="101"/>
        <v>46176</v>
      </c>
      <c r="AC103" s="1">
        <f t="shared" ca="1" si="102"/>
        <v>2026</v>
      </c>
      <c r="AD103" s="1" t="str">
        <f t="shared" ca="1" si="103"/>
        <v>6</v>
      </c>
      <c r="AE103" s="1">
        <f t="shared" si="104"/>
        <v>1</v>
      </c>
      <c r="AF103" s="1" t="str">
        <f t="shared" si="105"/>
        <v/>
      </c>
      <c r="AG103" s="1">
        <f t="shared" ca="1" si="106"/>
        <v>2026</v>
      </c>
      <c r="AH103" s="1">
        <f t="shared" si="107"/>
        <v>1</v>
      </c>
      <c r="AI103" s="1" t="str">
        <f t="shared" ca="1" si="108"/>
        <v>6</v>
      </c>
      <c r="AJ103" s="13" t="e">
        <f t="shared" ca="1" si="109"/>
        <v>#VALUE!</v>
      </c>
      <c r="AK103" s="1" t="e">
        <f>IF(ISBLANK(A103),"",IFERROR(MID(F103,SEARCH(", ",F103)+LEN(", "),SEARCH(" "&amp;'Exception Stores'!$A$2,F103)-SEARCH(", ",F103)-LEN(", ")),MID(F103,SEARCH(", ",F103)+LEN(", "),SEARCH(" "&amp;'Exception Stores'!$B$2,F103)-SEARCH(", ",F103)-LEN(", "))))</f>
        <v>#VALUE!</v>
      </c>
      <c r="AL103" s="1" t="e">
        <f t="shared" si="110"/>
        <v>#VALUE!</v>
      </c>
      <c r="AM103" s="15" t="e">
        <f t="shared" ca="1" si="111"/>
        <v>#VALUE!</v>
      </c>
      <c r="AN103" s="24" t="e">
        <f t="shared" ca="1" si="112"/>
        <v>#VALUE!</v>
      </c>
      <c r="AO103" s="1" t="e">
        <f t="shared" ca="1" si="113"/>
        <v>#VALUE!</v>
      </c>
      <c r="AP103" s="13" t="e">
        <f t="shared" ca="1" si="114"/>
        <v>#VALUE!</v>
      </c>
      <c r="AQ103" s="17" t="e">
        <f t="shared" ca="1" si="115"/>
        <v>#VALUE!</v>
      </c>
      <c r="AS103" s="15" t="e">
        <f t="shared" ca="1" si="116"/>
        <v>#VALUE!</v>
      </c>
      <c r="AT103" s="5">
        <f>'Exception Stores'!$D$2</f>
        <v>0.125</v>
      </c>
      <c r="AU103" s="15" t="e">
        <f t="shared" ca="1" si="117"/>
        <v>#VALUE!</v>
      </c>
      <c r="AV103" s="15" t="e">
        <f t="shared" ca="1" si="118"/>
        <v>#VALUE!</v>
      </c>
      <c r="AW103" s="15" t="e">
        <f t="shared" ca="1" si="119"/>
        <v>#VALUE!</v>
      </c>
      <c r="AX103" s="15" t="e">
        <f t="shared" ca="1" si="120"/>
        <v>#VALUE!</v>
      </c>
      <c r="AY103" s="15" t="e">
        <f t="shared" ca="1" si="121"/>
        <v>#VALUE!</v>
      </c>
      <c r="AZ103" s="1" t="e">
        <f t="shared" ca="1" si="122"/>
        <v>#VALUE!</v>
      </c>
      <c r="BA103" s="15" t="e">
        <f t="shared" ca="1" si="123"/>
        <v>#VALUE!</v>
      </c>
      <c r="BB103" s="15" t="e">
        <f t="shared" ca="1" si="124"/>
        <v>#VALUE!</v>
      </c>
      <c r="BC103" s="1" t="e">
        <f t="shared" ca="1" si="125"/>
        <v>#VALUE!</v>
      </c>
      <c r="BE103" s="15" t="str">
        <f>IF(ISBLANK('Exception Stores'!$A$6),"",'Exception Stores'!$A$6)</f>
        <v/>
      </c>
      <c r="BF103" s="15" t="str">
        <f>IF(ISBLANK('Exception Stores'!$B$6),"",'Exception Stores'!$B$6)</f>
        <v/>
      </c>
      <c r="BG103" s="1">
        <f>IF(ISBLANK('Exception Stores'!$A$6),0,IF($AN$2&gt;$BF$2,($AN$2-$BF$2)*24,0))</f>
        <v>0</v>
      </c>
      <c r="BH103" s="11">
        <f>IF(ISBLANK('Exception Stores'!$A$6),0,($BF$2-$BE$2)*24)</f>
        <v>0</v>
      </c>
      <c r="BI10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03" s="1">
        <f>IF(ISBLANK('Exception Stores'!$A$6),0,IF($AN$2&gt;$BF$2,0,IF(AND($AN$2&lt;$BF$2,$BT$2="B"),(($BF$2-$AN$2)*24)-$BS$2,($BF$2-$AN$2)*24)))</f>
        <v>0</v>
      </c>
      <c r="BL103" s="5"/>
      <c r="BM103" s="5"/>
      <c r="BN103" s="5"/>
      <c r="BO103" s="5"/>
      <c r="BP103" s="5"/>
      <c r="BV103" s="1" t="e">
        <f t="shared" ca="1" si="126"/>
        <v>#VALUE!</v>
      </c>
      <c r="BW103" s="1" t="e">
        <f t="shared" ca="1" si="127"/>
        <v>#VALUE!</v>
      </c>
      <c r="BX103" s="1" t="e">
        <f t="shared" ca="1" si="128"/>
        <v>#VALUE!</v>
      </c>
      <c r="BY103" s="1" t="e">
        <f t="shared" ca="1" si="129"/>
        <v>#VALUE!</v>
      </c>
      <c r="BZ103" s="1" t="e">
        <f t="shared" ca="1" si="130"/>
        <v>#VALUE!</v>
      </c>
      <c r="CB103" s="1" t="str">
        <f>IF(ISBLANK('Exception Stores'!$A$6),"",WEEKDAY($BF$2))</f>
        <v/>
      </c>
      <c r="CC103" s="1" t="str">
        <f>IF(ISBLANK('Exception Stores'!$A$6),"NO",IF('Exception Stores'!$A$6&lt;$AU$2,"YES","NO"))</f>
        <v>NO</v>
      </c>
      <c r="CD103" s="1" t="str">
        <f>IF(ISBLANK('Exception Stores'!$A$6),"NO",IF('Exception Stores'!$A$6&lt;$AV$2,"YES","NO"))</f>
        <v>NO</v>
      </c>
      <c r="CE103" s="1" t="str">
        <f>IF(ISBLANK('Exception Stores'!$A$6),"NO",IF('Exception Stores'!$A$6&lt;$AW$2,"YES","NO"))</f>
        <v>NO</v>
      </c>
      <c r="CF103" s="1" t="str">
        <f>IF(ISBLANK('Exception Stores'!$A$6),"NO",IF('Exception Stores'!$A$6&lt;$AX$2,"YES","NO"))</f>
        <v>NO</v>
      </c>
      <c r="CG103" s="1" t="str">
        <f>IF(ISBLANK('Exception Stores'!$A$6),"NO",IF('Exception Stores'!$A$6&lt;$AY$2,"YES","NO"))</f>
        <v>NO</v>
      </c>
      <c r="CI103" s="42" t="str">
        <f>IF(ISBLANK('Exception Stores'!$B$6),"NO",IF('Exception Stores'!$B$6&lt;=$AU$2,"YES","NO"))</f>
        <v>NO</v>
      </c>
      <c r="CJ103" s="42" t="str">
        <f>IF(ISBLANK('Exception Stores'!$B$6),"NO",IF('Exception Stores'!$B$6&lt;=$AV$2,"YES","NO"))</f>
        <v>NO</v>
      </c>
      <c r="CK103" s="1" t="str">
        <f>IF(ISBLANK('Exception Stores'!$B$6),"NO",IF('Exception Stores'!$B$6&lt;=$AW$2,"YES","NO"))</f>
        <v>NO</v>
      </c>
      <c r="CL103" s="1" t="str">
        <f>IF(ISBLANK('Exception Stores'!$B$6),"NO",IF('Exception Stores'!$B$6&lt;=$AX$2,"YES","NO"))</f>
        <v>NO</v>
      </c>
      <c r="CM103" s="1" t="str">
        <f>IF(ISBLANK('Exception Stores'!$B$6),"NO",IF('Exception Stores'!$B$6&lt;=$AY$2,"YES","NO"))</f>
        <v>NO</v>
      </c>
      <c r="CO103" s="1" t="e">
        <f ca="1">IF(AM103&lt;'Exception Stores'!$A$6,"YES","NO")</f>
        <v>#VALUE!</v>
      </c>
      <c r="CP103" s="1">
        <f t="shared" si="131"/>
        <v>0</v>
      </c>
      <c r="CQ103" s="1">
        <f t="shared" si="132"/>
        <v>0</v>
      </c>
      <c r="CR103" s="1">
        <f t="shared" si="133"/>
        <v>0</v>
      </c>
      <c r="CS103" s="1">
        <f t="shared" si="134"/>
        <v>0</v>
      </c>
      <c r="CT103" s="1">
        <f t="shared" si="135"/>
        <v>0</v>
      </c>
      <c r="CU103" s="1">
        <f t="shared" si="136"/>
        <v>0</v>
      </c>
      <c r="CW103" s="1" t="e">
        <f t="shared" ca="1" si="141"/>
        <v>#VALUE!</v>
      </c>
      <c r="CX103" s="1" t="e">
        <f t="shared" ca="1" si="142"/>
        <v>#VALUE!</v>
      </c>
      <c r="CY103" s="1" t="e">
        <f t="shared" ca="1" si="143"/>
        <v>#VALUE!</v>
      </c>
      <c r="CZ103" s="1" t="e">
        <f t="shared" ca="1" si="144"/>
        <v>#VALUE!</v>
      </c>
      <c r="DA103" s="1" t="e">
        <f t="shared" ca="1" si="145"/>
        <v>#VALUE!</v>
      </c>
      <c r="DB103" s="26" t="e">
        <f t="shared" ca="1" si="137"/>
        <v>#VALUE!</v>
      </c>
      <c r="DC103" s="1">
        <f t="shared" si="146"/>
        <v>0</v>
      </c>
      <c r="DD103" s="1">
        <f t="shared" si="147"/>
        <v>0</v>
      </c>
      <c r="DE103" s="1">
        <f t="shared" si="148"/>
        <v>0</v>
      </c>
      <c r="DF103" s="1">
        <f t="shared" si="149"/>
        <v>0</v>
      </c>
      <c r="DG103" s="1">
        <f t="shared" si="150"/>
        <v>0</v>
      </c>
      <c r="DH103" s="26">
        <f t="shared" si="138"/>
        <v>0</v>
      </c>
      <c r="DI103" s="1" t="e">
        <f t="shared" ca="1" si="139"/>
        <v>#VALUE!</v>
      </c>
      <c r="DK103" s="11" t="str">
        <f t="shared" si="151"/>
        <v/>
      </c>
      <c r="DL103" s="11" t="e">
        <f ca="1">IF(AND(NOT(ISBLANK('Exception Stores'!$A$6)),CO103="YES"),S103-$BH$2-(DI103*$BS$2)-(CU103*$BS$2),S103-(DB103*$BS$2))</f>
        <v>#VALUE!</v>
      </c>
      <c r="DM103" s="11" t="str">
        <f>IF(ISBLANK(A103),"",IF(COUNTIF(Remaps!$A$2:$A$200,B103)&gt;0,"YES",""))</f>
        <v>YES</v>
      </c>
      <c r="DN103" s="29">
        <f>IFERROR(INDEX(Remaps!$B$2:$B$200,MATCH(B103,Remaps!$A$2:$A$200,0),1),0)</f>
        <v>0</v>
      </c>
      <c r="DO103" s="11" t="e">
        <f t="shared" ca="1" si="152"/>
        <v>#VALUE!</v>
      </c>
      <c r="DP103" s="29" t="e">
        <f t="shared" si="153"/>
        <v>#VALUE!</v>
      </c>
      <c r="DQ103" s="11" t="e">
        <f ca="1">('Apollo Dock Status'!$Z$1-DP103)/DO103</f>
        <v>#VALUE!</v>
      </c>
      <c r="DR103" s="15" t="e">
        <f t="shared" ca="1" si="140"/>
        <v>#VALUE!</v>
      </c>
    </row>
    <row r="104" spans="1:122">
      <c r="A104" s="1" t="str">
        <f>IF(ISBLANK('Apollo Dock Status'!A104),"",'Apollo Dock Status'!A104)</f>
        <v/>
      </c>
      <c r="B104" s="1" t="str">
        <f>IF(ISBLANK('Apollo Dock Status'!B104),"",'Apollo Dock Status'!B104)</f>
        <v/>
      </c>
      <c r="C104" s="1" t="str">
        <f>IF(ISBLANK('Apollo Dock Status'!C104),"",'Apollo Dock Status'!C104)</f>
        <v/>
      </c>
      <c r="D104" s="1" t="str">
        <f>IF(ISBLANK('Apollo Dock Status'!D104),"",'Apollo Dock Status'!D104)</f>
        <v/>
      </c>
      <c r="E104" s="1" t="str">
        <f>IF(ISBLANK('Apollo Dock Status'!E104),"",'Apollo Dock Status'!E104)</f>
        <v/>
      </c>
      <c r="F104" s="1" t="str">
        <f>IF(ISBLANK('Apollo Dock Status'!F104),"",'Apollo Dock Status'!F104)</f>
        <v/>
      </c>
      <c r="G104" s="1" t="str">
        <f>IF(ISBLANK('Apollo Dock Status'!G104),"",'Apollo Dock Status'!G104)</f>
        <v/>
      </c>
      <c r="H104" s="1" t="str">
        <f>IF(ISBLANK('Apollo Dock Status'!H104),"",'Apollo Dock Status'!H104)</f>
        <v/>
      </c>
      <c r="I104" s="1" t="str">
        <f>IF(ISBLANK('Apollo Dock Status'!I104),"",'Apollo Dock Status'!I104)</f>
        <v/>
      </c>
      <c r="J104" s="1" t="str">
        <f>IF(ISBLANK('Apollo Dock Status'!J104),"",'Apollo Dock Status'!J104)</f>
        <v/>
      </c>
      <c r="K104" s="1" t="str">
        <f>IF(ISBLANK('Apollo Dock Status'!K104),"",'Apollo Dock Status'!K104)</f>
        <v/>
      </c>
      <c r="L104" s="1" t="str">
        <f>IF(ISBLANK('Apollo Dock Status'!L104),"",'Apollo Dock Status'!L104)</f>
        <v/>
      </c>
      <c r="M104" s="1" t="str">
        <f>IF(ISBLANK('Apollo Dock Status'!M104),"",'Apollo Dock Status'!M104)</f>
        <v/>
      </c>
      <c r="N104" s="1" t="str">
        <f>IF(ISBLANK('Apollo Dock Status'!N104),"",'Apollo Dock Status'!N104)</f>
        <v/>
      </c>
      <c r="O104" s="1" t="str">
        <f t="shared" si="90"/>
        <v/>
      </c>
      <c r="P104" s="1" t="str">
        <f t="shared" si="91"/>
        <v/>
      </c>
      <c r="Q104" s="1" t="str">
        <f t="shared" si="92"/>
        <v/>
      </c>
      <c r="R104" s="1" t="str">
        <f t="shared" si="93"/>
        <v/>
      </c>
      <c r="S104" s="11" t="str">
        <f t="shared" si="94"/>
        <v/>
      </c>
      <c r="T104" s="1" t="str">
        <f t="shared" si="95"/>
        <v/>
      </c>
      <c r="U104" s="11" t="str">
        <f t="shared" si="96"/>
        <v/>
      </c>
      <c r="V104" s="11" t="str">
        <f t="shared" si="97"/>
        <v/>
      </c>
      <c r="X104" s="1" t="str">
        <f t="shared" si="98"/>
        <v/>
      </c>
      <c r="Y104" s="1" t="str">
        <f t="shared" si="99"/>
        <v/>
      </c>
      <c r="Z104" s="1" t="str">
        <f t="shared" si="100"/>
        <v/>
      </c>
      <c r="AB104" s="13">
        <f t="shared" ca="1" si="101"/>
        <v>46176</v>
      </c>
      <c r="AC104" s="1">
        <f t="shared" ca="1" si="102"/>
        <v>2026</v>
      </c>
      <c r="AD104" s="1" t="str">
        <f t="shared" ca="1" si="103"/>
        <v>6</v>
      </c>
      <c r="AE104" s="1">
        <f t="shared" si="104"/>
        <v>1</v>
      </c>
      <c r="AF104" s="1" t="str">
        <f t="shared" si="105"/>
        <v/>
      </c>
      <c r="AG104" s="1">
        <f t="shared" ca="1" si="106"/>
        <v>2026</v>
      </c>
      <c r="AH104" s="1">
        <f t="shared" si="107"/>
        <v>1</v>
      </c>
      <c r="AI104" s="1" t="str">
        <f t="shared" ca="1" si="108"/>
        <v>6</v>
      </c>
      <c r="AJ104" s="13" t="e">
        <f t="shared" ca="1" si="109"/>
        <v>#VALUE!</v>
      </c>
      <c r="AK104" s="1" t="e">
        <f>IF(ISBLANK(A104),"",IFERROR(MID(F104,SEARCH(", ",F104)+LEN(", "),SEARCH(" "&amp;'Exception Stores'!$A$2,F104)-SEARCH(", ",F104)-LEN(", ")),MID(F104,SEARCH(", ",F104)+LEN(", "),SEARCH(" "&amp;'Exception Stores'!$B$2,F104)-SEARCH(", ",F104)-LEN(", "))))</f>
        <v>#VALUE!</v>
      </c>
      <c r="AL104" s="1" t="e">
        <f t="shared" si="110"/>
        <v>#VALUE!</v>
      </c>
      <c r="AM104" s="15" t="e">
        <f t="shared" ca="1" si="111"/>
        <v>#VALUE!</v>
      </c>
      <c r="AN104" s="24" t="e">
        <f t="shared" ca="1" si="112"/>
        <v>#VALUE!</v>
      </c>
      <c r="AO104" s="1" t="e">
        <f t="shared" ca="1" si="113"/>
        <v>#VALUE!</v>
      </c>
      <c r="AP104" s="13" t="e">
        <f t="shared" ca="1" si="114"/>
        <v>#VALUE!</v>
      </c>
      <c r="AQ104" s="17" t="e">
        <f t="shared" ca="1" si="115"/>
        <v>#VALUE!</v>
      </c>
      <c r="AS104" s="15" t="e">
        <f t="shared" ca="1" si="116"/>
        <v>#VALUE!</v>
      </c>
      <c r="AT104" s="5">
        <f>'Exception Stores'!$D$2</f>
        <v>0.125</v>
      </c>
      <c r="AU104" s="15" t="e">
        <f t="shared" ca="1" si="117"/>
        <v>#VALUE!</v>
      </c>
      <c r="AV104" s="15" t="e">
        <f t="shared" ca="1" si="118"/>
        <v>#VALUE!</v>
      </c>
      <c r="AW104" s="15" t="e">
        <f t="shared" ca="1" si="119"/>
        <v>#VALUE!</v>
      </c>
      <c r="AX104" s="15" t="e">
        <f t="shared" ca="1" si="120"/>
        <v>#VALUE!</v>
      </c>
      <c r="AY104" s="15" t="e">
        <f t="shared" ca="1" si="121"/>
        <v>#VALUE!</v>
      </c>
      <c r="AZ104" s="1" t="e">
        <f t="shared" ca="1" si="122"/>
        <v>#VALUE!</v>
      </c>
      <c r="BA104" s="15" t="e">
        <f t="shared" ca="1" si="123"/>
        <v>#VALUE!</v>
      </c>
      <c r="BB104" s="15" t="e">
        <f t="shared" ca="1" si="124"/>
        <v>#VALUE!</v>
      </c>
      <c r="BC104" s="1" t="e">
        <f t="shared" ca="1" si="125"/>
        <v>#VALUE!</v>
      </c>
      <c r="BE104" s="15" t="str">
        <f>IF(ISBLANK('Exception Stores'!$A$6),"",'Exception Stores'!$A$6)</f>
        <v/>
      </c>
      <c r="BF104" s="15" t="str">
        <f>IF(ISBLANK('Exception Stores'!$B$6),"",'Exception Stores'!$B$6)</f>
        <v/>
      </c>
      <c r="BG104" s="1">
        <f>IF(ISBLANK('Exception Stores'!$A$6),0,IF($AN$2&gt;$BF$2,($AN$2-$BF$2)*24,0))</f>
        <v>0</v>
      </c>
      <c r="BH104" s="11">
        <f>IF(ISBLANK('Exception Stores'!$A$6),0,($BF$2-$BE$2)*24)</f>
        <v>0</v>
      </c>
      <c r="BI10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04" s="1">
        <f>IF(ISBLANK('Exception Stores'!$A$6),0,IF($AN$2&gt;$BF$2,0,IF(AND($AN$2&lt;$BF$2,$BT$2="B"),(($BF$2-$AN$2)*24)-$BS$2,($BF$2-$AN$2)*24)))</f>
        <v>0</v>
      </c>
      <c r="BL104" s="5"/>
      <c r="BM104" s="5"/>
      <c r="BN104" s="5"/>
      <c r="BO104" s="5"/>
      <c r="BP104" s="5"/>
      <c r="BV104" s="1" t="e">
        <f t="shared" ca="1" si="126"/>
        <v>#VALUE!</v>
      </c>
      <c r="BW104" s="1" t="e">
        <f t="shared" ca="1" si="127"/>
        <v>#VALUE!</v>
      </c>
      <c r="BX104" s="1" t="e">
        <f t="shared" ca="1" si="128"/>
        <v>#VALUE!</v>
      </c>
      <c r="BY104" s="1" t="e">
        <f t="shared" ca="1" si="129"/>
        <v>#VALUE!</v>
      </c>
      <c r="BZ104" s="1" t="e">
        <f t="shared" ca="1" si="130"/>
        <v>#VALUE!</v>
      </c>
      <c r="CB104" s="1" t="str">
        <f>IF(ISBLANK('Exception Stores'!$A$6),"",WEEKDAY($BF$2))</f>
        <v/>
      </c>
      <c r="CC104" s="1" t="str">
        <f>IF(ISBLANK('Exception Stores'!$A$6),"NO",IF('Exception Stores'!$A$6&lt;$AU$2,"YES","NO"))</f>
        <v>NO</v>
      </c>
      <c r="CD104" s="1" t="str">
        <f>IF(ISBLANK('Exception Stores'!$A$6),"NO",IF('Exception Stores'!$A$6&lt;$AV$2,"YES","NO"))</f>
        <v>NO</v>
      </c>
      <c r="CE104" s="1" t="str">
        <f>IF(ISBLANK('Exception Stores'!$A$6),"NO",IF('Exception Stores'!$A$6&lt;$AW$2,"YES","NO"))</f>
        <v>NO</v>
      </c>
      <c r="CF104" s="1" t="str">
        <f>IF(ISBLANK('Exception Stores'!$A$6),"NO",IF('Exception Stores'!$A$6&lt;$AX$2,"YES","NO"))</f>
        <v>NO</v>
      </c>
      <c r="CG104" s="1" t="str">
        <f>IF(ISBLANK('Exception Stores'!$A$6),"NO",IF('Exception Stores'!$A$6&lt;$AY$2,"YES","NO"))</f>
        <v>NO</v>
      </c>
      <c r="CI104" s="42" t="str">
        <f>IF(ISBLANK('Exception Stores'!$B$6),"NO",IF('Exception Stores'!$B$6&lt;=$AU$2,"YES","NO"))</f>
        <v>NO</v>
      </c>
      <c r="CJ104" s="42" t="str">
        <f>IF(ISBLANK('Exception Stores'!$B$6),"NO",IF('Exception Stores'!$B$6&lt;=$AV$2,"YES","NO"))</f>
        <v>NO</v>
      </c>
      <c r="CK104" s="1" t="str">
        <f>IF(ISBLANK('Exception Stores'!$B$6),"NO",IF('Exception Stores'!$B$6&lt;=$AW$2,"YES","NO"))</f>
        <v>NO</v>
      </c>
      <c r="CL104" s="1" t="str">
        <f>IF(ISBLANK('Exception Stores'!$B$6),"NO",IF('Exception Stores'!$B$6&lt;=$AX$2,"YES","NO"))</f>
        <v>NO</v>
      </c>
      <c r="CM104" s="1" t="str">
        <f>IF(ISBLANK('Exception Stores'!$B$6),"NO",IF('Exception Stores'!$B$6&lt;=$AY$2,"YES","NO"))</f>
        <v>NO</v>
      </c>
      <c r="CO104" s="1" t="e">
        <f ca="1">IF(AM104&lt;'Exception Stores'!$A$6,"YES","NO")</f>
        <v>#VALUE!</v>
      </c>
      <c r="CP104" s="1">
        <f t="shared" si="131"/>
        <v>0</v>
      </c>
      <c r="CQ104" s="1">
        <f t="shared" si="132"/>
        <v>0</v>
      </c>
      <c r="CR104" s="1">
        <f t="shared" si="133"/>
        <v>0</v>
      </c>
      <c r="CS104" s="1">
        <f t="shared" si="134"/>
        <v>0</v>
      </c>
      <c r="CT104" s="1">
        <f t="shared" si="135"/>
        <v>0</v>
      </c>
      <c r="CU104" s="1">
        <f t="shared" si="136"/>
        <v>0</v>
      </c>
      <c r="CW104" s="1" t="e">
        <f t="shared" ca="1" si="141"/>
        <v>#VALUE!</v>
      </c>
      <c r="CX104" s="1" t="e">
        <f t="shared" ca="1" si="142"/>
        <v>#VALUE!</v>
      </c>
      <c r="CY104" s="1" t="e">
        <f t="shared" ca="1" si="143"/>
        <v>#VALUE!</v>
      </c>
      <c r="CZ104" s="1" t="e">
        <f t="shared" ca="1" si="144"/>
        <v>#VALUE!</v>
      </c>
      <c r="DA104" s="1" t="e">
        <f t="shared" ca="1" si="145"/>
        <v>#VALUE!</v>
      </c>
      <c r="DB104" s="26" t="e">
        <f t="shared" ca="1" si="137"/>
        <v>#VALUE!</v>
      </c>
      <c r="DC104" s="1">
        <f t="shared" si="146"/>
        <v>0</v>
      </c>
      <c r="DD104" s="1">
        <f t="shared" si="147"/>
        <v>0</v>
      </c>
      <c r="DE104" s="1">
        <f t="shared" si="148"/>
        <v>0</v>
      </c>
      <c r="DF104" s="1">
        <f t="shared" si="149"/>
        <v>0</v>
      </c>
      <c r="DG104" s="1">
        <f t="shared" si="150"/>
        <v>0</v>
      </c>
      <c r="DH104" s="26">
        <f t="shared" si="138"/>
        <v>0</v>
      </c>
      <c r="DI104" s="1" t="e">
        <f t="shared" ca="1" si="139"/>
        <v>#VALUE!</v>
      </c>
      <c r="DK104" s="11" t="str">
        <f t="shared" si="151"/>
        <v/>
      </c>
      <c r="DL104" s="11" t="e">
        <f ca="1">IF(AND(NOT(ISBLANK('Exception Stores'!$A$6)),CO104="YES"),S104-$BH$2-(DI104*$BS$2)-(CU104*$BS$2),S104-(DB104*$BS$2))</f>
        <v>#VALUE!</v>
      </c>
      <c r="DM104" s="11" t="str">
        <f>IF(ISBLANK(A104),"",IF(COUNTIF(Remaps!$A$2:$A$200,B104)&gt;0,"YES",""))</f>
        <v>YES</v>
      </c>
      <c r="DN104" s="29">
        <f>IFERROR(INDEX(Remaps!$B$2:$B$200,MATCH(B104,Remaps!$A$2:$A$200,0),1),0)</f>
        <v>0</v>
      </c>
      <c r="DO104" s="11" t="e">
        <f t="shared" ca="1" si="152"/>
        <v>#VALUE!</v>
      </c>
      <c r="DP104" s="29" t="e">
        <f t="shared" si="153"/>
        <v>#VALUE!</v>
      </c>
      <c r="DQ104" s="11" t="e">
        <f ca="1">('Apollo Dock Status'!$Z$1-DP104)/DO104</f>
        <v>#VALUE!</v>
      </c>
      <c r="DR104" s="15" t="e">
        <f t="shared" ca="1" si="140"/>
        <v>#VALUE!</v>
      </c>
    </row>
    <row r="105" spans="1:122">
      <c r="A105" s="1" t="str">
        <f>IF(ISBLANK('Apollo Dock Status'!A105),"",'Apollo Dock Status'!A105)</f>
        <v/>
      </c>
      <c r="B105" s="1" t="str">
        <f>IF(ISBLANK('Apollo Dock Status'!B105),"",'Apollo Dock Status'!B105)</f>
        <v/>
      </c>
      <c r="C105" s="1" t="str">
        <f>IF(ISBLANK('Apollo Dock Status'!C105),"",'Apollo Dock Status'!C105)</f>
        <v/>
      </c>
      <c r="D105" s="1" t="str">
        <f>IF(ISBLANK('Apollo Dock Status'!D105),"",'Apollo Dock Status'!D105)</f>
        <v/>
      </c>
      <c r="E105" s="1" t="str">
        <f>IF(ISBLANK('Apollo Dock Status'!E105),"",'Apollo Dock Status'!E105)</f>
        <v/>
      </c>
      <c r="F105" s="1" t="str">
        <f>IF(ISBLANK('Apollo Dock Status'!F105),"",'Apollo Dock Status'!F105)</f>
        <v/>
      </c>
      <c r="G105" s="1" t="str">
        <f>IF(ISBLANK('Apollo Dock Status'!G105),"",'Apollo Dock Status'!G105)</f>
        <v/>
      </c>
      <c r="H105" s="1" t="str">
        <f>IF(ISBLANK('Apollo Dock Status'!H105),"",'Apollo Dock Status'!H105)</f>
        <v/>
      </c>
      <c r="I105" s="1" t="str">
        <f>IF(ISBLANK('Apollo Dock Status'!I105),"",'Apollo Dock Status'!I105)</f>
        <v/>
      </c>
      <c r="J105" s="1" t="str">
        <f>IF(ISBLANK('Apollo Dock Status'!J105),"",'Apollo Dock Status'!J105)</f>
        <v/>
      </c>
      <c r="K105" s="1" t="str">
        <f>IF(ISBLANK('Apollo Dock Status'!K105),"",'Apollo Dock Status'!K105)</f>
        <v/>
      </c>
      <c r="L105" s="1" t="str">
        <f>IF(ISBLANK('Apollo Dock Status'!L105),"",'Apollo Dock Status'!L105)</f>
        <v/>
      </c>
      <c r="M105" s="1" t="str">
        <f>IF(ISBLANK('Apollo Dock Status'!M105),"",'Apollo Dock Status'!M105)</f>
        <v/>
      </c>
      <c r="N105" s="1" t="str">
        <f>IF(ISBLANK('Apollo Dock Status'!N105),"",'Apollo Dock Status'!N105)</f>
        <v/>
      </c>
      <c r="O105" s="1" t="str">
        <f t="shared" si="90"/>
        <v/>
      </c>
      <c r="P105" s="1" t="str">
        <f t="shared" si="91"/>
        <v/>
      </c>
      <c r="Q105" s="1" t="str">
        <f t="shared" si="92"/>
        <v/>
      </c>
      <c r="R105" s="1" t="str">
        <f t="shared" si="93"/>
        <v/>
      </c>
      <c r="S105" s="11" t="str">
        <f t="shared" si="94"/>
        <v/>
      </c>
      <c r="T105" s="1" t="str">
        <f t="shared" si="95"/>
        <v/>
      </c>
      <c r="U105" s="11" t="str">
        <f t="shared" si="96"/>
        <v/>
      </c>
      <c r="V105" s="11" t="str">
        <f t="shared" si="97"/>
        <v/>
      </c>
      <c r="X105" s="1" t="str">
        <f t="shared" si="98"/>
        <v/>
      </c>
      <c r="Y105" s="1" t="str">
        <f t="shared" si="99"/>
        <v/>
      </c>
      <c r="Z105" s="1" t="str">
        <f t="shared" si="100"/>
        <v/>
      </c>
      <c r="AB105" s="13">
        <f t="shared" ca="1" si="101"/>
        <v>46176</v>
      </c>
      <c r="AC105" s="1">
        <f t="shared" ca="1" si="102"/>
        <v>2026</v>
      </c>
      <c r="AD105" s="1" t="str">
        <f t="shared" ca="1" si="103"/>
        <v>6</v>
      </c>
      <c r="AE105" s="1">
        <f t="shared" si="104"/>
        <v>1</v>
      </c>
      <c r="AF105" s="1" t="str">
        <f t="shared" si="105"/>
        <v/>
      </c>
      <c r="AG105" s="1">
        <f t="shared" ca="1" si="106"/>
        <v>2026</v>
      </c>
      <c r="AH105" s="1">
        <f t="shared" si="107"/>
        <v>1</v>
      </c>
      <c r="AI105" s="1" t="str">
        <f t="shared" ca="1" si="108"/>
        <v>6</v>
      </c>
      <c r="AJ105" s="13" t="e">
        <f t="shared" ca="1" si="109"/>
        <v>#VALUE!</v>
      </c>
      <c r="AK105" s="1" t="e">
        <f>IF(ISBLANK(A105),"",IFERROR(MID(F105,SEARCH(", ",F105)+LEN(", "),SEARCH(" "&amp;'Exception Stores'!$A$2,F105)-SEARCH(", ",F105)-LEN(", ")),MID(F105,SEARCH(", ",F105)+LEN(", "),SEARCH(" "&amp;'Exception Stores'!$B$2,F105)-SEARCH(", ",F105)-LEN(", "))))</f>
        <v>#VALUE!</v>
      </c>
      <c r="AL105" s="1" t="e">
        <f t="shared" si="110"/>
        <v>#VALUE!</v>
      </c>
      <c r="AM105" s="15" t="e">
        <f t="shared" ca="1" si="111"/>
        <v>#VALUE!</v>
      </c>
      <c r="AN105" s="24" t="e">
        <f t="shared" ca="1" si="112"/>
        <v>#VALUE!</v>
      </c>
      <c r="AO105" s="1" t="e">
        <f t="shared" ca="1" si="113"/>
        <v>#VALUE!</v>
      </c>
      <c r="AP105" s="13" t="e">
        <f t="shared" ca="1" si="114"/>
        <v>#VALUE!</v>
      </c>
      <c r="AQ105" s="17" t="e">
        <f t="shared" ca="1" si="115"/>
        <v>#VALUE!</v>
      </c>
      <c r="AS105" s="15" t="e">
        <f t="shared" ca="1" si="116"/>
        <v>#VALUE!</v>
      </c>
      <c r="AT105" s="5">
        <f>'Exception Stores'!$D$2</f>
        <v>0.125</v>
      </c>
      <c r="AU105" s="15" t="e">
        <f t="shared" ca="1" si="117"/>
        <v>#VALUE!</v>
      </c>
      <c r="AV105" s="15" t="e">
        <f t="shared" ca="1" si="118"/>
        <v>#VALUE!</v>
      </c>
      <c r="AW105" s="15" t="e">
        <f t="shared" ca="1" si="119"/>
        <v>#VALUE!</v>
      </c>
      <c r="AX105" s="15" t="e">
        <f t="shared" ca="1" si="120"/>
        <v>#VALUE!</v>
      </c>
      <c r="AY105" s="15" t="e">
        <f t="shared" ca="1" si="121"/>
        <v>#VALUE!</v>
      </c>
      <c r="AZ105" s="1" t="e">
        <f t="shared" ca="1" si="122"/>
        <v>#VALUE!</v>
      </c>
      <c r="BA105" s="15" t="e">
        <f t="shared" ca="1" si="123"/>
        <v>#VALUE!</v>
      </c>
      <c r="BB105" s="15" t="e">
        <f t="shared" ca="1" si="124"/>
        <v>#VALUE!</v>
      </c>
      <c r="BC105" s="1" t="e">
        <f t="shared" ca="1" si="125"/>
        <v>#VALUE!</v>
      </c>
      <c r="BE105" s="15" t="str">
        <f>IF(ISBLANK('Exception Stores'!$A$6),"",'Exception Stores'!$A$6)</f>
        <v/>
      </c>
      <c r="BF105" s="15" t="str">
        <f>IF(ISBLANK('Exception Stores'!$B$6),"",'Exception Stores'!$B$6)</f>
        <v/>
      </c>
      <c r="BG105" s="1">
        <f>IF(ISBLANK('Exception Stores'!$A$6),0,IF($AN$2&gt;$BF$2,($AN$2-$BF$2)*24,0))</f>
        <v>0</v>
      </c>
      <c r="BH105" s="11">
        <f>IF(ISBLANK('Exception Stores'!$A$6),0,($BF$2-$BE$2)*24)</f>
        <v>0</v>
      </c>
      <c r="BI10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05" s="1">
        <f>IF(ISBLANK('Exception Stores'!$A$6),0,IF($AN$2&gt;$BF$2,0,IF(AND($AN$2&lt;$BF$2,$BT$2="B"),(($BF$2-$AN$2)*24)-$BS$2,($BF$2-$AN$2)*24)))</f>
        <v>0</v>
      </c>
      <c r="BL105" s="5"/>
      <c r="BM105" s="5"/>
      <c r="BN105" s="5"/>
      <c r="BO105" s="5"/>
      <c r="BP105" s="5"/>
      <c r="BV105" s="1" t="e">
        <f t="shared" ca="1" si="126"/>
        <v>#VALUE!</v>
      </c>
      <c r="BW105" s="1" t="e">
        <f t="shared" ca="1" si="127"/>
        <v>#VALUE!</v>
      </c>
      <c r="BX105" s="1" t="e">
        <f t="shared" ca="1" si="128"/>
        <v>#VALUE!</v>
      </c>
      <c r="BY105" s="1" t="e">
        <f t="shared" ca="1" si="129"/>
        <v>#VALUE!</v>
      </c>
      <c r="BZ105" s="1" t="e">
        <f t="shared" ca="1" si="130"/>
        <v>#VALUE!</v>
      </c>
      <c r="CB105" s="1" t="str">
        <f>IF(ISBLANK('Exception Stores'!$A$6),"",WEEKDAY($BF$2))</f>
        <v/>
      </c>
      <c r="CC105" s="1" t="str">
        <f>IF(ISBLANK('Exception Stores'!$A$6),"NO",IF('Exception Stores'!$A$6&lt;$AU$2,"YES","NO"))</f>
        <v>NO</v>
      </c>
      <c r="CD105" s="1" t="str">
        <f>IF(ISBLANK('Exception Stores'!$A$6),"NO",IF('Exception Stores'!$A$6&lt;$AV$2,"YES","NO"))</f>
        <v>NO</v>
      </c>
      <c r="CE105" s="1" t="str">
        <f>IF(ISBLANK('Exception Stores'!$A$6),"NO",IF('Exception Stores'!$A$6&lt;$AW$2,"YES","NO"))</f>
        <v>NO</v>
      </c>
      <c r="CF105" s="1" t="str">
        <f>IF(ISBLANK('Exception Stores'!$A$6),"NO",IF('Exception Stores'!$A$6&lt;$AX$2,"YES","NO"))</f>
        <v>NO</v>
      </c>
      <c r="CG105" s="1" t="str">
        <f>IF(ISBLANK('Exception Stores'!$A$6),"NO",IF('Exception Stores'!$A$6&lt;$AY$2,"YES","NO"))</f>
        <v>NO</v>
      </c>
      <c r="CI105" s="42" t="str">
        <f>IF(ISBLANK('Exception Stores'!$B$6),"NO",IF('Exception Stores'!$B$6&lt;=$AU$2,"YES","NO"))</f>
        <v>NO</v>
      </c>
      <c r="CJ105" s="42" t="str">
        <f>IF(ISBLANK('Exception Stores'!$B$6),"NO",IF('Exception Stores'!$B$6&lt;=$AV$2,"YES","NO"))</f>
        <v>NO</v>
      </c>
      <c r="CK105" s="1" t="str">
        <f>IF(ISBLANK('Exception Stores'!$B$6),"NO",IF('Exception Stores'!$B$6&lt;=$AW$2,"YES","NO"))</f>
        <v>NO</v>
      </c>
      <c r="CL105" s="1" t="str">
        <f>IF(ISBLANK('Exception Stores'!$B$6),"NO",IF('Exception Stores'!$B$6&lt;=$AX$2,"YES","NO"))</f>
        <v>NO</v>
      </c>
      <c r="CM105" s="1" t="str">
        <f>IF(ISBLANK('Exception Stores'!$B$6),"NO",IF('Exception Stores'!$B$6&lt;=$AY$2,"YES","NO"))</f>
        <v>NO</v>
      </c>
      <c r="CO105" s="1" t="e">
        <f ca="1">IF(AM105&lt;'Exception Stores'!$A$6,"YES","NO")</f>
        <v>#VALUE!</v>
      </c>
      <c r="CP105" s="1">
        <f t="shared" si="131"/>
        <v>0</v>
      </c>
      <c r="CQ105" s="1">
        <f t="shared" si="132"/>
        <v>0</v>
      </c>
      <c r="CR105" s="1">
        <f t="shared" si="133"/>
        <v>0</v>
      </c>
      <c r="CS105" s="1">
        <f t="shared" si="134"/>
        <v>0</v>
      </c>
      <c r="CT105" s="1">
        <f t="shared" si="135"/>
        <v>0</v>
      </c>
      <c r="CU105" s="1">
        <f t="shared" si="136"/>
        <v>0</v>
      </c>
      <c r="CW105" s="1" t="e">
        <f t="shared" ca="1" si="141"/>
        <v>#VALUE!</v>
      </c>
      <c r="CX105" s="1" t="e">
        <f t="shared" ca="1" si="142"/>
        <v>#VALUE!</v>
      </c>
      <c r="CY105" s="1" t="e">
        <f t="shared" ca="1" si="143"/>
        <v>#VALUE!</v>
      </c>
      <c r="CZ105" s="1" t="e">
        <f t="shared" ca="1" si="144"/>
        <v>#VALUE!</v>
      </c>
      <c r="DA105" s="1" t="e">
        <f t="shared" ca="1" si="145"/>
        <v>#VALUE!</v>
      </c>
      <c r="DB105" s="26" t="e">
        <f t="shared" ca="1" si="137"/>
        <v>#VALUE!</v>
      </c>
      <c r="DC105" s="1">
        <f t="shared" si="146"/>
        <v>0</v>
      </c>
      <c r="DD105" s="1">
        <f t="shared" si="147"/>
        <v>0</v>
      </c>
      <c r="DE105" s="1">
        <f t="shared" si="148"/>
        <v>0</v>
      </c>
      <c r="DF105" s="1">
        <f t="shared" si="149"/>
        <v>0</v>
      </c>
      <c r="DG105" s="1">
        <f t="shared" si="150"/>
        <v>0</v>
      </c>
      <c r="DH105" s="26">
        <f t="shared" si="138"/>
        <v>0</v>
      </c>
      <c r="DI105" s="1" t="e">
        <f t="shared" ca="1" si="139"/>
        <v>#VALUE!</v>
      </c>
      <c r="DK105" s="11" t="str">
        <f t="shared" si="151"/>
        <v/>
      </c>
      <c r="DL105" s="11" t="e">
        <f ca="1">IF(AND(NOT(ISBLANK('Exception Stores'!$A$6)),CO105="YES"),S105-$BH$2-(DI105*$BS$2)-(CU105*$BS$2),S105-(DB105*$BS$2))</f>
        <v>#VALUE!</v>
      </c>
      <c r="DM105" s="11" t="str">
        <f>IF(ISBLANK(A105),"",IF(COUNTIF(Remaps!$A$2:$A$200,B105)&gt;0,"YES",""))</f>
        <v>YES</v>
      </c>
      <c r="DN105" s="29">
        <f>IFERROR(INDEX(Remaps!$B$2:$B$200,MATCH(B105,Remaps!$A$2:$A$200,0),1),0)</f>
        <v>0</v>
      </c>
      <c r="DO105" s="11" t="e">
        <f t="shared" ca="1" si="152"/>
        <v>#VALUE!</v>
      </c>
      <c r="DP105" s="29" t="e">
        <f t="shared" si="153"/>
        <v>#VALUE!</v>
      </c>
      <c r="DQ105" s="11" t="e">
        <f ca="1">('Apollo Dock Status'!$Z$1-DP105)/DO105</f>
        <v>#VALUE!</v>
      </c>
      <c r="DR105" s="15" t="e">
        <f t="shared" ca="1" si="140"/>
        <v>#VALUE!</v>
      </c>
    </row>
    <row r="106" spans="1:122">
      <c r="A106" s="1" t="str">
        <f>IF(ISBLANK('Apollo Dock Status'!A106),"",'Apollo Dock Status'!A106)</f>
        <v/>
      </c>
      <c r="B106" s="1" t="str">
        <f>IF(ISBLANK('Apollo Dock Status'!B106),"",'Apollo Dock Status'!B106)</f>
        <v/>
      </c>
      <c r="C106" s="1" t="str">
        <f>IF(ISBLANK('Apollo Dock Status'!C106),"",'Apollo Dock Status'!C106)</f>
        <v/>
      </c>
      <c r="D106" s="1" t="str">
        <f>IF(ISBLANK('Apollo Dock Status'!D106),"",'Apollo Dock Status'!D106)</f>
        <v/>
      </c>
      <c r="E106" s="1" t="str">
        <f>IF(ISBLANK('Apollo Dock Status'!E106),"",'Apollo Dock Status'!E106)</f>
        <v/>
      </c>
      <c r="F106" s="1" t="str">
        <f>IF(ISBLANK('Apollo Dock Status'!F106),"",'Apollo Dock Status'!F106)</f>
        <v/>
      </c>
      <c r="G106" s="1" t="str">
        <f>IF(ISBLANK('Apollo Dock Status'!G106),"",'Apollo Dock Status'!G106)</f>
        <v/>
      </c>
      <c r="H106" s="1" t="str">
        <f>IF(ISBLANK('Apollo Dock Status'!H106),"",'Apollo Dock Status'!H106)</f>
        <v/>
      </c>
      <c r="I106" s="1" t="str">
        <f>IF(ISBLANK('Apollo Dock Status'!I106),"",'Apollo Dock Status'!I106)</f>
        <v/>
      </c>
      <c r="J106" s="1" t="str">
        <f>IF(ISBLANK('Apollo Dock Status'!J106),"",'Apollo Dock Status'!J106)</f>
        <v/>
      </c>
      <c r="K106" s="1" t="str">
        <f>IF(ISBLANK('Apollo Dock Status'!K106),"",'Apollo Dock Status'!K106)</f>
        <v/>
      </c>
      <c r="L106" s="1" t="str">
        <f>IF(ISBLANK('Apollo Dock Status'!L106),"",'Apollo Dock Status'!L106)</f>
        <v/>
      </c>
      <c r="M106" s="1" t="str">
        <f>IF(ISBLANK('Apollo Dock Status'!M106),"",'Apollo Dock Status'!M106)</f>
        <v/>
      </c>
      <c r="N106" s="1" t="str">
        <f>IF(ISBLANK('Apollo Dock Status'!N106),"",'Apollo Dock Status'!N106)</f>
        <v/>
      </c>
      <c r="O106" s="1" t="str">
        <f t="shared" si="90"/>
        <v/>
      </c>
      <c r="P106" s="1" t="str">
        <f t="shared" si="91"/>
        <v/>
      </c>
      <c r="Q106" s="1" t="str">
        <f t="shared" si="92"/>
        <v/>
      </c>
      <c r="R106" s="1" t="str">
        <f t="shared" si="93"/>
        <v/>
      </c>
      <c r="S106" s="11" t="str">
        <f t="shared" si="94"/>
        <v/>
      </c>
      <c r="T106" s="1" t="str">
        <f t="shared" si="95"/>
        <v/>
      </c>
      <c r="U106" s="11" t="str">
        <f t="shared" si="96"/>
        <v/>
      </c>
      <c r="V106" s="11" t="str">
        <f t="shared" si="97"/>
        <v/>
      </c>
      <c r="X106" s="1" t="str">
        <f t="shared" si="98"/>
        <v/>
      </c>
      <c r="Y106" s="1" t="str">
        <f t="shared" si="99"/>
        <v/>
      </c>
      <c r="Z106" s="1" t="str">
        <f t="shared" si="100"/>
        <v/>
      </c>
      <c r="AB106" s="13">
        <f t="shared" ca="1" si="101"/>
        <v>46176</v>
      </c>
      <c r="AC106" s="1">
        <f t="shared" ca="1" si="102"/>
        <v>2026</v>
      </c>
      <c r="AD106" s="1" t="str">
        <f t="shared" ca="1" si="103"/>
        <v>6</v>
      </c>
      <c r="AE106" s="1">
        <f t="shared" si="104"/>
        <v>1</v>
      </c>
      <c r="AF106" s="1" t="str">
        <f t="shared" si="105"/>
        <v/>
      </c>
      <c r="AG106" s="1">
        <f t="shared" ca="1" si="106"/>
        <v>2026</v>
      </c>
      <c r="AH106" s="1">
        <f t="shared" si="107"/>
        <v>1</v>
      </c>
      <c r="AI106" s="1" t="str">
        <f t="shared" ca="1" si="108"/>
        <v>6</v>
      </c>
      <c r="AJ106" s="13" t="e">
        <f t="shared" ca="1" si="109"/>
        <v>#VALUE!</v>
      </c>
      <c r="AK106" s="1" t="e">
        <f>IF(ISBLANK(A106),"",IFERROR(MID(F106,SEARCH(", ",F106)+LEN(", "),SEARCH(" "&amp;'Exception Stores'!$A$2,F106)-SEARCH(", ",F106)-LEN(", ")),MID(F106,SEARCH(", ",F106)+LEN(", "),SEARCH(" "&amp;'Exception Stores'!$B$2,F106)-SEARCH(", ",F106)-LEN(", "))))</f>
        <v>#VALUE!</v>
      </c>
      <c r="AL106" s="1" t="e">
        <f t="shared" si="110"/>
        <v>#VALUE!</v>
      </c>
      <c r="AM106" s="15" t="e">
        <f t="shared" ca="1" si="111"/>
        <v>#VALUE!</v>
      </c>
      <c r="AN106" s="24" t="e">
        <f t="shared" ca="1" si="112"/>
        <v>#VALUE!</v>
      </c>
      <c r="AO106" s="1" t="e">
        <f t="shared" ca="1" si="113"/>
        <v>#VALUE!</v>
      </c>
      <c r="AP106" s="13" t="e">
        <f t="shared" ca="1" si="114"/>
        <v>#VALUE!</v>
      </c>
      <c r="AQ106" s="17" t="e">
        <f t="shared" ca="1" si="115"/>
        <v>#VALUE!</v>
      </c>
      <c r="AS106" s="15" t="e">
        <f t="shared" ca="1" si="116"/>
        <v>#VALUE!</v>
      </c>
      <c r="AT106" s="5">
        <f>'Exception Stores'!$D$2</f>
        <v>0.125</v>
      </c>
      <c r="AU106" s="15" t="e">
        <f t="shared" ca="1" si="117"/>
        <v>#VALUE!</v>
      </c>
      <c r="AV106" s="15" t="e">
        <f t="shared" ca="1" si="118"/>
        <v>#VALUE!</v>
      </c>
      <c r="AW106" s="15" t="e">
        <f t="shared" ca="1" si="119"/>
        <v>#VALUE!</v>
      </c>
      <c r="AX106" s="15" t="e">
        <f t="shared" ca="1" si="120"/>
        <v>#VALUE!</v>
      </c>
      <c r="AY106" s="15" t="e">
        <f t="shared" ca="1" si="121"/>
        <v>#VALUE!</v>
      </c>
      <c r="AZ106" s="1" t="e">
        <f t="shared" ca="1" si="122"/>
        <v>#VALUE!</v>
      </c>
      <c r="BA106" s="15" t="e">
        <f t="shared" ca="1" si="123"/>
        <v>#VALUE!</v>
      </c>
      <c r="BB106" s="15" t="e">
        <f t="shared" ca="1" si="124"/>
        <v>#VALUE!</v>
      </c>
      <c r="BC106" s="1" t="e">
        <f t="shared" ca="1" si="125"/>
        <v>#VALUE!</v>
      </c>
      <c r="BE106" s="15" t="str">
        <f>IF(ISBLANK('Exception Stores'!$A$6),"",'Exception Stores'!$A$6)</f>
        <v/>
      </c>
      <c r="BF106" s="15" t="str">
        <f>IF(ISBLANK('Exception Stores'!$B$6),"",'Exception Stores'!$B$6)</f>
        <v/>
      </c>
      <c r="BG106" s="1">
        <f>IF(ISBLANK('Exception Stores'!$A$6),0,IF($AN$2&gt;$BF$2,($AN$2-$BF$2)*24,0))</f>
        <v>0</v>
      </c>
      <c r="BH106" s="11">
        <f>IF(ISBLANK('Exception Stores'!$A$6),0,($BF$2-$BE$2)*24)</f>
        <v>0</v>
      </c>
      <c r="BI10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06" s="1">
        <f>IF(ISBLANK('Exception Stores'!$A$6),0,IF($AN$2&gt;$BF$2,0,IF(AND($AN$2&lt;$BF$2,$BT$2="B"),(($BF$2-$AN$2)*24)-$BS$2,($BF$2-$AN$2)*24)))</f>
        <v>0</v>
      </c>
      <c r="BL106" s="5"/>
      <c r="BM106" s="5"/>
      <c r="BN106" s="5"/>
      <c r="BO106" s="5"/>
      <c r="BP106" s="5"/>
      <c r="BV106" s="1" t="e">
        <f t="shared" ca="1" si="126"/>
        <v>#VALUE!</v>
      </c>
      <c r="BW106" s="1" t="e">
        <f t="shared" ca="1" si="127"/>
        <v>#VALUE!</v>
      </c>
      <c r="BX106" s="1" t="e">
        <f t="shared" ca="1" si="128"/>
        <v>#VALUE!</v>
      </c>
      <c r="BY106" s="1" t="e">
        <f t="shared" ca="1" si="129"/>
        <v>#VALUE!</v>
      </c>
      <c r="BZ106" s="1" t="e">
        <f t="shared" ca="1" si="130"/>
        <v>#VALUE!</v>
      </c>
      <c r="CB106" s="1" t="str">
        <f>IF(ISBLANK('Exception Stores'!$A$6),"",WEEKDAY($BF$2))</f>
        <v/>
      </c>
      <c r="CC106" s="1" t="str">
        <f>IF(ISBLANK('Exception Stores'!$A$6),"NO",IF('Exception Stores'!$A$6&lt;$AU$2,"YES","NO"))</f>
        <v>NO</v>
      </c>
      <c r="CD106" s="1" t="str">
        <f>IF(ISBLANK('Exception Stores'!$A$6),"NO",IF('Exception Stores'!$A$6&lt;$AV$2,"YES","NO"))</f>
        <v>NO</v>
      </c>
      <c r="CE106" s="1" t="str">
        <f>IF(ISBLANK('Exception Stores'!$A$6),"NO",IF('Exception Stores'!$A$6&lt;$AW$2,"YES","NO"))</f>
        <v>NO</v>
      </c>
      <c r="CF106" s="1" t="str">
        <f>IF(ISBLANK('Exception Stores'!$A$6),"NO",IF('Exception Stores'!$A$6&lt;$AX$2,"YES","NO"))</f>
        <v>NO</v>
      </c>
      <c r="CG106" s="1" t="str">
        <f>IF(ISBLANK('Exception Stores'!$A$6),"NO",IF('Exception Stores'!$A$6&lt;$AY$2,"YES","NO"))</f>
        <v>NO</v>
      </c>
      <c r="CI106" s="42" t="str">
        <f>IF(ISBLANK('Exception Stores'!$B$6),"NO",IF('Exception Stores'!$B$6&lt;=$AU$2,"YES","NO"))</f>
        <v>NO</v>
      </c>
      <c r="CJ106" s="42" t="str">
        <f>IF(ISBLANK('Exception Stores'!$B$6),"NO",IF('Exception Stores'!$B$6&lt;=$AV$2,"YES","NO"))</f>
        <v>NO</v>
      </c>
      <c r="CK106" s="1" t="str">
        <f>IF(ISBLANK('Exception Stores'!$B$6),"NO",IF('Exception Stores'!$B$6&lt;=$AW$2,"YES","NO"))</f>
        <v>NO</v>
      </c>
      <c r="CL106" s="1" t="str">
        <f>IF(ISBLANK('Exception Stores'!$B$6),"NO",IF('Exception Stores'!$B$6&lt;=$AX$2,"YES","NO"))</f>
        <v>NO</v>
      </c>
      <c r="CM106" s="1" t="str">
        <f>IF(ISBLANK('Exception Stores'!$B$6),"NO",IF('Exception Stores'!$B$6&lt;=$AY$2,"YES","NO"))</f>
        <v>NO</v>
      </c>
      <c r="CO106" s="1" t="e">
        <f ca="1">IF(AM106&lt;'Exception Stores'!$A$6,"YES","NO")</f>
        <v>#VALUE!</v>
      </c>
      <c r="CP106" s="1">
        <f t="shared" si="131"/>
        <v>0</v>
      </c>
      <c r="CQ106" s="1">
        <f t="shared" si="132"/>
        <v>0</v>
      </c>
      <c r="CR106" s="1">
        <f t="shared" si="133"/>
        <v>0</v>
      </c>
      <c r="CS106" s="1">
        <f t="shared" si="134"/>
        <v>0</v>
      </c>
      <c r="CT106" s="1">
        <f t="shared" si="135"/>
        <v>0</v>
      </c>
      <c r="CU106" s="1">
        <f t="shared" si="136"/>
        <v>0</v>
      </c>
      <c r="CW106" s="1" t="e">
        <f t="shared" ca="1" si="141"/>
        <v>#VALUE!</v>
      </c>
      <c r="CX106" s="1" t="e">
        <f t="shared" ca="1" si="142"/>
        <v>#VALUE!</v>
      </c>
      <c r="CY106" s="1" t="e">
        <f t="shared" ca="1" si="143"/>
        <v>#VALUE!</v>
      </c>
      <c r="CZ106" s="1" t="e">
        <f t="shared" ca="1" si="144"/>
        <v>#VALUE!</v>
      </c>
      <c r="DA106" s="1" t="e">
        <f t="shared" ca="1" si="145"/>
        <v>#VALUE!</v>
      </c>
      <c r="DB106" s="26" t="e">
        <f t="shared" ca="1" si="137"/>
        <v>#VALUE!</v>
      </c>
      <c r="DC106" s="1">
        <f t="shared" si="146"/>
        <v>0</v>
      </c>
      <c r="DD106" s="1">
        <f t="shared" si="147"/>
        <v>0</v>
      </c>
      <c r="DE106" s="1">
        <f t="shared" si="148"/>
        <v>0</v>
      </c>
      <c r="DF106" s="1">
        <f t="shared" si="149"/>
        <v>0</v>
      </c>
      <c r="DG106" s="1">
        <f t="shared" si="150"/>
        <v>0</v>
      </c>
      <c r="DH106" s="26">
        <f t="shared" si="138"/>
        <v>0</v>
      </c>
      <c r="DI106" s="1" t="e">
        <f t="shared" ca="1" si="139"/>
        <v>#VALUE!</v>
      </c>
      <c r="DK106" s="11" t="str">
        <f t="shared" si="151"/>
        <v/>
      </c>
      <c r="DL106" s="11" t="e">
        <f ca="1">IF(AND(NOT(ISBLANK('Exception Stores'!$A$6)),CO106="YES"),S106-$BH$2-(DI106*$BS$2)-(CU106*$BS$2),S106-(DB106*$BS$2))</f>
        <v>#VALUE!</v>
      </c>
      <c r="DM106" s="11" t="str">
        <f>IF(ISBLANK(A106),"",IF(COUNTIF(Remaps!$A$2:$A$200,B106)&gt;0,"YES",""))</f>
        <v>YES</v>
      </c>
      <c r="DN106" s="29">
        <f>IFERROR(INDEX(Remaps!$B$2:$B$200,MATCH(B106,Remaps!$A$2:$A$200,0),1),0)</f>
        <v>0</v>
      </c>
      <c r="DO106" s="11" t="e">
        <f t="shared" ca="1" si="152"/>
        <v>#VALUE!</v>
      </c>
      <c r="DP106" s="29" t="e">
        <f t="shared" si="153"/>
        <v>#VALUE!</v>
      </c>
      <c r="DQ106" s="11" t="e">
        <f ca="1">('Apollo Dock Status'!$Z$1-DP106)/DO106</f>
        <v>#VALUE!</v>
      </c>
      <c r="DR106" s="15" t="e">
        <f t="shared" ca="1" si="140"/>
        <v>#VALUE!</v>
      </c>
    </row>
    <row r="107" spans="1:122">
      <c r="A107" s="1" t="str">
        <f>IF(ISBLANK('Apollo Dock Status'!A107),"",'Apollo Dock Status'!A107)</f>
        <v/>
      </c>
      <c r="B107" s="1" t="str">
        <f>IF(ISBLANK('Apollo Dock Status'!B107),"",'Apollo Dock Status'!B107)</f>
        <v/>
      </c>
      <c r="C107" s="1" t="str">
        <f>IF(ISBLANK('Apollo Dock Status'!C107),"",'Apollo Dock Status'!C107)</f>
        <v/>
      </c>
      <c r="D107" s="1" t="str">
        <f>IF(ISBLANK('Apollo Dock Status'!D107),"",'Apollo Dock Status'!D107)</f>
        <v/>
      </c>
      <c r="E107" s="1" t="str">
        <f>IF(ISBLANK('Apollo Dock Status'!E107),"",'Apollo Dock Status'!E107)</f>
        <v/>
      </c>
      <c r="F107" s="1" t="str">
        <f>IF(ISBLANK('Apollo Dock Status'!F107),"",'Apollo Dock Status'!F107)</f>
        <v/>
      </c>
      <c r="G107" s="1" t="str">
        <f>IF(ISBLANK('Apollo Dock Status'!G107),"",'Apollo Dock Status'!G107)</f>
        <v/>
      </c>
      <c r="H107" s="1" t="str">
        <f>IF(ISBLANK('Apollo Dock Status'!H107),"",'Apollo Dock Status'!H107)</f>
        <v/>
      </c>
      <c r="I107" s="1" t="str">
        <f>IF(ISBLANK('Apollo Dock Status'!I107),"",'Apollo Dock Status'!I107)</f>
        <v/>
      </c>
      <c r="J107" s="1" t="str">
        <f>IF(ISBLANK('Apollo Dock Status'!J107),"",'Apollo Dock Status'!J107)</f>
        <v/>
      </c>
      <c r="K107" s="1" t="str">
        <f>IF(ISBLANK('Apollo Dock Status'!K107),"",'Apollo Dock Status'!K107)</f>
        <v/>
      </c>
      <c r="L107" s="1" t="str">
        <f>IF(ISBLANK('Apollo Dock Status'!L107),"",'Apollo Dock Status'!L107)</f>
        <v/>
      </c>
      <c r="M107" s="1" t="str">
        <f>IF(ISBLANK('Apollo Dock Status'!M107),"",'Apollo Dock Status'!M107)</f>
        <v/>
      </c>
      <c r="N107" s="1" t="str">
        <f>IF(ISBLANK('Apollo Dock Status'!N107),"",'Apollo Dock Status'!N107)</f>
        <v/>
      </c>
      <c r="O107" s="1" t="str">
        <f t="shared" si="90"/>
        <v/>
      </c>
      <c r="P107" s="1" t="str">
        <f t="shared" si="91"/>
        <v/>
      </c>
      <c r="Q107" s="1" t="str">
        <f t="shared" si="92"/>
        <v/>
      </c>
      <c r="R107" s="1" t="str">
        <f t="shared" si="93"/>
        <v/>
      </c>
      <c r="S107" s="11" t="str">
        <f t="shared" si="94"/>
        <v/>
      </c>
      <c r="T107" s="1" t="str">
        <f t="shared" si="95"/>
        <v/>
      </c>
      <c r="U107" s="11" t="str">
        <f t="shared" si="96"/>
        <v/>
      </c>
      <c r="V107" s="11" t="str">
        <f t="shared" si="97"/>
        <v/>
      </c>
      <c r="X107" s="1" t="str">
        <f t="shared" si="98"/>
        <v/>
      </c>
      <c r="Y107" s="1" t="str">
        <f t="shared" si="99"/>
        <v/>
      </c>
      <c r="Z107" s="1" t="str">
        <f t="shared" si="100"/>
        <v/>
      </c>
      <c r="AB107" s="13">
        <f t="shared" ca="1" si="101"/>
        <v>46176</v>
      </c>
      <c r="AC107" s="1">
        <f t="shared" ca="1" si="102"/>
        <v>2026</v>
      </c>
      <c r="AD107" s="1" t="str">
        <f t="shared" ca="1" si="103"/>
        <v>6</v>
      </c>
      <c r="AE107" s="1">
        <f t="shared" si="104"/>
        <v>1</v>
      </c>
      <c r="AF107" s="1" t="str">
        <f t="shared" si="105"/>
        <v/>
      </c>
      <c r="AG107" s="1">
        <f t="shared" ca="1" si="106"/>
        <v>2026</v>
      </c>
      <c r="AH107" s="1">
        <f t="shared" si="107"/>
        <v>1</v>
      </c>
      <c r="AI107" s="1" t="str">
        <f t="shared" ca="1" si="108"/>
        <v>6</v>
      </c>
      <c r="AJ107" s="13" t="e">
        <f t="shared" ca="1" si="109"/>
        <v>#VALUE!</v>
      </c>
      <c r="AK107" s="1" t="e">
        <f>IF(ISBLANK(A107),"",IFERROR(MID(F107,SEARCH(", ",F107)+LEN(", "),SEARCH(" "&amp;'Exception Stores'!$A$2,F107)-SEARCH(", ",F107)-LEN(", ")),MID(F107,SEARCH(", ",F107)+LEN(", "),SEARCH(" "&amp;'Exception Stores'!$B$2,F107)-SEARCH(", ",F107)-LEN(", "))))</f>
        <v>#VALUE!</v>
      </c>
      <c r="AL107" s="1" t="e">
        <f t="shared" si="110"/>
        <v>#VALUE!</v>
      </c>
      <c r="AM107" s="15" t="e">
        <f t="shared" ca="1" si="111"/>
        <v>#VALUE!</v>
      </c>
      <c r="AN107" s="24" t="e">
        <f t="shared" ca="1" si="112"/>
        <v>#VALUE!</v>
      </c>
      <c r="AO107" s="1" t="e">
        <f t="shared" ca="1" si="113"/>
        <v>#VALUE!</v>
      </c>
      <c r="AP107" s="13" t="e">
        <f t="shared" ca="1" si="114"/>
        <v>#VALUE!</v>
      </c>
      <c r="AQ107" s="17" t="e">
        <f t="shared" ca="1" si="115"/>
        <v>#VALUE!</v>
      </c>
      <c r="AS107" s="15" t="e">
        <f t="shared" ca="1" si="116"/>
        <v>#VALUE!</v>
      </c>
      <c r="AT107" s="5">
        <f>'Exception Stores'!$D$2</f>
        <v>0.125</v>
      </c>
      <c r="AU107" s="15" t="e">
        <f t="shared" ca="1" si="117"/>
        <v>#VALUE!</v>
      </c>
      <c r="AV107" s="15" t="e">
        <f t="shared" ca="1" si="118"/>
        <v>#VALUE!</v>
      </c>
      <c r="AW107" s="15" t="e">
        <f t="shared" ca="1" si="119"/>
        <v>#VALUE!</v>
      </c>
      <c r="AX107" s="15" t="e">
        <f t="shared" ca="1" si="120"/>
        <v>#VALUE!</v>
      </c>
      <c r="AY107" s="15" t="e">
        <f t="shared" ca="1" si="121"/>
        <v>#VALUE!</v>
      </c>
      <c r="AZ107" s="1" t="e">
        <f t="shared" ca="1" si="122"/>
        <v>#VALUE!</v>
      </c>
      <c r="BA107" s="15" t="e">
        <f t="shared" ca="1" si="123"/>
        <v>#VALUE!</v>
      </c>
      <c r="BB107" s="15" t="e">
        <f t="shared" ca="1" si="124"/>
        <v>#VALUE!</v>
      </c>
      <c r="BC107" s="1" t="e">
        <f t="shared" ca="1" si="125"/>
        <v>#VALUE!</v>
      </c>
      <c r="BE107" s="15" t="str">
        <f>IF(ISBLANK('Exception Stores'!$A$6),"",'Exception Stores'!$A$6)</f>
        <v/>
      </c>
      <c r="BF107" s="15" t="str">
        <f>IF(ISBLANK('Exception Stores'!$B$6),"",'Exception Stores'!$B$6)</f>
        <v/>
      </c>
      <c r="BG107" s="1">
        <f>IF(ISBLANK('Exception Stores'!$A$6),0,IF($AN$2&gt;$BF$2,($AN$2-$BF$2)*24,0))</f>
        <v>0</v>
      </c>
      <c r="BH107" s="11">
        <f>IF(ISBLANK('Exception Stores'!$A$6),0,($BF$2-$BE$2)*24)</f>
        <v>0</v>
      </c>
      <c r="BI10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07" s="1">
        <f>IF(ISBLANK('Exception Stores'!$A$6),0,IF($AN$2&gt;$BF$2,0,IF(AND($AN$2&lt;$BF$2,$BT$2="B"),(($BF$2-$AN$2)*24)-$BS$2,($BF$2-$AN$2)*24)))</f>
        <v>0</v>
      </c>
      <c r="BL107" s="5"/>
      <c r="BM107" s="5"/>
      <c r="BN107" s="5"/>
      <c r="BO107" s="5"/>
      <c r="BP107" s="5"/>
      <c r="BV107" s="1" t="e">
        <f t="shared" ca="1" si="126"/>
        <v>#VALUE!</v>
      </c>
      <c r="BW107" s="1" t="e">
        <f t="shared" ca="1" si="127"/>
        <v>#VALUE!</v>
      </c>
      <c r="BX107" s="1" t="e">
        <f t="shared" ca="1" si="128"/>
        <v>#VALUE!</v>
      </c>
      <c r="BY107" s="1" t="e">
        <f t="shared" ca="1" si="129"/>
        <v>#VALUE!</v>
      </c>
      <c r="BZ107" s="1" t="e">
        <f t="shared" ca="1" si="130"/>
        <v>#VALUE!</v>
      </c>
      <c r="CB107" s="1" t="str">
        <f>IF(ISBLANK('Exception Stores'!$A$6),"",WEEKDAY($BF$2))</f>
        <v/>
      </c>
      <c r="CC107" s="1" t="str">
        <f>IF(ISBLANK('Exception Stores'!$A$6),"NO",IF('Exception Stores'!$A$6&lt;$AU$2,"YES","NO"))</f>
        <v>NO</v>
      </c>
      <c r="CD107" s="1" t="str">
        <f>IF(ISBLANK('Exception Stores'!$A$6),"NO",IF('Exception Stores'!$A$6&lt;$AV$2,"YES","NO"))</f>
        <v>NO</v>
      </c>
      <c r="CE107" s="1" t="str">
        <f>IF(ISBLANK('Exception Stores'!$A$6),"NO",IF('Exception Stores'!$A$6&lt;$AW$2,"YES","NO"))</f>
        <v>NO</v>
      </c>
      <c r="CF107" s="1" t="str">
        <f>IF(ISBLANK('Exception Stores'!$A$6),"NO",IF('Exception Stores'!$A$6&lt;$AX$2,"YES","NO"))</f>
        <v>NO</v>
      </c>
      <c r="CG107" s="1" t="str">
        <f>IF(ISBLANK('Exception Stores'!$A$6),"NO",IF('Exception Stores'!$A$6&lt;$AY$2,"YES","NO"))</f>
        <v>NO</v>
      </c>
      <c r="CI107" s="42" t="str">
        <f>IF(ISBLANK('Exception Stores'!$B$6),"NO",IF('Exception Stores'!$B$6&lt;=$AU$2,"YES","NO"))</f>
        <v>NO</v>
      </c>
      <c r="CJ107" s="42" t="str">
        <f>IF(ISBLANK('Exception Stores'!$B$6),"NO",IF('Exception Stores'!$B$6&lt;=$AV$2,"YES","NO"))</f>
        <v>NO</v>
      </c>
      <c r="CK107" s="1" t="str">
        <f>IF(ISBLANK('Exception Stores'!$B$6),"NO",IF('Exception Stores'!$B$6&lt;=$AW$2,"YES","NO"))</f>
        <v>NO</v>
      </c>
      <c r="CL107" s="1" t="str">
        <f>IF(ISBLANK('Exception Stores'!$B$6),"NO",IF('Exception Stores'!$B$6&lt;=$AX$2,"YES","NO"))</f>
        <v>NO</v>
      </c>
      <c r="CM107" s="1" t="str">
        <f>IF(ISBLANK('Exception Stores'!$B$6),"NO",IF('Exception Stores'!$B$6&lt;=$AY$2,"YES","NO"))</f>
        <v>NO</v>
      </c>
      <c r="CO107" s="1" t="e">
        <f ca="1">IF(AM107&lt;'Exception Stores'!$A$6,"YES","NO")</f>
        <v>#VALUE!</v>
      </c>
      <c r="CP107" s="1">
        <f t="shared" si="131"/>
        <v>0</v>
      </c>
      <c r="CQ107" s="1">
        <f t="shared" si="132"/>
        <v>0</v>
      </c>
      <c r="CR107" s="1">
        <f t="shared" si="133"/>
        <v>0</v>
      </c>
      <c r="CS107" s="1">
        <f t="shared" si="134"/>
        <v>0</v>
      </c>
      <c r="CT107" s="1">
        <f t="shared" si="135"/>
        <v>0</v>
      </c>
      <c r="CU107" s="1">
        <f t="shared" si="136"/>
        <v>0</v>
      </c>
      <c r="CW107" s="1" t="e">
        <f t="shared" ca="1" si="141"/>
        <v>#VALUE!</v>
      </c>
      <c r="CX107" s="1" t="e">
        <f t="shared" ca="1" si="142"/>
        <v>#VALUE!</v>
      </c>
      <c r="CY107" s="1" t="e">
        <f t="shared" ca="1" si="143"/>
        <v>#VALUE!</v>
      </c>
      <c r="CZ107" s="1" t="e">
        <f t="shared" ca="1" si="144"/>
        <v>#VALUE!</v>
      </c>
      <c r="DA107" s="1" t="e">
        <f t="shared" ca="1" si="145"/>
        <v>#VALUE!</v>
      </c>
      <c r="DB107" s="26" t="e">
        <f t="shared" ca="1" si="137"/>
        <v>#VALUE!</v>
      </c>
      <c r="DC107" s="1">
        <f t="shared" si="146"/>
        <v>0</v>
      </c>
      <c r="DD107" s="1">
        <f t="shared" si="147"/>
        <v>0</v>
      </c>
      <c r="DE107" s="1">
        <f t="shared" si="148"/>
        <v>0</v>
      </c>
      <c r="DF107" s="1">
        <f t="shared" si="149"/>
        <v>0</v>
      </c>
      <c r="DG107" s="1">
        <f t="shared" si="150"/>
        <v>0</v>
      </c>
      <c r="DH107" s="26">
        <f t="shared" si="138"/>
        <v>0</v>
      </c>
      <c r="DI107" s="1" t="e">
        <f t="shared" ca="1" si="139"/>
        <v>#VALUE!</v>
      </c>
      <c r="DK107" s="11" t="str">
        <f t="shared" si="151"/>
        <v/>
      </c>
      <c r="DL107" s="11" t="e">
        <f ca="1">IF(AND(NOT(ISBLANK('Exception Stores'!$A$6)),CO107="YES"),S107-$BH$2-(DI107*$BS$2)-(CU107*$BS$2),S107-(DB107*$BS$2))</f>
        <v>#VALUE!</v>
      </c>
      <c r="DM107" s="11" t="str">
        <f>IF(ISBLANK(A107),"",IF(COUNTIF(Remaps!$A$2:$A$200,B107)&gt;0,"YES",""))</f>
        <v>YES</v>
      </c>
      <c r="DN107" s="29">
        <f>IFERROR(INDEX(Remaps!$B$2:$B$200,MATCH(B107,Remaps!$A$2:$A$200,0),1),0)</f>
        <v>0</v>
      </c>
      <c r="DO107" s="11" t="e">
        <f t="shared" ca="1" si="152"/>
        <v>#VALUE!</v>
      </c>
      <c r="DP107" s="29" t="e">
        <f t="shared" si="153"/>
        <v>#VALUE!</v>
      </c>
      <c r="DQ107" s="11" t="e">
        <f ca="1">('Apollo Dock Status'!$Z$1-DP107)/DO107</f>
        <v>#VALUE!</v>
      </c>
      <c r="DR107" s="15" t="e">
        <f t="shared" ca="1" si="140"/>
        <v>#VALUE!</v>
      </c>
    </row>
    <row r="108" spans="1:122">
      <c r="A108" s="1" t="str">
        <f>IF(ISBLANK('Apollo Dock Status'!A108),"",'Apollo Dock Status'!A108)</f>
        <v/>
      </c>
      <c r="B108" s="1" t="str">
        <f>IF(ISBLANK('Apollo Dock Status'!B108),"",'Apollo Dock Status'!B108)</f>
        <v/>
      </c>
      <c r="C108" s="1" t="str">
        <f>IF(ISBLANK('Apollo Dock Status'!C108),"",'Apollo Dock Status'!C108)</f>
        <v/>
      </c>
      <c r="D108" s="1" t="str">
        <f>IF(ISBLANK('Apollo Dock Status'!D108),"",'Apollo Dock Status'!D108)</f>
        <v/>
      </c>
      <c r="E108" s="1" t="str">
        <f>IF(ISBLANK('Apollo Dock Status'!E108),"",'Apollo Dock Status'!E108)</f>
        <v/>
      </c>
      <c r="F108" s="1" t="str">
        <f>IF(ISBLANK('Apollo Dock Status'!F108),"",'Apollo Dock Status'!F108)</f>
        <v/>
      </c>
      <c r="G108" s="1" t="str">
        <f>IF(ISBLANK('Apollo Dock Status'!G108),"",'Apollo Dock Status'!G108)</f>
        <v/>
      </c>
      <c r="H108" s="1" t="str">
        <f>IF(ISBLANK('Apollo Dock Status'!H108),"",'Apollo Dock Status'!H108)</f>
        <v/>
      </c>
      <c r="I108" s="1" t="str">
        <f>IF(ISBLANK('Apollo Dock Status'!I108),"",'Apollo Dock Status'!I108)</f>
        <v/>
      </c>
      <c r="J108" s="1" t="str">
        <f>IF(ISBLANK('Apollo Dock Status'!J108),"",'Apollo Dock Status'!J108)</f>
        <v/>
      </c>
      <c r="K108" s="1" t="str">
        <f>IF(ISBLANK('Apollo Dock Status'!K108),"",'Apollo Dock Status'!K108)</f>
        <v/>
      </c>
      <c r="L108" s="1" t="str">
        <f>IF(ISBLANK('Apollo Dock Status'!L108),"",'Apollo Dock Status'!L108)</f>
        <v/>
      </c>
      <c r="M108" s="1" t="str">
        <f>IF(ISBLANK('Apollo Dock Status'!M108),"",'Apollo Dock Status'!M108)</f>
        <v/>
      </c>
      <c r="N108" s="1" t="str">
        <f>IF(ISBLANK('Apollo Dock Status'!N108),"",'Apollo Dock Status'!N108)</f>
        <v/>
      </c>
      <c r="O108" s="1" t="str">
        <f t="shared" si="90"/>
        <v/>
      </c>
      <c r="P108" s="1" t="str">
        <f t="shared" si="91"/>
        <v/>
      </c>
      <c r="Q108" s="1" t="str">
        <f t="shared" si="92"/>
        <v/>
      </c>
      <c r="R108" s="1" t="str">
        <f t="shared" si="93"/>
        <v/>
      </c>
      <c r="S108" s="11" t="str">
        <f t="shared" si="94"/>
        <v/>
      </c>
      <c r="T108" s="1" t="str">
        <f t="shared" si="95"/>
        <v/>
      </c>
      <c r="U108" s="11" t="str">
        <f t="shared" si="96"/>
        <v/>
      </c>
      <c r="V108" s="11" t="str">
        <f t="shared" si="97"/>
        <v/>
      </c>
      <c r="X108" s="1" t="str">
        <f t="shared" si="98"/>
        <v/>
      </c>
      <c r="Y108" s="1" t="str">
        <f t="shared" si="99"/>
        <v/>
      </c>
      <c r="Z108" s="1" t="str">
        <f t="shared" si="100"/>
        <v/>
      </c>
      <c r="AB108" s="13">
        <f t="shared" ca="1" si="101"/>
        <v>46176</v>
      </c>
      <c r="AC108" s="1">
        <f t="shared" ca="1" si="102"/>
        <v>2026</v>
      </c>
      <c r="AD108" s="1" t="str">
        <f t="shared" ca="1" si="103"/>
        <v>6</v>
      </c>
      <c r="AE108" s="1">
        <f t="shared" si="104"/>
        <v>1</v>
      </c>
      <c r="AF108" s="1" t="str">
        <f t="shared" si="105"/>
        <v/>
      </c>
      <c r="AG108" s="1">
        <f t="shared" ca="1" si="106"/>
        <v>2026</v>
      </c>
      <c r="AH108" s="1">
        <f t="shared" si="107"/>
        <v>1</v>
      </c>
      <c r="AI108" s="1" t="str">
        <f t="shared" ca="1" si="108"/>
        <v>6</v>
      </c>
      <c r="AJ108" s="13" t="e">
        <f t="shared" ca="1" si="109"/>
        <v>#VALUE!</v>
      </c>
      <c r="AK108" s="1" t="e">
        <f>IF(ISBLANK(A108),"",IFERROR(MID(F108,SEARCH(", ",F108)+LEN(", "),SEARCH(" "&amp;'Exception Stores'!$A$2,F108)-SEARCH(", ",F108)-LEN(", ")),MID(F108,SEARCH(", ",F108)+LEN(", "),SEARCH(" "&amp;'Exception Stores'!$B$2,F108)-SEARCH(", ",F108)-LEN(", "))))</f>
        <v>#VALUE!</v>
      </c>
      <c r="AL108" s="1" t="e">
        <f t="shared" si="110"/>
        <v>#VALUE!</v>
      </c>
      <c r="AM108" s="15" t="e">
        <f t="shared" ca="1" si="111"/>
        <v>#VALUE!</v>
      </c>
      <c r="AN108" s="24" t="e">
        <f t="shared" ca="1" si="112"/>
        <v>#VALUE!</v>
      </c>
      <c r="AO108" s="1" t="e">
        <f t="shared" ca="1" si="113"/>
        <v>#VALUE!</v>
      </c>
      <c r="AP108" s="13" t="e">
        <f t="shared" ca="1" si="114"/>
        <v>#VALUE!</v>
      </c>
      <c r="AQ108" s="17" t="e">
        <f t="shared" ca="1" si="115"/>
        <v>#VALUE!</v>
      </c>
      <c r="AS108" s="15" t="e">
        <f t="shared" ca="1" si="116"/>
        <v>#VALUE!</v>
      </c>
      <c r="AT108" s="5">
        <f>'Exception Stores'!$D$2</f>
        <v>0.125</v>
      </c>
      <c r="AU108" s="15" t="e">
        <f t="shared" ca="1" si="117"/>
        <v>#VALUE!</v>
      </c>
      <c r="AV108" s="15" t="e">
        <f t="shared" ca="1" si="118"/>
        <v>#VALUE!</v>
      </c>
      <c r="AW108" s="15" t="e">
        <f t="shared" ca="1" si="119"/>
        <v>#VALUE!</v>
      </c>
      <c r="AX108" s="15" t="e">
        <f t="shared" ca="1" si="120"/>
        <v>#VALUE!</v>
      </c>
      <c r="AY108" s="15" t="e">
        <f t="shared" ca="1" si="121"/>
        <v>#VALUE!</v>
      </c>
      <c r="AZ108" s="1" t="e">
        <f t="shared" ca="1" si="122"/>
        <v>#VALUE!</v>
      </c>
      <c r="BA108" s="15" t="e">
        <f t="shared" ca="1" si="123"/>
        <v>#VALUE!</v>
      </c>
      <c r="BB108" s="15" t="e">
        <f t="shared" ca="1" si="124"/>
        <v>#VALUE!</v>
      </c>
      <c r="BC108" s="1" t="e">
        <f t="shared" ca="1" si="125"/>
        <v>#VALUE!</v>
      </c>
      <c r="BE108" s="15" t="str">
        <f>IF(ISBLANK('Exception Stores'!$A$6),"",'Exception Stores'!$A$6)</f>
        <v/>
      </c>
      <c r="BF108" s="15" t="str">
        <f>IF(ISBLANK('Exception Stores'!$B$6),"",'Exception Stores'!$B$6)</f>
        <v/>
      </c>
      <c r="BG108" s="1">
        <f>IF(ISBLANK('Exception Stores'!$A$6),0,IF($AN$2&gt;$BF$2,($AN$2-$BF$2)*24,0))</f>
        <v>0</v>
      </c>
      <c r="BH108" s="11">
        <f>IF(ISBLANK('Exception Stores'!$A$6),0,($BF$2-$BE$2)*24)</f>
        <v>0</v>
      </c>
      <c r="BI10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08" s="1">
        <f>IF(ISBLANK('Exception Stores'!$A$6),0,IF($AN$2&gt;$BF$2,0,IF(AND($AN$2&lt;$BF$2,$BT$2="B"),(($BF$2-$AN$2)*24)-$BS$2,($BF$2-$AN$2)*24)))</f>
        <v>0</v>
      </c>
      <c r="BL108" s="5"/>
      <c r="BM108" s="5"/>
      <c r="BN108" s="5"/>
      <c r="BO108" s="5"/>
      <c r="BP108" s="5"/>
      <c r="BV108" s="1" t="e">
        <f t="shared" ca="1" si="126"/>
        <v>#VALUE!</v>
      </c>
      <c r="BW108" s="1" t="e">
        <f t="shared" ca="1" si="127"/>
        <v>#VALUE!</v>
      </c>
      <c r="BX108" s="1" t="e">
        <f t="shared" ca="1" si="128"/>
        <v>#VALUE!</v>
      </c>
      <c r="BY108" s="1" t="e">
        <f t="shared" ca="1" si="129"/>
        <v>#VALUE!</v>
      </c>
      <c r="BZ108" s="1" t="e">
        <f t="shared" ca="1" si="130"/>
        <v>#VALUE!</v>
      </c>
      <c r="CB108" s="1" t="str">
        <f>IF(ISBLANK('Exception Stores'!$A$6),"",WEEKDAY($BF$2))</f>
        <v/>
      </c>
      <c r="CC108" s="1" t="str">
        <f>IF(ISBLANK('Exception Stores'!$A$6),"NO",IF('Exception Stores'!$A$6&lt;$AU$2,"YES","NO"))</f>
        <v>NO</v>
      </c>
      <c r="CD108" s="1" t="str">
        <f>IF(ISBLANK('Exception Stores'!$A$6),"NO",IF('Exception Stores'!$A$6&lt;$AV$2,"YES","NO"))</f>
        <v>NO</v>
      </c>
      <c r="CE108" s="1" t="str">
        <f>IF(ISBLANK('Exception Stores'!$A$6),"NO",IF('Exception Stores'!$A$6&lt;$AW$2,"YES","NO"))</f>
        <v>NO</v>
      </c>
      <c r="CF108" s="1" t="str">
        <f>IF(ISBLANK('Exception Stores'!$A$6),"NO",IF('Exception Stores'!$A$6&lt;$AX$2,"YES","NO"))</f>
        <v>NO</v>
      </c>
      <c r="CG108" s="1" t="str">
        <f>IF(ISBLANK('Exception Stores'!$A$6),"NO",IF('Exception Stores'!$A$6&lt;$AY$2,"YES","NO"))</f>
        <v>NO</v>
      </c>
      <c r="CI108" s="42" t="str">
        <f>IF(ISBLANK('Exception Stores'!$B$6),"NO",IF('Exception Stores'!$B$6&lt;=$AU$2,"YES","NO"))</f>
        <v>NO</v>
      </c>
      <c r="CJ108" s="42" t="str">
        <f>IF(ISBLANK('Exception Stores'!$B$6),"NO",IF('Exception Stores'!$B$6&lt;=$AV$2,"YES","NO"))</f>
        <v>NO</v>
      </c>
      <c r="CK108" s="1" t="str">
        <f>IF(ISBLANK('Exception Stores'!$B$6),"NO",IF('Exception Stores'!$B$6&lt;=$AW$2,"YES","NO"))</f>
        <v>NO</v>
      </c>
      <c r="CL108" s="1" t="str">
        <f>IF(ISBLANK('Exception Stores'!$B$6),"NO",IF('Exception Stores'!$B$6&lt;=$AX$2,"YES","NO"))</f>
        <v>NO</v>
      </c>
      <c r="CM108" s="1" t="str">
        <f>IF(ISBLANK('Exception Stores'!$B$6),"NO",IF('Exception Stores'!$B$6&lt;=$AY$2,"YES","NO"))</f>
        <v>NO</v>
      </c>
      <c r="CO108" s="1" t="e">
        <f ca="1">IF(AM108&lt;'Exception Stores'!$A$6,"YES","NO")</f>
        <v>#VALUE!</v>
      </c>
      <c r="CP108" s="1">
        <f t="shared" si="131"/>
        <v>0</v>
      </c>
      <c r="CQ108" s="1">
        <f t="shared" si="132"/>
        <v>0</v>
      </c>
      <c r="CR108" s="1">
        <f t="shared" si="133"/>
        <v>0</v>
      </c>
      <c r="CS108" s="1">
        <f t="shared" si="134"/>
        <v>0</v>
      </c>
      <c r="CT108" s="1">
        <f t="shared" si="135"/>
        <v>0</v>
      </c>
      <c r="CU108" s="1">
        <f t="shared" si="136"/>
        <v>0</v>
      </c>
      <c r="CW108" s="1" t="e">
        <f t="shared" ca="1" si="141"/>
        <v>#VALUE!</v>
      </c>
      <c r="CX108" s="1" t="e">
        <f t="shared" ca="1" si="142"/>
        <v>#VALUE!</v>
      </c>
      <c r="CY108" s="1" t="e">
        <f t="shared" ca="1" si="143"/>
        <v>#VALUE!</v>
      </c>
      <c r="CZ108" s="1" t="e">
        <f t="shared" ca="1" si="144"/>
        <v>#VALUE!</v>
      </c>
      <c r="DA108" s="1" t="e">
        <f t="shared" ca="1" si="145"/>
        <v>#VALUE!</v>
      </c>
      <c r="DB108" s="26" t="e">
        <f t="shared" ca="1" si="137"/>
        <v>#VALUE!</v>
      </c>
      <c r="DC108" s="1">
        <f t="shared" si="146"/>
        <v>0</v>
      </c>
      <c r="DD108" s="1">
        <f t="shared" si="147"/>
        <v>0</v>
      </c>
      <c r="DE108" s="1">
        <f t="shared" si="148"/>
        <v>0</v>
      </c>
      <c r="DF108" s="1">
        <f t="shared" si="149"/>
        <v>0</v>
      </c>
      <c r="DG108" s="1">
        <f t="shared" si="150"/>
        <v>0</v>
      </c>
      <c r="DH108" s="26">
        <f t="shared" si="138"/>
        <v>0</v>
      </c>
      <c r="DI108" s="1" t="e">
        <f t="shared" ca="1" si="139"/>
        <v>#VALUE!</v>
      </c>
      <c r="DK108" s="11" t="str">
        <f t="shared" si="151"/>
        <v/>
      </c>
      <c r="DL108" s="11" t="e">
        <f ca="1">IF(AND(NOT(ISBLANK('Exception Stores'!$A$6)),CO108="YES"),S108-$BH$2-(DI108*$BS$2)-(CU108*$BS$2),S108-(DB108*$BS$2))</f>
        <v>#VALUE!</v>
      </c>
      <c r="DM108" s="11" t="str">
        <f>IF(ISBLANK(A108),"",IF(COUNTIF(Remaps!$A$2:$A$200,B108)&gt;0,"YES",""))</f>
        <v>YES</v>
      </c>
      <c r="DN108" s="29">
        <f>IFERROR(INDEX(Remaps!$B$2:$B$200,MATCH(B108,Remaps!$A$2:$A$200,0),1),0)</f>
        <v>0</v>
      </c>
      <c r="DO108" s="11" t="e">
        <f t="shared" ca="1" si="152"/>
        <v>#VALUE!</v>
      </c>
      <c r="DP108" s="29" t="e">
        <f t="shared" si="153"/>
        <v>#VALUE!</v>
      </c>
      <c r="DQ108" s="11" t="e">
        <f ca="1">('Apollo Dock Status'!$Z$1-DP108)/DO108</f>
        <v>#VALUE!</v>
      </c>
      <c r="DR108" s="15" t="e">
        <f t="shared" ca="1" si="140"/>
        <v>#VALUE!</v>
      </c>
    </row>
    <row r="109" spans="1:122">
      <c r="A109" s="1" t="str">
        <f>IF(ISBLANK('Apollo Dock Status'!A109),"",'Apollo Dock Status'!A109)</f>
        <v/>
      </c>
      <c r="B109" s="1" t="str">
        <f>IF(ISBLANK('Apollo Dock Status'!B109),"",'Apollo Dock Status'!B109)</f>
        <v/>
      </c>
      <c r="C109" s="1" t="str">
        <f>IF(ISBLANK('Apollo Dock Status'!C109),"",'Apollo Dock Status'!C109)</f>
        <v/>
      </c>
      <c r="D109" s="1" t="str">
        <f>IF(ISBLANK('Apollo Dock Status'!D109),"",'Apollo Dock Status'!D109)</f>
        <v/>
      </c>
      <c r="E109" s="1" t="str">
        <f>IF(ISBLANK('Apollo Dock Status'!E109),"",'Apollo Dock Status'!E109)</f>
        <v/>
      </c>
      <c r="F109" s="1" t="str">
        <f>IF(ISBLANK('Apollo Dock Status'!F109),"",'Apollo Dock Status'!F109)</f>
        <v/>
      </c>
      <c r="G109" s="1" t="str">
        <f>IF(ISBLANK('Apollo Dock Status'!G109),"",'Apollo Dock Status'!G109)</f>
        <v/>
      </c>
      <c r="H109" s="1" t="str">
        <f>IF(ISBLANK('Apollo Dock Status'!H109),"",'Apollo Dock Status'!H109)</f>
        <v/>
      </c>
      <c r="I109" s="1" t="str">
        <f>IF(ISBLANK('Apollo Dock Status'!I109),"",'Apollo Dock Status'!I109)</f>
        <v/>
      </c>
      <c r="J109" s="1" t="str">
        <f>IF(ISBLANK('Apollo Dock Status'!J109),"",'Apollo Dock Status'!J109)</f>
        <v/>
      </c>
      <c r="K109" s="1" t="str">
        <f>IF(ISBLANK('Apollo Dock Status'!K109),"",'Apollo Dock Status'!K109)</f>
        <v/>
      </c>
      <c r="L109" s="1" t="str">
        <f>IF(ISBLANK('Apollo Dock Status'!L109),"",'Apollo Dock Status'!L109)</f>
        <v/>
      </c>
      <c r="M109" s="1" t="str">
        <f>IF(ISBLANK('Apollo Dock Status'!M109),"",'Apollo Dock Status'!M109)</f>
        <v/>
      </c>
      <c r="N109" s="1" t="str">
        <f>IF(ISBLANK('Apollo Dock Status'!N109),"",'Apollo Dock Status'!N109)</f>
        <v/>
      </c>
      <c r="O109" s="1" t="str">
        <f t="shared" si="90"/>
        <v/>
      </c>
      <c r="P109" s="1" t="str">
        <f t="shared" si="91"/>
        <v/>
      </c>
      <c r="Q109" s="1" t="str">
        <f t="shared" si="92"/>
        <v/>
      </c>
      <c r="R109" s="1" t="str">
        <f t="shared" si="93"/>
        <v/>
      </c>
      <c r="S109" s="11" t="str">
        <f t="shared" si="94"/>
        <v/>
      </c>
      <c r="T109" s="1" t="str">
        <f t="shared" si="95"/>
        <v/>
      </c>
      <c r="U109" s="11" t="str">
        <f t="shared" si="96"/>
        <v/>
      </c>
      <c r="V109" s="11" t="str">
        <f t="shared" si="97"/>
        <v/>
      </c>
      <c r="X109" s="1" t="str">
        <f t="shared" si="98"/>
        <v/>
      </c>
      <c r="Y109" s="1" t="str">
        <f t="shared" si="99"/>
        <v/>
      </c>
      <c r="Z109" s="1" t="str">
        <f t="shared" si="100"/>
        <v/>
      </c>
      <c r="AB109" s="13">
        <f t="shared" ca="1" si="101"/>
        <v>46176</v>
      </c>
      <c r="AC109" s="1">
        <f t="shared" ca="1" si="102"/>
        <v>2026</v>
      </c>
      <c r="AD109" s="1" t="str">
        <f t="shared" ca="1" si="103"/>
        <v>6</v>
      </c>
      <c r="AE109" s="1">
        <f t="shared" si="104"/>
        <v>1</v>
      </c>
      <c r="AF109" s="1" t="str">
        <f t="shared" si="105"/>
        <v/>
      </c>
      <c r="AG109" s="1">
        <f t="shared" ca="1" si="106"/>
        <v>2026</v>
      </c>
      <c r="AH109" s="1">
        <f t="shared" si="107"/>
        <v>1</v>
      </c>
      <c r="AI109" s="1" t="str">
        <f t="shared" ca="1" si="108"/>
        <v>6</v>
      </c>
      <c r="AJ109" s="13" t="e">
        <f t="shared" ca="1" si="109"/>
        <v>#VALUE!</v>
      </c>
      <c r="AK109" s="1" t="e">
        <f>IF(ISBLANK(A109),"",IFERROR(MID(F109,SEARCH(", ",F109)+LEN(", "),SEARCH(" "&amp;'Exception Stores'!$A$2,F109)-SEARCH(", ",F109)-LEN(", ")),MID(F109,SEARCH(", ",F109)+LEN(", "),SEARCH(" "&amp;'Exception Stores'!$B$2,F109)-SEARCH(", ",F109)-LEN(", "))))</f>
        <v>#VALUE!</v>
      </c>
      <c r="AL109" s="1" t="e">
        <f t="shared" si="110"/>
        <v>#VALUE!</v>
      </c>
      <c r="AM109" s="15" t="e">
        <f t="shared" ca="1" si="111"/>
        <v>#VALUE!</v>
      </c>
      <c r="AN109" s="24" t="e">
        <f t="shared" ca="1" si="112"/>
        <v>#VALUE!</v>
      </c>
      <c r="AO109" s="1" t="e">
        <f t="shared" ca="1" si="113"/>
        <v>#VALUE!</v>
      </c>
      <c r="AP109" s="13" t="e">
        <f t="shared" ca="1" si="114"/>
        <v>#VALUE!</v>
      </c>
      <c r="AQ109" s="17" t="e">
        <f t="shared" ca="1" si="115"/>
        <v>#VALUE!</v>
      </c>
      <c r="AS109" s="15" t="e">
        <f t="shared" ca="1" si="116"/>
        <v>#VALUE!</v>
      </c>
      <c r="AT109" s="5">
        <f>'Exception Stores'!$D$2</f>
        <v>0.125</v>
      </c>
      <c r="AU109" s="15" t="e">
        <f t="shared" ca="1" si="117"/>
        <v>#VALUE!</v>
      </c>
      <c r="AV109" s="15" t="e">
        <f t="shared" ca="1" si="118"/>
        <v>#VALUE!</v>
      </c>
      <c r="AW109" s="15" t="e">
        <f t="shared" ca="1" si="119"/>
        <v>#VALUE!</v>
      </c>
      <c r="AX109" s="15" t="e">
        <f t="shared" ca="1" si="120"/>
        <v>#VALUE!</v>
      </c>
      <c r="AY109" s="15" t="e">
        <f t="shared" ca="1" si="121"/>
        <v>#VALUE!</v>
      </c>
      <c r="AZ109" s="1" t="e">
        <f t="shared" ca="1" si="122"/>
        <v>#VALUE!</v>
      </c>
      <c r="BA109" s="15" t="e">
        <f t="shared" ca="1" si="123"/>
        <v>#VALUE!</v>
      </c>
      <c r="BB109" s="15" t="e">
        <f t="shared" ca="1" si="124"/>
        <v>#VALUE!</v>
      </c>
      <c r="BC109" s="1" t="e">
        <f t="shared" ca="1" si="125"/>
        <v>#VALUE!</v>
      </c>
      <c r="BE109" s="15" t="str">
        <f>IF(ISBLANK('Exception Stores'!$A$6),"",'Exception Stores'!$A$6)</f>
        <v/>
      </c>
      <c r="BF109" s="15" t="str">
        <f>IF(ISBLANK('Exception Stores'!$B$6),"",'Exception Stores'!$B$6)</f>
        <v/>
      </c>
      <c r="BG109" s="1">
        <f>IF(ISBLANK('Exception Stores'!$A$6),0,IF($AN$2&gt;$BF$2,($AN$2-$BF$2)*24,0))</f>
        <v>0</v>
      </c>
      <c r="BH109" s="11">
        <f>IF(ISBLANK('Exception Stores'!$A$6),0,($BF$2-$BE$2)*24)</f>
        <v>0</v>
      </c>
      <c r="BI10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09" s="1">
        <f>IF(ISBLANK('Exception Stores'!$A$6),0,IF($AN$2&gt;$BF$2,0,IF(AND($AN$2&lt;$BF$2,$BT$2="B"),(($BF$2-$AN$2)*24)-$BS$2,($BF$2-$AN$2)*24)))</f>
        <v>0</v>
      </c>
      <c r="BL109" s="5"/>
      <c r="BM109" s="5"/>
      <c r="BN109" s="5"/>
      <c r="BO109" s="5"/>
      <c r="BP109" s="5"/>
      <c r="BV109" s="1" t="e">
        <f t="shared" ca="1" si="126"/>
        <v>#VALUE!</v>
      </c>
      <c r="BW109" s="1" t="e">
        <f t="shared" ca="1" si="127"/>
        <v>#VALUE!</v>
      </c>
      <c r="BX109" s="1" t="e">
        <f t="shared" ca="1" si="128"/>
        <v>#VALUE!</v>
      </c>
      <c r="BY109" s="1" t="e">
        <f t="shared" ca="1" si="129"/>
        <v>#VALUE!</v>
      </c>
      <c r="BZ109" s="1" t="e">
        <f t="shared" ca="1" si="130"/>
        <v>#VALUE!</v>
      </c>
      <c r="CB109" s="1" t="str">
        <f>IF(ISBLANK('Exception Stores'!$A$6),"",WEEKDAY($BF$2))</f>
        <v/>
      </c>
      <c r="CC109" s="1" t="str">
        <f>IF(ISBLANK('Exception Stores'!$A$6),"NO",IF('Exception Stores'!$A$6&lt;$AU$2,"YES","NO"))</f>
        <v>NO</v>
      </c>
      <c r="CD109" s="1" t="str">
        <f>IF(ISBLANK('Exception Stores'!$A$6),"NO",IF('Exception Stores'!$A$6&lt;$AV$2,"YES","NO"))</f>
        <v>NO</v>
      </c>
      <c r="CE109" s="1" t="str">
        <f>IF(ISBLANK('Exception Stores'!$A$6),"NO",IF('Exception Stores'!$A$6&lt;$AW$2,"YES","NO"))</f>
        <v>NO</v>
      </c>
      <c r="CF109" s="1" t="str">
        <f>IF(ISBLANK('Exception Stores'!$A$6),"NO",IF('Exception Stores'!$A$6&lt;$AX$2,"YES","NO"))</f>
        <v>NO</v>
      </c>
      <c r="CG109" s="1" t="str">
        <f>IF(ISBLANK('Exception Stores'!$A$6),"NO",IF('Exception Stores'!$A$6&lt;$AY$2,"YES","NO"))</f>
        <v>NO</v>
      </c>
      <c r="CI109" s="42" t="str">
        <f>IF(ISBLANK('Exception Stores'!$B$6),"NO",IF('Exception Stores'!$B$6&lt;=$AU$2,"YES","NO"))</f>
        <v>NO</v>
      </c>
      <c r="CJ109" s="42" t="str">
        <f>IF(ISBLANK('Exception Stores'!$B$6),"NO",IF('Exception Stores'!$B$6&lt;=$AV$2,"YES","NO"))</f>
        <v>NO</v>
      </c>
      <c r="CK109" s="1" t="str">
        <f>IF(ISBLANK('Exception Stores'!$B$6),"NO",IF('Exception Stores'!$B$6&lt;=$AW$2,"YES","NO"))</f>
        <v>NO</v>
      </c>
      <c r="CL109" s="1" t="str">
        <f>IF(ISBLANK('Exception Stores'!$B$6),"NO",IF('Exception Stores'!$B$6&lt;=$AX$2,"YES","NO"))</f>
        <v>NO</v>
      </c>
      <c r="CM109" s="1" t="str">
        <f>IF(ISBLANK('Exception Stores'!$B$6),"NO",IF('Exception Stores'!$B$6&lt;=$AY$2,"YES","NO"))</f>
        <v>NO</v>
      </c>
      <c r="CO109" s="1" t="e">
        <f ca="1">IF(AM109&lt;'Exception Stores'!$A$6,"YES","NO")</f>
        <v>#VALUE!</v>
      </c>
      <c r="CP109" s="1">
        <f t="shared" si="131"/>
        <v>0</v>
      </c>
      <c r="CQ109" s="1">
        <f t="shared" si="132"/>
        <v>0</v>
      </c>
      <c r="CR109" s="1">
        <f t="shared" si="133"/>
        <v>0</v>
      </c>
      <c r="CS109" s="1">
        <f t="shared" si="134"/>
        <v>0</v>
      </c>
      <c r="CT109" s="1">
        <f t="shared" si="135"/>
        <v>0</v>
      </c>
      <c r="CU109" s="1">
        <f t="shared" si="136"/>
        <v>0</v>
      </c>
      <c r="CW109" s="1" t="e">
        <f t="shared" ca="1" si="141"/>
        <v>#VALUE!</v>
      </c>
      <c r="CX109" s="1" t="e">
        <f t="shared" ca="1" si="142"/>
        <v>#VALUE!</v>
      </c>
      <c r="CY109" s="1" t="e">
        <f t="shared" ca="1" si="143"/>
        <v>#VALUE!</v>
      </c>
      <c r="CZ109" s="1" t="e">
        <f t="shared" ca="1" si="144"/>
        <v>#VALUE!</v>
      </c>
      <c r="DA109" s="1" t="e">
        <f t="shared" ca="1" si="145"/>
        <v>#VALUE!</v>
      </c>
      <c r="DB109" s="26" t="e">
        <f t="shared" ca="1" si="137"/>
        <v>#VALUE!</v>
      </c>
      <c r="DC109" s="1">
        <f t="shared" si="146"/>
        <v>0</v>
      </c>
      <c r="DD109" s="1">
        <f t="shared" si="147"/>
        <v>0</v>
      </c>
      <c r="DE109" s="1">
        <f t="shared" si="148"/>
        <v>0</v>
      </c>
      <c r="DF109" s="1">
        <f t="shared" si="149"/>
        <v>0</v>
      </c>
      <c r="DG109" s="1">
        <f t="shared" si="150"/>
        <v>0</v>
      </c>
      <c r="DH109" s="26">
        <f t="shared" si="138"/>
        <v>0</v>
      </c>
      <c r="DI109" s="1" t="e">
        <f t="shared" ca="1" si="139"/>
        <v>#VALUE!</v>
      </c>
      <c r="DK109" s="11" t="str">
        <f t="shared" si="151"/>
        <v/>
      </c>
      <c r="DL109" s="11" t="e">
        <f ca="1">IF(AND(NOT(ISBLANK('Exception Stores'!$A$6)),CO109="YES"),S109-$BH$2-(DI109*$BS$2)-(CU109*$BS$2),S109-(DB109*$BS$2))</f>
        <v>#VALUE!</v>
      </c>
      <c r="DM109" s="11" t="str">
        <f>IF(ISBLANK(A109),"",IF(COUNTIF(Remaps!$A$2:$A$200,B109)&gt;0,"YES",""))</f>
        <v>YES</v>
      </c>
      <c r="DN109" s="29">
        <f>IFERROR(INDEX(Remaps!$B$2:$B$200,MATCH(B109,Remaps!$A$2:$A$200,0),1),0)</f>
        <v>0</v>
      </c>
      <c r="DO109" s="11" t="e">
        <f t="shared" ca="1" si="152"/>
        <v>#VALUE!</v>
      </c>
      <c r="DP109" s="29" t="e">
        <f t="shared" si="153"/>
        <v>#VALUE!</v>
      </c>
      <c r="DQ109" s="11" t="e">
        <f ca="1">('Apollo Dock Status'!$Z$1-DP109)/DO109</f>
        <v>#VALUE!</v>
      </c>
      <c r="DR109" s="15" t="e">
        <f t="shared" ca="1" si="140"/>
        <v>#VALUE!</v>
      </c>
    </row>
    <row r="110" spans="1:122">
      <c r="A110" s="1" t="str">
        <f>IF(ISBLANK('Apollo Dock Status'!A110),"",'Apollo Dock Status'!A110)</f>
        <v/>
      </c>
      <c r="B110" s="1" t="str">
        <f>IF(ISBLANK('Apollo Dock Status'!B110),"",'Apollo Dock Status'!B110)</f>
        <v/>
      </c>
      <c r="C110" s="1" t="str">
        <f>IF(ISBLANK('Apollo Dock Status'!C110),"",'Apollo Dock Status'!C110)</f>
        <v/>
      </c>
      <c r="D110" s="1" t="str">
        <f>IF(ISBLANK('Apollo Dock Status'!D110),"",'Apollo Dock Status'!D110)</f>
        <v/>
      </c>
      <c r="E110" s="1" t="str">
        <f>IF(ISBLANK('Apollo Dock Status'!E110),"",'Apollo Dock Status'!E110)</f>
        <v/>
      </c>
      <c r="F110" s="1" t="str">
        <f>IF(ISBLANK('Apollo Dock Status'!F110),"",'Apollo Dock Status'!F110)</f>
        <v/>
      </c>
      <c r="G110" s="1" t="str">
        <f>IF(ISBLANK('Apollo Dock Status'!G110),"",'Apollo Dock Status'!G110)</f>
        <v/>
      </c>
      <c r="H110" s="1" t="str">
        <f>IF(ISBLANK('Apollo Dock Status'!H110),"",'Apollo Dock Status'!H110)</f>
        <v/>
      </c>
      <c r="I110" s="1" t="str">
        <f>IF(ISBLANK('Apollo Dock Status'!I110),"",'Apollo Dock Status'!I110)</f>
        <v/>
      </c>
      <c r="J110" s="1" t="str">
        <f>IF(ISBLANK('Apollo Dock Status'!J110),"",'Apollo Dock Status'!J110)</f>
        <v/>
      </c>
      <c r="K110" s="1" t="str">
        <f>IF(ISBLANK('Apollo Dock Status'!K110),"",'Apollo Dock Status'!K110)</f>
        <v/>
      </c>
      <c r="L110" s="1" t="str">
        <f>IF(ISBLANK('Apollo Dock Status'!L110),"",'Apollo Dock Status'!L110)</f>
        <v/>
      </c>
      <c r="M110" s="1" t="str">
        <f>IF(ISBLANK('Apollo Dock Status'!M110),"",'Apollo Dock Status'!M110)</f>
        <v/>
      </c>
      <c r="N110" s="1" t="str">
        <f>IF(ISBLANK('Apollo Dock Status'!N110),"",'Apollo Dock Status'!N110)</f>
        <v/>
      </c>
      <c r="O110" s="1" t="str">
        <f t="shared" si="90"/>
        <v/>
      </c>
      <c r="P110" s="1" t="str">
        <f t="shared" si="91"/>
        <v/>
      </c>
      <c r="Q110" s="1" t="str">
        <f t="shared" si="92"/>
        <v/>
      </c>
      <c r="R110" s="1" t="str">
        <f t="shared" si="93"/>
        <v/>
      </c>
      <c r="S110" s="11" t="str">
        <f t="shared" si="94"/>
        <v/>
      </c>
      <c r="T110" s="1" t="str">
        <f t="shared" si="95"/>
        <v/>
      </c>
      <c r="U110" s="11" t="str">
        <f t="shared" si="96"/>
        <v/>
      </c>
      <c r="V110" s="11" t="str">
        <f t="shared" si="97"/>
        <v/>
      </c>
      <c r="X110" s="1" t="str">
        <f t="shared" si="98"/>
        <v/>
      </c>
      <c r="Y110" s="1" t="str">
        <f t="shared" si="99"/>
        <v/>
      </c>
      <c r="Z110" s="1" t="str">
        <f t="shared" si="100"/>
        <v/>
      </c>
      <c r="AB110" s="13">
        <f t="shared" ca="1" si="101"/>
        <v>46176</v>
      </c>
      <c r="AC110" s="1">
        <f t="shared" ca="1" si="102"/>
        <v>2026</v>
      </c>
      <c r="AD110" s="1" t="str">
        <f t="shared" ca="1" si="103"/>
        <v>6</v>
      </c>
      <c r="AE110" s="1">
        <f t="shared" si="104"/>
        <v>1</v>
      </c>
      <c r="AF110" s="1" t="str">
        <f t="shared" si="105"/>
        <v/>
      </c>
      <c r="AG110" s="1">
        <f t="shared" ca="1" si="106"/>
        <v>2026</v>
      </c>
      <c r="AH110" s="1">
        <f t="shared" si="107"/>
        <v>1</v>
      </c>
      <c r="AI110" s="1" t="str">
        <f t="shared" ca="1" si="108"/>
        <v>6</v>
      </c>
      <c r="AJ110" s="13" t="e">
        <f t="shared" ca="1" si="109"/>
        <v>#VALUE!</v>
      </c>
      <c r="AK110" s="1" t="e">
        <f>IF(ISBLANK(A110),"",IFERROR(MID(F110,SEARCH(", ",F110)+LEN(", "),SEARCH(" "&amp;'Exception Stores'!$A$2,F110)-SEARCH(", ",F110)-LEN(", ")),MID(F110,SEARCH(", ",F110)+LEN(", "),SEARCH(" "&amp;'Exception Stores'!$B$2,F110)-SEARCH(", ",F110)-LEN(", "))))</f>
        <v>#VALUE!</v>
      </c>
      <c r="AL110" s="1" t="e">
        <f t="shared" si="110"/>
        <v>#VALUE!</v>
      </c>
      <c r="AM110" s="15" t="e">
        <f t="shared" ca="1" si="111"/>
        <v>#VALUE!</v>
      </c>
      <c r="AN110" s="24" t="e">
        <f t="shared" ca="1" si="112"/>
        <v>#VALUE!</v>
      </c>
      <c r="AO110" s="1" t="e">
        <f t="shared" ca="1" si="113"/>
        <v>#VALUE!</v>
      </c>
      <c r="AP110" s="13" t="e">
        <f t="shared" ca="1" si="114"/>
        <v>#VALUE!</v>
      </c>
      <c r="AQ110" s="17" t="e">
        <f t="shared" ca="1" si="115"/>
        <v>#VALUE!</v>
      </c>
      <c r="AS110" s="15" t="e">
        <f t="shared" ca="1" si="116"/>
        <v>#VALUE!</v>
      </c>
      <c r="AT110" s="5">
        <f>'Exception Stores'!$D$2</f>
        <v>0.125</v>
      </c>
      <c r="AU110" s="15" t="e">
        <f t="shared" ca="1" si="117"/>
        <v>#VALUE!</v>
      </c>
      <c r="AV110" s="15" t="e">
        <f t="shared" ca="1" si="118"/>
        <v>#VALUE!</v>
      </c>
      <c r="AW110" s="15" t="e">
        <f t="shared" ca="1" si="119"/>
        <v>#VALUE!</v>
      </c>
      <c r="AX110" s="15" t="e">
        <f t="shared" ca="1" si="120"/>
        <v>#VALUE!</v>
      </c>
      <c r="AY110" s="15" t="e">
        <f t="shared" ca="1" si="121"/>
        <v>#VALUE!</v>
      </c>
      <c r="AZ110" s="1" t="e">
        <f t="shared" ca="1" si="122"/>
        <v>#VALUE!</v>
      </c>
      <c r="BA110" s="15" t="e">
        <f t="shared" ca="1" si="123"/>
        <v>#VALUE!</v>
      </c>
      <c r="BB110" s="15" t="e">
        <f t="shared" ca="1" si="124"/>
        <v>#VALUE!</v>
      </c>
      <c r="BC110" s="1" t="e">
        <f t="shared" ca="1" si="125"/>
        <v>#VALUE!</v>
      </c>
      <c r="BE110" s="15" t="str">
        <f>IF(ISBLANK('Exception Stores'!$A$6),"",'Exception Stores'!$A$6)</f>
        <v/>
      </c>
      <c r="BF110" s="15" t="str">
        <f>IF(ISBLANK('Exception Stores'!$B$6),"",'Exception Stores'!$B$6)</f>
        <v/>
      </c>
      <c r="BG110" s="1">
        <f>IF(ISBLANK('Exception Stores'!$A$6),0,IF($AN$2&gt;$BF$2,($AN$2-$BF$2)*24,0))</f>
        <v>0</v>
      </c>
      <c r="BH110" s="11">
        <f>IF(ISBLANK('Exception Stores'!$A$6),0,($BF$2-$BE$2)*24)</f>
        <v>0</v>
      </c>
      <c r="BI11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10" s="1">
        <f>IF(ISBLANK('Exception Stores'!$A$6),0,IF($AN$2&gt;$BF$2,0,IF(AND($AN$2&lt;$BF$2,$BT$2="B"),(($BF$2-$AN$2)*24)-$BS$2,($BF$2-$AN$2)*24)))</f>
        <v>0</v>
      </c>
      <c r="BL110" s="5"/>
      <c r="BM110" s="5"/>
      <c r="BN110" s="5"/>
      <c r="BO110" s="5"/>
      <c r="BP110" s="5"/>
      <c r="BV110" s="1" t="e">
        <f t="shared" ca="1" si="126"/>
        <v>#VALUE!</v>
      </c>
      <c r="BW110" s="1" t="e">
        <f t="shared" ca="1" si="127"/>
        <v>#VALUE!</v>
      </c>
      <c r="BX110" s="1" t="e">
        <f t="shared" ca="1" si="128"/>
        <v>#VALUE!</v>
      </c>
      <c r="BY110" s="1" t="e">
        <f t="shared" ca="1" si="129"/>
        <v>#VALUE!</v>
      </c>
      <c r="BZ110" s="1" t="e">
        <f t="shared" ca="1" si="130"/>
        <v>#VALUE!</v>
      </c>
      <c r="CB110" s="1" t="str">
        <f>IF(ISBLANK('Exception Stores'!$A$6),"",WEEKDAY($BF$2))</f>
        <v/>
      </c>
      <c r="CC110" s="1" t="str">
        <f>IF(ISBLANK('Exception Stores'!$A$6),"NO",IF('Exception Stores'!$A$6&lt;$AU$2,"YES","NO"))</f>
        <v>NO</v>
      </c>
      <c r="CD110" s="1" t="str">
        <f>IF(ISBLANK('Exception Stores'!$A$6),"NO",IF('Exception Stores'!$A$6&lt;$AV$2,"YES","NO"))</f>
        <v>NO</v>
      </c>
      <c r="CE110" s="1" t="str">
        <f>IF(ISBLANK('Exception Stores'!$A$6),"NO",IF('Exception Stores'!$A$6&lt;$AW$2,"YES","NO"))</f>
        <v>NO</v>
      </c>
      <c r="CF110" s="1" t="str">
        <f>IF(ISBLANK('Exception Stores'!$A$6),"NO",IF('Exception Stores'!$A$6&lt;$AX$2,"YES","NO"))</f>
        <v>NO</v>
      </c>
      <c r="CG110" s="1" t="str">
        <f>IF(ISBLANK('Exception Stores'!$A$6),"NO",IF('Exception Stores'!$A$6&lt;$AY$2,"YES","NO"))</f>
        <v>NO</v>
      </c>
      <c r="CI110" s="42" t="str">
        <f>IF(ISBLANK('Exception Stores'!$B$6),"NO",IF('Exception Stores'!$B$6&lt;=$AU$2,"YES","NO"))</f>
        <v>NO</v>
      </c>
      <c r="CJ110" s="42" t="str">
        <f>IF(ISBLANK('Exception Stores'!$B$6),"NO",IF('Exception Stores'!$B$6&lt;=$AV$2,"YES","NO"))</f>
        <v>NO</v>
      </c>
      <c r="CK110" s="1" t="str">
        <f>IF(ISBLANK('Exception Stores'!$B$6),"NO",IF('Exception Stores'!$B$6&lt;=$AW$2,"YES","NO"))</f>
        <v>NO</v>
      </c>
      <c r="CL110" s="1" t="str">
        <f>IF(ISBLANK('Exception Stores'!$B$6),"NO",IF('Exception Stores'!$B$6&lt;=$AX$2,"YES","NO"))</f>
        <v>NO</v>
      </c>
      <c r="CM110" s="1" t="str">
        <f>IF(ISBLANK('Exception Stores'!$B$6),"NO",IF('Exception Stores'!$B$6&lt;=$AY$2,"YES","NO"))</f>
        <v>NO</v>
      </c>
      <c r="CO110" s="1" t="e">
        <f ca="1">IF(AM110&lt;'Exception Stores'!$A$6,"YES","NO")</f>
        <v>#VALUE!</v>
      </c>
      <c r="CP110" s="1">
        <f t="shared" si="131"/>
        <v>0</v>
      </c>
      <c r="CQ110" s="1">
        <f t="shared" si="132"/>
        <v>0</v>
      </c>
      <c r="CR110" s="1">
        <f t="shared" si="133"/>
        <v>0</v>
      </c>
      <c r="CS110" s="1">
        <f t="shared" si="134"/>
        <v>0</v>
      </c>
      <c r="CT110" s="1">
        <f t="shared" si="135"/>
        <v>0</v>
      </c>
      <c r="CU110" s="1">
        <f t="shared" si="136"/>
        <v>0</v>
      </c>
      <c r="CW110" s="1" t="e">
        <f t="shared" ca="1" si="141"/>
        <v>#VALUE!</v>
      </c>
      <c r="CX110" s="1" t="e">
        <f t="shared" ca="1" si="142"/>
        <v>#VALUE!</v>
      </c>
      <c r="CY110" s="1" t="e">
        <f t="shared" ca="1" si="143"/>
        <v>#VALUE!</v>
      </c>
      <c r="CZ110" s="1" t="e">
        <f t="shared" ca="1" si="144"/>
        <v>#VALUE!</v>
      </c>
      <c r="DA110" s="1" t="e">
        <f t="shared" ca="1" si="145"/>
        <v>#VALUE!</v>
      </c>
      <c r="DB110" s="26" t="e">
        <f t="shared" ca="1" si="137"/>
        <v>#VALUE!</v>
      </c>
      <c r="DC110" s="1">
        <f t="shared" si="146"/>
        <v>0</v>
      </c>
      <c r="DD110" s="1">
        <f t="shared" si="147"/>
        <v>0</v>
      </c>
      <c r="DE110" s="1">
        <f t="shared" si="148"/>
        <v>0</v>
      </c>
      <c r="DF110" s="1">
        <f t="shared" si="149"/>
        <v>0</v>
      </c>
      <c r="DG110" s="1">
        <f t="shared" si="150"/>
        <v>0</v>
      </c>
      <c r="DH110" s="26">
        <f t="shared" si="138"/>
        <v>0</v>
      </c>
      <c r="DI110" s="1" t="e">
        <f t="shared" ca="1" si="139"/>
        <v>#VALUE!</v>
      </c>
      <c r="DK110" s="11" t="str">
        <f t="shared" si="151"/>
        <v/>
      </c>
      <c r="DL110" s="11" t="e">
        <f ca="1">IF(AND(NOT(ISBLANK('Exception Stores'!$A$6)),CO110="YES"),S110-$BH$2-(DI110*$BS$2)-(CU110*$BS$2),S110-(DB110*$BS$2))</f>
        <v>#VALUE!</v>
      </c>
      <c r="DM110" s="11" t="str">
        <f>IF(ISBLANK(A110),"",IF(COUNTIF(Remaps!$A$2:$A$200,B110)&gt;0,"YES",""))</f>
        <v>YES</v>
      </c>
      <c r="DN110" s="29">
        <f>IFERROR(INDEX(Remaps!$B$2:$B$200,MATCH(B110,Remaps!$A$2:$A$200,0),1),0)</f>
        <v>0</v>
      </c>
      <c r="DO110" s="11" t="e">
        <f t="shared" ca="1" si="152"/>
        <v>#VALUE!</v>
      </c>
      <c r="DP110" s="29" t="e">
        <f t="shared" si="153"/>
        <v>#VALUE!</v>
      </c>
      <c r="DQ110" s="11" t="e">
        <f ca="1">('Apollo Dock Status'!$Z$1-DP110)/DO110</f>
        <v>#VALUE!</v>
      </c>
      <c r="DR110" s="15" t="e">
        <f t="shared" ca="1" si="140"/>
        <v>#VALUE!</v>
      </c>
    </row>
    <row r="111" spans="1:122">
      <c r="A111" s="1" t="str">
        <f>IF(ISBLANK('Apollo Dock Status'!A111),"",'Apollo Dock Status'!A111)</f>
        <v/>
      </c>
      <c r="B111" s="1" t="str">
        <f>IF(ISBLANK('Apollo Dock Status'!B111),"",'Apollo Dock Status'!B111)</f>
        <v/>
      </c>
      <c r="C111" s="1" t="str">
        <f>IF(ISBLANK('Apollo Dock Status'!C111),"",'Apollo Dock Status'!C111)</f>
        <v/>
      </c>
      <c r="D111" s="1" t="str">
        <f>IF(ISBLANK('Apollo Dock Status'!D111),"",'Apollo Dock Status'!D111)</f>
        <v/>
      </c>
      <c r="E111" s="1" t="str">
        <f>IF(ISBLANK('Apollo Dock Status'!E111),"",'Apollo Dock Status'!E111)</f>
        <v/>
      </c>
      <c r="F111" s="1" t="str">
        <f>IF(ISBLANK('Apollo Dock Status'!F111),"",'Apollo Dock Status'!F111)</f>
        <v/>
      </c>
      <c r="G111" s="1" t="str">
        <f>IF(ISBLANK('Apollo Dock Status'!G111),"",'Apollo Dock Status'!G111)</f>
        <v/>
      </c>
      <c r="H111" s="1" t="str">
        <f>IF(ISBLANK('Apollo Dock Status'!H111),"",'Apollo Dock Status'!H111)</f>
        <v/>
      </c>
      <c r="I111" s="1" t="str">
        <f>IF(ISBLANK('Apollo Dock Status'!I111),"",'Apollo Dock Status'!I111)</f>
        <v/>
      </c>
      <c r="J111" s="1" t="str">
        <f>IF(ISBLANK('Apollo Dock Status'!J111),"",'Apollo Dock Status'!J111)</f>
        <v/>
      </c>
      <c r="K111" s="1" t="str">
        <f>IF(ISBLANK('Apollo Dock Status'!K111),"",'Apollo Dock Status'!K111)</f>
        <v/>
      </c>
      <c r="L111" s="1" t="str">
        <f>IF(ISBLANK('Apollo Dock Status'!L111),"",'Apollo Dock Status'!L111)</f>
        <v/>
      </c>
      <c r="M111" s="1" t="str">
        <f>IF(ISBLANK('Apollo Dock Status'!M111),"",'Apollo Dock Status'!M111)</f>
        <v/>
      </c>
      <c r="N111" s="1" t="str">
        <f>IF(ISBLANK('Apollo Dock Status'!N111),"",'Apollo Dock Status'!N111)</f>
        <v/>
      </c>
      <c r="O111" s="1" t="str">
        <f t="shared" si="90"/>
        <v/>
      </c>
      <c r="P111" s="1" t="str">
        <f t="shared" si="91"/>
        <v/>
      </c>
      <c r="Q111" s="1" t="str">
        <f t="shared" si="92"/>
        <v/>
      </c>
      <c r="R111" s="1" t="str">
        <f t="shared" si="93"/>
        <v/>
      </c>
      <c r="S111" s="11" t="str">
        <f t="shared" si="94"/>
        <v/>
      </c>
      <c r="T111" s="1" t="str">
        <f t="shared" si="95"/>
        <v/>
      </c>
      <c r="U111" s="11" t="str">
        <f t="shared" si="96"/>
        <v/>
      </c>
      <c r="V111" s="11" t="str">
        <f t="shared" si="97"/>
        <v/>
      </c>
      <c r="X111" s="1" t="str">
        <f t="shared" si="98"/>
        <v/>
      </c>
      <c r="Y111" s="1" t="str">
        <f t="shared" si="99"/>
        <v/>
      </c>
      <c r="Z111" s="1" t="str">
        <f t="shared" si="100"/>
        <v/>
      </c>
      <c r="AB111" s="13">
        <f t="shared" ca="1" si="101"/>
        <v>46176</v>
      </c>
      <c r="AC111" s="1">
        <f t="shared" ca="1" si="102"/>
        <v>2026</v>
      </c>
      <c r="AD111" s="1" t="str">
        <f t="shared" ca="1" si="103"/>
        <v>6</v>
      </c>
      <c r="AE111" s="1">
        <f t="shared" si="104"/>
        <v>1</v>
      </c>
      <c r="AF111" s="1" t="str">
        <f t="shared" si="105"/>
        <v/>
      </c>
      <c r="AG111" s="1">
        <f t="shared" ca="1" si="106"/>
        <v>2026</v>
      </c>
      <c r="AH111" s="1">
        <f t="shared" si="107"/>
        <v>1</v>
      </c>
      <c r="AI111" s="1" t="str">
        <f t="shared" ca="1" si="108"/>
        <v>6</v>
      </c>
      <c r="AJ111" s="13" t="e">
        <f t="shared" ca="1" si="109"/>
        <v>#VALUE!</v>
      </c>
      <c r="AK111" s="1" t="e">
        <f>IF(ISBLANK(A111),"",IFERROR(MID(F111,SEARCH(", ",F111)+LEN(", "),SEARCH(" "&amp;'Exception Stores'!$A$2,F111)-SEARCH(", ",F111)-LEN(", ")),MID(F111,SEARCH(", ",F111)+LEN(", "),SEARCH(" "&amp;'Exception Stores'!$B$2,F111)-SEARCH(", ",F111)-LEN(", "))))</f>
        <v>#VALUE!</v>
      </c>
      <c r="AL111" s="1" t="e">
        <f t="shared" si="110"/>
        <v>#VALUE!</v>
      </c>
      <c r="AM111" s="15" t="e">
        <f t="shared" ca="1" si="111"/>
        <v>#VALUE!</v>
      </c>
      <c r="AN111" s="24" t="e">
        <f t="shared" ca="1" si="112"/>
        <v>#VALUE!</v>
      </c>
      <c r="AO111" s="1" t="e">
        <f t="shared" ca="1" si="113"/>
        <v>#VALUE!</v>
      </c>
      <c r="AP111" s="13" t="e">
        <f t="shared" ca="1" si="114"/>
        <v>#VALUE!</v>
      </c>
      <c r="AQ111" s="17" t="e">
        <f t="shared" ca="1" si="115"/>
        <v>#VALUE!</v>
      </c>
      <c r="AS111" s="15" t="e">
        <f t="shared" ca="1" si="116"/>
        <v>#VALUE!</v>
      </c>
      <c r="AT111" s="5">
        <f>'Exception Stores'!$D$2</f>
        <v>0.125</v>
      </c>
      <c r="AU111" s="15" t="e">
        <f t="shared" ca="1" si="117"/>
        <v>#VALUE!</v>
      </c>
      <c r="AV111" s="15" t="e">
        <f t="shared" ca="1" si="118"/>
        <v>#VALUE!</v>
      </c>
      <c r="AW111" s="15" t="e">
        <f t="shared" ca="1" si="119"/>
        <v>#VALUE!</v>
      </c>
      <c r="AX111" s="15" t="e">
        <f t="shared" ca="1" si="120"/>
        <v>#VALUE!</v>
      </c>
      <c r="AY111" s="15" t="e">
        <f t="shared" ca="1" si="121"/>
        <v>#VALUE!</v>
      </c>
      <c r="AZ111" s="1" t="e">
        <f t="shared" ca="1" si="122"/>
        <v>#VALUE!</v>
      </c>
      <c r="BA111" s="15" t="e">
        <f t="shared" ca="1" si="123"/>
        <v>#VALUE!</v>
      </c>
      <c r="BB111" s="15" t="e">
        <f t="shared" ca="1" si="124"/>
        <v>#VALUE!</v>
      </c>
      <c r="BC111" s="1" t="e">
        <f t="shared" ca="1" si="125"/>
        <v>#VALUE!</v>
      </c>
      <c r="BE111" s="15" t="str">
        <f>IF(ISBLANK('Exception Stores'!$A$6),"",'Exception Stores'!$A$6)</f>
        <v/>
      </c>
      <c r="BF111" s="15" t="str">
        <f>IF(ISBLANK('Exception Stores'!$B$6),"",'Exception Stores'!$B$6)</f>
        <v/>
      </c>
      <c r="BG111" s="1">
        <f>IF(ISBLANK('Exception Stores'!$A$6),0,IF($AN$2&gt;$BF$2,($AN$2-$BF$2)*24,0))</f>
        <v>0</v>
      </c>
      <c r="BH111" s="11">
        <f>IF(ISBLANK('Exception Stores'!$A$6),0,($BF$2-$BE$2)*24)</f>
        <v>0</v>
      </c>
      <c r="BI11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11" s="1">
        <f>IF(ISBLANK('Exception Stores'!$A$6),0,IF($AN$2&gt;$BF$2,0,IF(AND($AN$2&lt;$BF$2,$BT$2="B"),(($BF$2-$AN$2)*24)-$BS$2,($BF$2-$AN$2)*24)))</f>
        <v>0</v>
      </c>
      <c r="BL111" s="5"/>
      <c r="BM111" s="5"/>
      <c r="BN111" s="5"/>
      <c r="BO111" s="5"/>
      <c r="BP111" s="5"/>
      <c r="BV111" s="1" t="e">
        <f t="shared" ca="1" si="126"/>
        <v>#VALUE!</v>
      </c>
      <c r="BW111" s="1" t="e">
        <f t="shared" ca="1" si="127"/>
        <v>#VALUE!</v>
      </c>
      <c r="BX111" s="1" t="e">
        <f t="shared" ca="1" si="128"/>
        <v>#VALUE!</v>
      </c>
      <c r="BY111" s="1" t="e">
        <f t="shared" ca="1" si="129"/>
        <v>#VALUE!</v>
      </c>
      <c r="BZ111" s="1" t="e">
        <f t="shared" ca="1" si="130"/>
        <v>#VALUE!</v>
      </c>
      <c r="CB111" s="1" t="str">
        <f>IF(ISBLANK('Exception Stores'!$A$6),"",WEEKDAY($BF$2))</f>
        <v/>
      </c>
      <c r="CC111" s="1" t="str">
        <f>IF(ISBLANK('Exception Stores'!$A$6),"NO",IF('Exception Stores'!$A$6&lt;$AU$2,"YES","NO"))</f>
        <v>NO</v>
      </c>
      <c r="CD111" s="1" t="str">
        <f>IF(ISBLANK('Exception Stores'!$A$6),"NO",IF('Exception Stores'!$A$6&lt;$AV$2,"YES","NO"))</f>
        <v>NO</v>
      </c>
      <c r="CE111" s="1" t="str">
        <f>IF(ISBLANK('Exception Stores'!$A$6),"NO",IF('Exception Stores'!$A$6&lt;$AW$2,"YES","NO"))</f>
        <v>NO</v>
      </c>
      <c r="CF111" s="1" t="str">
        <f>IF(ISBLANK('Exception Stores'!$A$6),"NO",IF('Exception Stores'!$A$6&lt;$AX$2,"YES","NO"))</f>
        <v>NO</v>
      </c>
      <c r="CG111" s="1" t="str">
        <f>IF(ISBLANK('Exception Stores'!$A$6),"NO",IF('Exception Stores'!$A$6&lt;$AY$2,"YES","NO"))</f>
        <v>NO</v>
      </c>
      <c r="CI111" s="42" t="str">
        <f>IF(ISBLANK('Exception Stores'!$B$6),"NO",IF('Exception Stores'!$B$6&lt;=$AU$2,"YES","NO"))</f>
        <v>NO</v>
      </c>
      <c r="CJ111" s="42" t="str">
        <f>IF(ISBLANK('Exception Stores'!$B$6),"NO",IF('Exception Stores'!$B$6&lt;=$AV$2,"YES","NO"))</f>
        <v>NO</v>
      </c>
      <c r="CK111" s="1" t="str">
        <f>IF(ISBLANK('Exception Stores'!$B$6),"NO",IF('Exception Stores'!$B$6&lt;=$AW$2,"YES","NO"))</f>
        <v>NO</v>
      </c>
      <c r="CL111" s="1" t="str">
        <f>IF(ISBLANK('Exception Stores'!$B$6),"NO",IF('Exception Stores'!$B$6&lt;=$AX$2,"YES","NO"))</f>
        <v>NO</v>
      </c>
      <c r="CM111" s="1" t="str">
        <f>IF(ISBLANK('Exception Stores'!$B$6),"NO",IF('Exception Stores'!$B$6&lt;=$AY$2,"YES","NO"))</f>
        <v>NO</v>
      </c>
      <c r="CO111" s="1" t="e">
        <f ca="1">IF(AM111&lt;'Exception Stores'!$A$6,"YES","NO")</f>
        <v>#VALUE!</v>
      </c>
      <c r="CP111" s="1">
        <f t="shared" si="131"/>
        <v>0</v>
      </c>
      <c r="CQ111" s="1">
        <f t="shared" si="132"/>
        <v>0</v>
      </c>
      <c r="CR111" s="1">
        <f t="shared" si="133"/>
        <v>0</v>
      </c>
      <c r="CS111" s="1">
        <f t="shared" si="134"/>
        <v>0</v>
      </c>
      <c r="CT111" s="1">
        <f t="shared" si="135"/>
        <v>0</v>
      </c>
      <c r="CU111" s="1">
        <f t="shared" si="136"/>
        <v>0</v>
      </c>
      <c r="CW111" s="1" t="e">
        <f t="shared" ca="1" si="141"/>
        <v>#VALUE!</v>
      </c>
      <c r="CX111" s="1" t="e">
        <f t="shared" ca="1" si="142"/>
        <v>#VALUE!</v>
      </c>
      <c r="CY111" s="1" t="e">
        <f t="shared" ca="1" si="143"/>
        <v>#VALUE!</v>
      </c>
      <c r="CZ111" s="1" t="e">
        <f t="shared" ca="1" si="144"/>
        <v>#VALUE!</v>
      </c>
      <c r="DA111" s="1" t="e">
        <f t="shared" ca="1" si="145"/>
        <v>#VALUE!</v>
      </c>
      <c r="DB111" s="26" t="e">
        <f t="shared" ca="1" si="137"/>
        <v>#VALUE!</v>
      </c>
      <c r="DC111" s="1">
        <f t="shared" si="146"/>
        <v>0</v>
      </c>
      <c r="DD111" s="1">
        <f t="shared" si="147"/>
        <v>0</v>
      </c>
      <c r="DE111" s="1">
        <f t="shared" si="148"/>
        <v>0</v>
      </c>
      <c r="DF111" s="1">
        <f t="shared" si="149"/>
        <v>0</v>
      </c>
      <c r="DG111" s="1">
        <f t="shared" si="150"/>
        <v>0</v>
      </c>
      <c r="DH111" s="26">
        <f t="shared" si="138"/>
        <v>0</v>
      </c>
      <c r="DI111" s="1" t="e">
        <f t="shared" ca="1" si="139"/>
        <v>#VALUE!</v>
      </c>
      <c r="DK111" s="11" t="str">
        <f t="shared" si="151"/>
        <v/>
      </c>
      <c r="DL111" s="11" t="e">
        <f ca="1">IF(AND(NOT(ISBLANK('Exception Stores'!$A$6)),CO111="YES"),S111-$BH$2-(DI111*$BS$2)-(CU111*$BS$2),S111-(DB111*$BS$2))</f>
        <v>#VALUE!</v>
      </c>
      <c r="DM111" s="11" t="str">
        <f>IF(ISBLANK(A111),"",IF(COUNTIF(Remaps!$A$2:$A$200,B111)&gt;0,"YES",""))</f>
        <v>YES</v>
      </c>
      <c r="DN111" s="29">
        <f>IFERROR(INDEX(Remaps!$B$2:$B$200,MATCH(B111,Remaps!$A$2:$A$200,0),1),0)</f>
        <v>0</v>
      </c>
      <c r="DO111" s="11" t="e">
        <f t="shared" ca="1" si="152"/>
        <v>#VALUE!</v>
      </c>
      <c r="DP111" s="29" t="e">
        <f t="shared" si="153"/>
        <v>#VALUE!</v>
      </c>
      <c r="DQ111" s="11" t="e">
        <f ca="1">('Apollo Dock Status'!$Z$1-DP111)/DO111</f>
        <v>#VALUE!</v>
      </c>
      <c r="DR111" s="15" t="e">
        <f t="shared" ca="1" si="140"/>
        <v>#VALUE!</v>
      </c>
    </row>
    <row r="112" spans="1:122">
      <c r="A112" s="1" t="str">
        <f>IF(ISBLANK('Apollo Dock Status'!A112),"",'Apollo Dock Status'!A112)</f>
        <v/>
      </c>
      <c r="B112" s="1" t="str">
        <f>IF(ISBLANK('Apollo Dock Status'!B112),"",'Apollo Dock Status'!B112)</f>
        <v/>
      </c>
      <c r="C112" s="1" t="str">
        <f>IF(ISBLANK('Apollo Dock Status'!C112),"",'Apollo Dock Status'!C112)</f>
        <v/>
      </c>
      <c r="D112" s="1" t="str">
        <f>IF(ISBLANK('Apollo Dock Status'!D112),"",'Apollo Dock Status'!D112)</f>
        <v/>
      </c>
      <c r="E112" s="1" t="str">
        <f>IF(ISBLANK('Apollo Dock Status'!E112),"",'Apollo Dock Status'!E112)</f>
        <v/>
      </c>
      <c r="F112" s="1" t="str">
        <f>IF(ISBLANK('Apollo Dock Status'!F112),"",'Apollo Dock Status'!F112)</f>
        <v/>
      </c>
      <c r="G112" s="1" t="str">
        <f>IF(ISBLANK('Apollo Dock Status'!G112),"",'Apollo Dock Status'!G112)</f>
        <v/>
      </c>
      <c r="H112" s="1" t="str">
        <f>IF(ISBLANK('Apollo Dock Status'!H112),"",'Apollo Dock Status'!H112)</f>
        <v/>
      </c>
      <c r="I112" s="1" t="str">
        <f>IF(ISBLANK('Apollo Dock Status'!I112),"",'Apollo Dock Status'!I112)</f>
        <v/>
      </c>
      <c r="J112" s="1" t="str">
        <f>IF(ISBLANK('Apollo Dock Status'!J112),"",'Apollo Dock Status'!J112)</f>
        <v/>
      </c>
      <c r="K112" s="1" t="str">
        <f>IF(ISBLANK('Apollo Dock Status'!K112),"",'Apollo Dock Status'!K112)</f>
        <v/>
      </c>
      <c r="L112" s="1" t="str">
        <f>IF(ISBLANK('Apollo Dock Status'!L112),"",'Apollo Dock Status'!L112)</f>
        <v/>
      </c>
      <c r="M112" s="1" t="str">
        <f>IF(ISBLANK('Apollo Dock Status'!M112),"",'Apollo Dock Status'!M112)</f>
        <v/>
      </c>
      <c r="N112" s="1" t="str">
        <f>IF(ISBLANK('Apollo Dock Status'!N112),"",'Apollo Dock Status'!N112)</f>
        <v/>
      </c>
      <c r="O112" s="1" t="str">
        <f t="shared" si="90"/>
        <v/>
      </c>
      <c r="P112" s="1" t="str">
        <f t="shared" si="91"/>
        <v/>
      </c>
      <c r="Q112" s="1" t="str">
        <f t="shared" si="92"/>
        <v/>
      </c>
      <c r="R112" s="1" t="str">
        <f t="shared" si="93"/>
        <v/>
      </c>
      <c r="S112" s="11" t="str">
        <f t="shared" si="94"/>
        <v/>
      </c>
      <c r="T112" s="1" t="str">
        <f t="shared" si="95"/>
        <v/>
      </c>
      <c r="U112" s="11" t="str">
        <f t="shared" si="96"/>
        <v/>
      </c>
      <c r="V112" s="11" t="str">
        <f t="shared" si="97"/>
        <v/>
      </c>
      <c r="X112" s="1" t="str">
        <f t="shared" si="98"/>
        <v/>
      </c>
      <c r="Y112" s="1" t="str">
        <f t="shared" si="99"/>
        <v/>
      </c>
      <c r="Z112" s="1" t="str">
        <f t="shared" si="100"/>
        <v/>
      </c>
      <c r="AB112" s="13">
        <f t="shared" ca="1" si="101"/>
        <v>46176</v>
      </c>
      <c r="AC112" s="1">
        <f t="shared" ca="1" si="102"/>
        <v>2026</v>
      </c>
      <c r="AD112" s="1" t="str">
        <f t="shared" ca="1" si="103"/>
        <v>6</v>
      </c>
      <c r="AE112" s="1">
        <f t="shared" si="104"/>
        <v>1</v>
      </c>
      <c r="AF112" s="1" t="str">
        <f t="shared" si="105"/>
        <v/>
      </c>
      <c r="AG112" s="1">
        <f t="shared" ca="1" si="106"/>
        <v>2026</v>
      </c>
      <c r="AH112" s="1">
        <f t="shared" si="107"/>
        <v>1</v>
      </c>
      <c r="AI112" s="1" t="str">
        <f t="shared" ca="1" si="108"/>
        <v>6</v>
      </c>
      <c r="AJ112" s="13" t="e">
        <f t="shared" ca="1" si="109"/>
        <v>#VALUE!</v>
      </c>
      <c r="AK112" s="1" t="e">
        <f>IF(ISBLANK(A112),"",IFERROR(MID(F112,SEARCH(", ",F112)+LEN(", "),SEARCH(" "&amp;'Exception Stores'!$A$2,F112)-SEARCH(", ",F112)-LEN(", ")),MID(F112,SEARCH(", ",F112)+LEN(", "),SEARCH(" "&amp;'Exception Stores'!$B$2,F112)-SEARCH(", ",F112)-LEN(", "))))</f>
        <v>#VALUE!</v>
      </c>
      <c r="AL112" s="1" t="e">
        <f t="shared" si="110"/>
        <v>#VALUE!</v>
      </c>
      <c r="AM112" s="15" t="e">
        <f t="shared" ca="1" si="111"/>
        <v>#VALUE!</v>
      </c>
      <c r="AN112" s="24" t="e">
        <f t="shared" ca="1" si="112"/>
        <v>#VALUE!</v>
      </c>
      <c r="AO112" s="1" t="e">
        <f t="shared" ca="1" si="113"/>
        <v>#VALUE!</v>
      </c>
      <c r="AP112" s="13" t="e">
        <f t="shared" ca="1" si="114"/>
        <v>#VALUE!</v>
      </c>
      <c r="AQ112" s="17" t="e">
        <f t="shared" ca="1" si="115"/>
        <v>#VALUE!</v>
      </c>
      <c r="AS112" s="15" t="e">
        <f t="shared" ca="1" si="116"/>
        <v>#VALUE!</v>
      </c>
      <c r="AT112" s="5">
        <f>'Exception Stores'!$D$2</f>
        <v>0.125</v>
      </c>
      <c r="AU112" s="15" t="e">
        <f t="shared" ca="1" si="117"/>
        <v>#VALUE!</v>
      </c>
      <c r="AV112" s="15" t="e">
        <f t="shared" ca="1" si="118"/>
        <v>#VALUE!</v>
      </c>
      <c r="AW112" s="15" t="e">
        <f t="shared" ca="1" si="119"/>
        <v>#VALUE!</v>
      </c>
      <c r="AX112" s="15" t="e">
        <f t="shared" ca="1" si="120"/>
        <v>#VALUE!</v>
      </c>
      <c r="AY112" s="15" t="e">
        <f t="shared" ca="1" si="121"/>
        <v>#VALUE!</v>
      </c>
      <c r="AZ112" s="1" t="e">
        <f t="shared" ca="1" si="122"/>
        <v>#VALUE!</v>
      </c>
      <c r="BA112" s="15" t="e">
        <f t="shared" ca="1" si="123"/>
        <v>#VALUE!</v>
      </c>
      <c r="BB112" s="15" t="e">
        <f t="shared" ca="1" si="124"/>
        <v>#VALUE!</v>
      </c>
      <c r="BC112" s="1" t="e">
        <f t="shared" ca="1" si="125"/>
        <v>#VALUE!</v>
      </c>
      <c r="BE112" s="15" t="str">
        <f>IF(ISBLANK('Exception Stores'!$A$6),"",'Exception Stores'!$A$6)</f>
        <v/>
      </c>
      <c r="BF112" s="15" t="str">
        <f>IF(ISBLANK('Exception Stores'!$B$6),"",'Exception Stores'!$B$6)</f>
        <v/>
      </c>
      <c r="BG112" s="1">
        <f>IF(ISBLANK('Exception Stores'!$A$6),0,IF($AN$2&gt;$BF$2,($AN$2-$BF$2)*24,0))</f>
        <v>0</v>
      </c>
      <c r="BH112" s="11">
        <f>IF(ISBLANK('Exception Stores'!$A$6),0,($BF$2-$BE$2)*24)</f>
        <v>0</v>
      </c>
      <c r="BI11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12" s="1">
        <f>IF(ISBLANK('Exception Stores'!$A$6),0,IF($AN$2&gt;$BF$2,0,IF(AND($AN$2&lt;$BF$2,$BT$2="B"),(($BF$2-$AN$2)*24)-$BS$2,($BF$2-$AN$2)*24)))</f>
        <v>0</v>
      </c>
      <c r="BL112" s="5"/>
      <c r="BM112" s="5"/>
      <c r="BN112" s="5"/>
      <c r="BO112" s="5"/>
      <c r="BP112" s="5"/>
      <c r="BV112" s="1" t="e">
        <f t="shared" ca="1" si="126"/>
        <v>#VALUE!</v>
      </c>
      <c r="BW112" s="1" t="e">
        <f t="shared" ca="1" si="127"/>
        <v>#VALUE!</v>
      </c>
      <c r="BX112" s="1" t="e">
        <f t="shared" ca="1" si="128"/>
        <v>#VALUE!</v>
      </c>
      <c r="BY112" s="1" t="e">
        <f t="shared" ca="1" si="129"/>
        <v>#VALUE!</v>
      </c>
      <c r="BZ112" s="1" t="e">
        <f t="shared" ca="1" si="130"/>
        <v>#VALUE!</v>
      </c>
      <c r="CB112" s="1" t="str">
        <f>IF(ISBLANK('Exception Stores'!$A$6),"",WEEKDAY($BF$2))</f>
        <v/>
      </c>
      <c r="CC112" s="1" t="str">
        <f>IF(ISBLANK('Exception Stores'!$A$6),"NO",IF('Exception Stores'!$A$6&lt;$AU$2,"YES","NO"))</f>
        <v>NO</v>
      </c>
      <c r="CD112" s="1" t="str">
        <f>IF(ISBLANK('Exception Stores'!$A$6),"NO",IF('Exception Stores'!$A$6&lt;$AV$2,"YES","NO"))</f>
        <v>NO</v>
      </c>
      <c r="CE112" s="1" t="str">
        <f>IF(ISBLANK('Exception Stores'!$A$6),"NO",IF('Exception Stores'!$A$6&lt;$AW$2,"YES","NO"))</f>
        <v>NO</v>
      </c>
      <c r="CF112" s="1" t="str">
        <f>IF(ISBLANK('Exception Stores'!$A$6),"NO",IF('Exception Stores'!$A$6&lt;$AX$2,"YES","NO"))</f>
        <v>NO</v>
      </c>
      <c r="CG112" s="1" t="str">
        <f>IF(ISBLANK('Exception Stores'!$A$6),"NO",IF('Exception Stores'!$A$6&lt;$AY$2,"YES","NO"))</f>
        <v>NO</v>
      </c>
      <c r="CI112" s="42" t="str">
        <f>IF(ISBLANK('Exception Stores'!$B$6),"NO",IF('Exception Stores'!$B$6&lt;=$AU$2,"YES","NO"))</f>
        <v>NO</v>
      </c>
      <c r="CJ112" s="42" t="str">
        <f>IF(ISBLANK('Exception Stores'!$B$6),"NO",IF('Exception Stores'!$B$6&lt;=$AV$2,"YES","NO"))</f>
        <v>NO</v>
      </c>
      <c r="CK112" s="1" t="str">
        <f>IF(ISBLANK('Exception Stores'!$B$6),"NO",IF('Exception Stores'!$B$6&lt;=$AW$2,"YES","NO"))</f>
        <v>NO</v>
      </c>
      <c r="CL112" s="1" t="str">
        <f>IF(ISBLANK('Exception Stores'!$B$6),"NO",IF('Exception Stores'!$B$6&lt;=$AX$2,"YES","NO"))</f>
        <v>NO</v>
      </c>
      <c r="CM112" s="1" t="str">
        <f>IF(ISBLANK('Exception Stores'!$B$6),"NO",IF('Exception Stores'!$B$6&lt;=$AY$2,"YES","NO"))</f>
        <v>NO</v>
      </c>
      <c r="CO112" s="1" t="e">
        <f ca="1">IF(AM112&lt;'Exception Stores'!$A$6,"YES","NO")</f>
        <v>#VALUE!</v>
      </c>
      <c r="CP112" s="1">
        <f t="shared" si="131"/>
        <v>0</v>
      </c>
      <c r="CQ112" s="1">
        <f t="shared" si="132"/>
        <v>0</v>
      </c>
      <c r="CR112" s="1">
        <f t="shared" si="133"/>
        <v>0</v>
      </c>
      <c r="CS112" s="1">
        <f t="shared" si="134"/>
        <v>0</v>
      </c>
      <c r="CT112" s="1">
        <f t="shared" si="135"/>
        <v>0</v>
      </c>
      <c r="CU112" s="1">
        <f t="shared" si="136"/>
        <v>0</v>
      </c>
      <c r="CW112" s="1" t="e">
        <f t="shared" ca="1" si="141"/>
        <v>#VALUE!</v>
      </c>
      <c r="CX112" s="1" t="e">
        <f t="shared" ca="1" si="142"/>
        <v>#VALUE!</v>
      </c>
      <c r="CY112" s="1" t="e">
        <f t="shared" ca="1" si="143"/>
        <v>#VALUE!</v>
      </c>
      <c r="CZ112" s="1" t="e">
        <f t="shared" ca="1" si="144"/>
        <v>#VALUE!</v>
      </c>
      <c r="DA112" s="1" t="e">
        <f t="shared" ca="1" si="145"/>
        <v>#VALUE!</v>
      </c>
      <c r="DB112" s="26" t="e">
        <f t="shared" ca="1" si="137"/>
        <v>#VALUE!</v>
      </c>
      <c r="DC112" s="1">
        <f t="shared" si="146"/>
        <v>0</v>
      </c>
      <c r="DD112" s="1">
        <f t="shared" si="147"/>
        <v>0</v>
      </c>
      <c r="DE112" s="1">
        <f t="shared" si="148"/>
        <v>0</v>
      </c>
      <c r="DF112" s="1">
        <f t="shared" si="149"/>
        <v>0</v>
      </c>
      <c r="DG112" s="1">
        <f t="shared" si="150"/>
        <v>0</v>
      </c>
      <c r="DH112" s="26">
        <f t="shared" si="138"/>
        <v>0</v>
      </c>
      <c r="DI112" s="1" t="e">
        <f t="shared" ca="1" si="139"/>
        <v>#VALUE!</v>
      </c>
      <c r="DK112" s="11" t="str">
        <f t="shared" si="151"/>
        <v/>
      </c>
      <c r="DL112" s="11" t="e">
        <f ca="1">IF(AND(NOT(ISBLANK('Exception Stores'!$A$6)),CO112="YES"),S112-$BH$2-(DI112*$BS$2)-(CU112*$BS$2),S112-(DB112*$BS$2))</f>
        <v>#VALUE!</v>
      </c>
      <c r="DM112" s="11" t="str">
        <f>IF(ISBLANK(A112),"",IF(COUNTIF(Remaps!$A$2:$A$200,B112)&gt;0,"YES",""))</f>
        <v>YES</v>
      </c>
      <c r="DN112" s="29">
        <f>IFERROR(INDEX(Remaps!$B$2:$B$200,MATCH(B112,Remaps!$A$2:$A$200,0),1),0)</f>
        <v>0</v>
      </c>
      <c r="DO112" s="11" t="e">
        <f t="shared" ca="1" si="152"/>
        <v>#VALUE!</v>
      </c>
      <c r="DP112" s="29" t="e">
        <f t="shared" si="153"/>
        <v>#VALUE!</v>
      </c>
      <c r="DQ112" s="11" t="e">
        <f ca="1">('Apollo Dock Status'!$Z$1-DP112)/DO112</f>
        <v>#VALUE!</v>
      </c>
      <c r="DR112" s="15" t="e">
        <f t="shared" ca="1" si="140"/>
        <v>#VALUE!</v>
      </c>
    </row>
    <row r="113" spans="1:122">
      <c r="A113" s="1" t="str">
        <f>IF(ISBLANK('Apollo Dock Status'!A113),"",'Apollo Dock Status'!A113)</f>
        <v/>
      </c>
      <c r="B113" s="1" t="str">
        <f>IF(ISBLANK('Apollo Dock Status'!B113),"",'Apollo Dock Status'!B113)</f>
        <v/>
      </c>
      <c r="C113" s="1" t="str">
        <f>IF(ISBLANK('Apollo Dock Status'!C113),"",'Apollo Dock Status'!C113)</f>
        <v/>
      </c>
      <c r="D113" s="1" t="str">
        <f>IF(ISBLANK('Apollo Dock Status'!D113),"",'Apollo Dock Status'!D113)</f>
        <v/>
      </c>
      <c r="E113" s="1" t="str">
        <f>IF(ISBLANK('Apollo Dock Status'!E113),"",'Apollo Dock Status'!E113)</f>
        <v/>
      </c>
      <c r="F113" s="1" t="str">
        <f>IF(ISBLANK('Apollo Dock Status'!F113),"",'Apollo Dock Status'!F113)</f>
        <v/>
      </c>
      <c r="G113" s="1" t="str">
        <f>IF(ISBLANK('Apollo Dock Status'!G113),"",'Apollo Dock Status'!G113)</f>
        <v/>
      </c>
      <c r="H113" s="1" t="str">
        <f>IF(ISBLANK('Apollo Dock Status'!H113),"",'Apollo Dock Status'!H113)</f>
        <v/>
      </c>
      <c r="I113" s="1" t="str">
        <f>IF(ISBLANK('Apollo Dock Status'!I113),"",'Apollo Dock Status'!I113)</f>
        <v/>
      </c>
      <c r="J113" s="1" t="str">
        <f>IF(ISBLANK('Apollo Dock Status'!J113),"",'Apollo Dock Status'!J113)</f>
        <v/>
      </c>
      <c r="K113" s="1" t="str">
        <f>IF(ISBLANK('Apollo Dock Status'!K113),"",'Apollo Dock Status'!K113)</f>
        <v/>
      </c>
      <c r="L113" s="1" t="str">
        <f>IF(ISBLANK('Apollo Dock Status'!L113),"",'Apollo Dock Status'!L113)</f>
        <v/>
      </c>
      <c r="M113" s="1" t="str">
        <f>IF(ISBLANK('Apollo Dock Status'!M113),"",'Apollo Dock Status'!M113)</f>
        <v/>
      </c>
      <c r="N113" s="1" t="str">
        <f>IF(ISBLANK('Apollo Dock Status'!N113),"",'Apollo Dock Status'!N113)</f>
        <v/>
      </c>
      <c r="O113" s="1" t="str">
        <f t="shared" si="90"/>
        <v/>
      </c>
      <c r="P113" s="1" t="str">
        <f t="shared" si="91"/>
        <v/>
      </c>
      <c r="Q113" s="1" t="str">
        <f t="shared" si="92"/>
        <v/>
      </c>
      <c r="R113" s="1" t="str">
        <f t="shared" si="93"/>
        <v/>
      </c>
      <c r="S113" s="11" t="str">
        <f t="shared" si="94"/>
        <v/>
      </c>
      <c r="T113" s="1" t="str">
        <f t="shared" si="95"/>
        <v/>
      </c>
      <c r="U113" s="11" t="str">
        <f t="shared" si="96"/>
        <v/>
      </c>
      <c r="V113" s="11" t="str">
        <f t="shared" si="97"/>
        <v/>
      </c>
      <c r="X113" s="1" t="str">
        <f t="shared" si="98"/>
        <v/>
      </c>
      <c r="Y113" s="1" t="str">
        <f t="shared" si="99"/>
        <v/>
      </c>
      <c r="Z113" s="1" t="str">
        <f t="shared" si="100"/>
        <v/>
      </c>
      <c r="AB113" s="13">
        <f t="shared" ca="1" si="101"/>
        <v>46176</v>
      </c>
      <c r="AC113" s="1">
        <f t="shared" ca="1" si="102"/>
        <v>2026</v>
      </c>
      <c r="AD113" s="1" t="str">
        <f t="shared" ca="1" si="103"/>
        <v>6</v>
      </c>
      <c r="AE113" s="1">
        <f t="shared" si="104"/>
        <v>1</v>
      </c>
      <c r="AF113" s="1" t="str">
        <f t="shared" si="105"/>
        <v/>
      </c>
      <c r="AG113" s="1">
        <f t="shared" ca="1" si="106"/>
        <v>2026</v>
      </c>
      <c r="AH113" s="1">
        <f t="shared" si="107"/>
        <v>1</v>
      </c>
      <c r="AI113" s="1" t="str">
        <f t="shared" ca="1" si="108"/>
        <v>6</v>
      </c>
      <c r="AJ113" s="13" t="e">
        <f t="shared" ca="1" si="109"/>
        <v>#VALUE!</v>
      </c>
      <c r="AK113" s="1" t="e">
        <f>IF(ISBLANK(A113),"",IFERROR(MID(F113,SEARCH(", ",F113)+LEN(", "),SEARCH(" "&amp;'Exception Stores'!$A$2,F113)-SEARCH(", ",F113)-LEN(", ")),MID(F113,SEARCH(", ",F113)+LEN(", "),SEARCH(" "&amp;'Exception Stores'!$B$2,F113)-SEARCH(", ",F113)-LEN(", "))))</f>
        <v>#VALUE!</v>
      </c>
      <c r="AL113" s="1" t="e">
        <f t="shared" si="110"/>
        <v>#VALUE!</v>
      </c>
      <c r="AM113" s="15" t="e">
        <f t="shared" ca="1" si="111"/>
        <v>#VALUE!</v>
      </c>
      <c r="AN113" s="24" t="e">
        <f t="shared" ca="1" si="112"/>
        <v>#VALUE!</v>
      </c>
      <c r="AO113" s="1" t="e">
        <f t="shared" ca="1" si="113"/>
        <v>#VALUE!</v>
      </c>
      <c r="AP113" s="13" t="e">
        <f t="shared" ca="1" si="114"/>
        <v>#VALUE!</v>
      </c>
      <c r="AQ113" s="17" t="e">
        <f t="shared" ca="1" si="115"/>
        <v>#VALUE!</v>
      </c>
      <c r="AS113" s="15" t="e">
        <f t="shared" ca="1" si="116"/>
        <v>#VALUE!</v>
      </c>
      <c r="AT113" s="5">
        <f>'Exception Stores'!$D$2</f>
        <v>0.125</v>
      </c>
      <c r="AU113" s="15" t="e">
        <f t="shared" ca="1" si="117"/>
        <v>#VALUE!</v>
      </c>
      <c r="AV113" s="15" t="e">
        <f t="shared" ca="1" si="118"/>
        <v>#VALUE!</v>
      </c>
      <c r="AW113" s="15" t="e">
        <f t="shared" ca="1" si="119"/>
        <v>#VALUE!</v>
      </c>
      <c r="AX113" s="15" t="e">
        <f t="shared" ca="1" si="120"/>
        <v>#VALUE!</v>
      </c>
      <c r="AY113" s="15" t="e">
        <f t="shared" ca="1" si="121"/>
        <v>#VALUE!</v>
      </c>
      <c r="AZ113" s="1" t="e">
        <f t="shared" ca="1" si="122"/>
        <v>#VALUE!</v>
      </c>
      <c r="BA113" s="15" t="e">
        <f t="shared" ca="1" si="123"/>
        <v>#VALUE!</v>
      </c>
      <c r="BB113" s="15" t="e">
        <f t="shared" ca="1" si="124"/>
        <v>#VALUE!</v>
      </c>
      <c r="BC113" s="1" t="e">
        <f t="shared" ca="1" si="125"/>
        <v>#VALUE!</v>
      </c>
      <c r="BE113" s="15" t="str">
        <f>IF(ISBLANK('Exception Stores'!$A$6),"",'Exception Stores'!$A$6)</f>
        <v/>
      </c>
      <c r="BF113" s="15" t="str">
        <f>IF(ISBLANK('Exception Stores'!$B$6),"",'Exception Stores'!$B$6)</f>
        <v/>
      </c>
      <c r="BG113" s="1">
        <f>IF(ISBLANK('Exception Stores'!$A$6),0,IF($AN$2&gt;$BF$2,($AN$2-$BF$2)*24,0))</f>
        <v>0</v>
      </c>
      <c r="BH113" s="11">
        <f>IF(ISBLANK('Exception Stores'!$A$6),0,($BF$2-$BE$2)*24)</f>
        <v>0</v>
      </c>
      <c r="BI11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13" s="1">
        <f>IF(ISBLANK('Exception Stores'!$A$6),0,IF($AN$2&gt;$BF$2,0,IF(AND($AN$2&lt;$BF$2,$BT$2="B"),(($BF$2-$AN$2)*24)-$BS$2,($BF$2-$AN$2)*24)))</f>
        <v>0</v>
      </c>
      <c r="BL113" s="5"/>
      <c r="BM113" s="5"/>
      <c r="BN113" s="5"/>
      <c r="BO113" s="5"/>
      <c r="BP113" s="5"/>
      <c r="BV113" s="1" t="e">
        <f t="shared" ca="1" si="126"/>
        <v>#VALUE!</v>
      </c>
      <c r="BW113" s="1" t="e">
        <f t="shared" ca="1" si="127"/>
        <v>#VALUE!</v>
      </c>
      <c r="BX113" s="1" t="e">
        <f t="shared" ca="1" si="128"/>
        <v>#VALUE!</v>
      </c>
      <c r="BY113" s="1" t="e">
        <f t="shared" ca="1" si="129"/>
        <v>#VALUE!</v>
      </c>
      <c r="BZ113" s="1" t="e">
        <f t="shared" ca="1" si="130"/>
        <v>#VALUE!</v>
      </c>
      <c r="CB113" s="1" t="str">
        <f>IF(ISBLANK('Exception Stores'!$A$6),"",WEEKDAY($BF$2))</f>
        <v/>
      </c>
      <c r="CC113" s="1" t="str">
        <f>IF(ISBLANK('Exception Stores'!$A$6),"NO",IF('Exception Stores'!$A$6&lt;$AU$2,"YES","NO"))</f>
        <v>NO</v>
      </c>
      <c r="CD113" s="1" t="str">
        <f>IF(ISBLANK('Exception Stores'!$A$6),"NO",IF('Exception Stores'!$A$6&lt;$AV$2,"YES","NO"))</f>
        <v>NO</v>
      </c>
      <c r="CE113" s="1" t="str">
        <f>IF(ISBLANK('Exception Stores'!$A$6),"NO",IF('Exception Stores'!$A$6&lt;$AW$2,"YES","NO"))</f>
        <v>NO</v>
      </c>
      <c r="CF113" s="1" t="str">
        <f>IF(ISBLANK('Exception Stores'!$A$6),"NO",IF('Exception Stores'!$A$6&lt;$AX$2,"YES","NO"))</f>
        <v>NO</v>
      </c>
      <c r="CG113" s="1" t="str">
        <f>IF(ISBLANK('Exception Stores'!$A$6),"NO",IF('Exception Stores'!$A$6&lt;$AY$2,"YES","NO"))</f>
        <v>NO</v>
      </c>
      <c r="CI113" s="42" t="str">
        <f>IF(ISBLANK('Exception Stores'!$B$6),"NO",IF('Exception Stores'!$B$6&lt;=$AU$2,"YES","NO"))</f>
        <v>NO</v>
      </c>
      <c r="CJ113" s="42" t="str">
        <f>IF(ISBLANK('Exception Stores'!$B$6),"NO",IF('Exception Stores'!$B$6&lt;=$AV$2,"YES","NO"))</f>
        <v>NO</v>
      </c>
      <c r="CK113" s="1" t="str">
        <f>IF(ISBLANK('Exception Stores'!$B$6),"NO",IF('Exception Stores'!$B$6&lt;=$AW$2,"YES","NO"))</f>
        <v>NO</v>
      </c>
      <c r="CL113" s="1" t="str">
        <f>IF(ISBLANK('Exception Stores'!$B$6),"NO",IF('Exception Stores'!$B$6&lt;=$AX$2,"YES","NO"))</f>
        <v>NO</v>
      </c>
      <c r="CM113" s="1" t="str">
        <f>IF(ISBLANK('Exception Stores'!$B$6),"NO",IF('Exception Stores'!$B$6&lt;=$AY$2,"YES","NO"))</f>
        <v>NO</v>
      </c>
      <c r="CO113" s="1" t="e">
        <f ca="1">IF(AM113&lt;'Exception Stores'!$A$6,"YES","NO")</f>
        <v>#VALUE!</v>
      </c>
      <c r="CP113" s="1">
        <f t="shared" si="131"/>
        <v>0</v>
      </c>
      <c r="CQ113" s="1">
        <f t="shared" si="132"/>
        <v>0</v>
      </c>
      <c r="CR113" s="1">
        <f t="shared" si="133"/>
        <v>0</v>
      </c>
      <c r="CS113" s="1">
        <f t="shared" si="134"/>
        <v>0</v>
      </c>
      <c r="CT113" s="1">
        <f t="shared" si="135"/>
        <v>0</v>
      </c>
      <c r="CU113" s="1">
        <f t="shared" si="136"/>
        <v>0</v>
      </c>
      <c r="CW113" s="1" t="e">
        <f t="shared" ca="1" si="141"/>
        <v>#VALUE!</v>
      </c>
      <c r="CX113" s="1" t="e">
        <f t="shared" ca="1" si="142"/>
        <v>#VALUE!</v>
      </c>
      <c r="CY113" s="1" t="e">
        <f t="shared" ca="1" si="143"/>
        <v>#VALUE!</v>
      </c>
      <c r="CZ113" s="1" t="e">
        <f t="shared" ca="1" si="144"/>
        <v>#VALUE!</v>
      </c>
      <c r="DA113" s="1" t="e">
        <f t="shared" ca="1" si="145"/>
        <v>#VALUE!</v>
      </c>
      <c r="DB113" s="26" t="e">
        <f t="shared" ca="1" si="137"/>
        <v>#VALUE!</v>
      </c>
      <c r="DC113" s="1">
        <f t="shared" si="146"/>
        <v>0</v>
      </c>
      <c r="DD113" s="1">
        <f t="shared" si="147"/>
        <v>0</v>
      </c>
      <c r="DE113" s="1">
        <f t="shared" si="148"/>
        <v>0</v>
      </c>
      <c r="DF113" s="1">
        <f t="shared" si="149"/>
        <v>0</v>
      </c>
      <c r="DG113" s="1">
        <f t="shared" si="150"/>
        <v>0</v>
      </c>
      <c r="DH113" s="26">
        <f t="shared" si="138"/>
        <v>0</v>
      </c>
      <c r="DI113" s="1" t="e">
        <f t="shared" ca="1" si="139"/>
        <v>#VALUE!</v>
      </c>
      <c r="DK113" s="11" t="str">
        <f t="shared" si="151"/>
        <v/>
      </c>
      <c r="DL113" s="11" t="e">
        <f ca="1">IF(AND(NOT(ISBLANK('Exception Stores'!$A$6)),CO113="YES"),S113-$BH$2-(DI113*$BS$2)-(CU113*$BS$2),S113-(DB113*$BS$2))</f>
        <v>#VALUE!</v>
      </c>
      <c r="DM113" s="11" t="str">
        <f>IF(ISBLANK(A113),"",IF(COUNTIF(Remaps!$A$2:$A$200,B113)&gt;0,"YES",""))</f>
        <v>YES</v>
      </c>
      <c r="DN113" s="29">
        <f>IFERROR(INDEX(Remaps!$B$2:$B$200,MATCH(B113,Remaps!$A$2:$A$200,0),1),0)</f>
        <v>0</v>
      </c>
      <c r="DO113" s="11" t="e">
        <f t="shared" ca="1" si="152"/>
        <v>#VALUE!</v>
      </c>
      <c r="DP113" s="29" t="e">
        <f t="shared" si="153"/>
        <v>#VALUE!</v>
      </c>
      <c r="DQ113" s="11" t="e">
        <f ca="1">('Apollo Dock Status'!$Z$1-DP113)/DO113</f>
        <v>#VALUE!</v>
      </c>
      <c r="DR113" s="15" t="e">
        <f t="shared" ca="1" si="140"/>
        <v>#VALUE!</v>
      </c>
    </row>
    <row r="114" spans="1:122">
      <c r="A114" s="1" t="str">
        <f>IF(ISBLANK('Apollo Dock Status'!A114),"",'Apollo Dock Status'!A114)</f>
        <v/>
      </c>
      <c r="B114" s="1" t="str">
        <f>IF(ISBLANK('Apollo Dock Status'!B114),"",'Apollo Dock Status'!B114)</f>
        <v/>
      </c>
      <c r="C114" s="1" t="str">
        <f>IF(ISBLANK('Apollo Dock Status'!C114),"",'Apollo Dock Status'!C114)</f>
        <v/>
      </c>
      <c r="D114" s="1" t="str">
        <f>IF(ISBLANK('Apollo Dock Status'!D114),"",'Apollo Dock Status'!D114)</f>
        <v/>
      </c>
      <c r="E114" s="1" t="str">
        <f>IF(ISBLANK('Apollo Dock Status'!E114),"",'Apollo Dock Status'!E114)</f>
        <v/>
      </c>
      <c r="F114" s="1" t="str">
        <f>IF(ISBLANK('Apollo Dock Status'!F114),"",'Apollo Dock Status'!F114)</f>
        <v/>
      </c>
      <c r="G114" s="1" t="str">
        <f>IF(ISBLANK('Apollo Dock Status'!G114),"",'Apollo Dock Status'!G114)</f>
        <v/>
      </c>
      <c r="H114" s="1" t="str">
        <f>IF(ISBLANK('Apollo Dock Status'!H114),"",'Apollo Dock Status'!H114)</f>
        <v/>
      </c>
      <c r="I114" s="1" t="str">
        <f>IF(ISBLANK('Apollo Dock Status'!I114),"",'Apollo Dock Status'!I114)</f>
        <v/>
      </c>
      <c r="J114" s="1" t="str">
        <f>IF(ISBLANK('Apollo Dock Status'!J114),"",'Apollo Dock Status'!J114)</f>
        <v/>
      </c>
      <c r="K114" s="1" t="str">
        <f>IF(ISBLANK('Apollo Dock Status'!K114),"",'Apollo Dock Status'!K114)</f>
        <v/>
      </c>
      <c r="L114" s="1" t="str">
        <f>IF(ISBLANK('Apollo Dock Status'!L114),"",'Apollo Dock Status'!L114)</f>
        <v/>
      </c>
      <c r="M114" s="1" t="str">
        <f>IF(ISBLANK('Apollo Dock Status'!M114),"",'Apollo Dock Status'!M114)</f>
        <v/>
      </c>
      <c r="N114" s="1" t="str">
        <f>IF(ISBLANK('Apollo Dock Status'!N114),"",'Apollo Dock Status'!N114)</f>
        <v/>
      </c>
      <c r="O114" s="1" t="str">
        <f t="shared" si="90"/>
        <v/>
      </c>
      <c r="P114" s="1" t="str">
        <f t="shared" si="91"/>
        <v/>
      </c>
      <c r="Q114" s="1" t="str">
        <f t="shared" si="92"/>
        <v/>
      </c>
      <c r="R114" s="1" t="str">
        <f t="shared" si="93"/>
        <v/>
      </c>
      <c r="S114" s="11" t="str">
        <f t="shared" si="94"/>
        <v/>
      </c>
      <c r="T114" s="1" t="str">
        <f t="shared" si="95"/>
        <v/>
      </c>
      <c r="U114" s="11" t="str">
        <f t="shared" si="96"/>
        <v/>
      </c>
      <c r="V114" s="11" t="str">
        <f t="shared" si="97"/>
        <v/>
      </c>
      <c r="X114" s="1" t="str">
        <f t="shared" si="98"/>
        <v/>
      </c>
      <c r="Y114" s="1" t="str">
        <f t="shared" si="99"/>
        <v/>
      </c>
      <c r="Z114" s="1" t="str">
        <f t="shared" si="100"/>
        <v/>
      </c>
      <c r="AB114" s="13">
        <f t="shared" ca="1" si="101"/>
        <v>46176</v>
      </c>
      <c r="AC114" s="1">
        <f t="shared" ca="1" si="102"/>
        <v>2026</v>
      </c>
      <c r="AD114" s="1" t="str">
        <f t="shared" ca="1" si="103"/>
        <v>6</v>
      </c>
      <c r="AE114" s="1">
        <f t="shared" si="104"/>
        <v>1</v>
      </c>
      <c r="AF114" s="1" t="str">
        <f t="shared" si="105"/>
        <v/>
      </c>
      <c r="AG114" s="1">
        <f t="shared" ca="1" si="106"/>
        <v>2026</v>
      </c>
      <c r="AH114" s="1">
        <f t="shared" si="107"/>
        <v>1</v>
      </c>
      <c r="AI114" s="1" t="str">
        <f t="shared" ca="1" si="108"/>
        <v>6</v>
      </c>
      <c r="AJ114" s="13" t="e">
        <f t="shared" ca="1" si="109"/>
        <v>#VALUE!</v>
      </c>
      <c r="AK114" s="1" t="e">
        <f>IF(ISBLANK(A114),"",IFERROR(MID(F114,SEARCH(", ",F114)+LEN(", "),SEARCH(" "&amp;'Exception Stores'!$A$2,F114)-SEARCH(", ",F114)-LEN(", ")),MID(F114,SEARCH(", ",F114)+LEN(", "),SEARCH(" "&amp;'Exception Stores'!$B$2,F114)-SEARCH(", ",F114)-LEN(", "))))</f>
        <v>#VALUE!</v>
      </c>
      <c r="AL114" s="1" t="e">
        <f t="shared" si="110"/>
        <v>#VALUE!</v>
      </c>
      <c r="AM114" s="15" t="e">
        <f t="shared" ca="1" si="111"/>
        <v>#VALUE!</v>
      </c>
      <c r="AN114" s="24" t="e">
        <f t="shared" ca="1" si="112"/>
        <v>#VALUE!</v>
      </c>
      <c r="AO114" s="1" t="e">
        <f t="shared" ca="1" si="113"/>
        <v>#VALUE!</v>
      </c>
      <c r="AP114" s="13" t="e">
        <f t="shared" ca="1" si="114"/>
        <v>#VALUE!</v>
      </c>
      <c r="AQ114" s="17" t="e">
        <f t="shared" ca="1" si="115"/>
        <v>#VALUE!</v>
      </c>
      <c r="AS114" s="15" t="e">
        <f t="shared" ca="1" si="116"/>
        <v>#VALUE!</v>
      </c>
      <c r="AT114" s="5">
        <f>'Exception Stores'!$D$2</f>
        <v>0.125</v>
      </c>
      <c r="AU114" s="15" t="e">
        <f t="shared" ca="1" si="117"/>
        <v>#VALUE!</v>
      </c>
      <c r="AV114" s="15" t="e">
        <f t="shared" ca="1" si="118"/>
        <v>#VALUE!</v>
      </c>
      <c r="AW114" s="15" t="e">
        <f t="shared" ca="1" si="119"/>
        <v>#VALUE!</v>
      </c>
      <c r="AX114" s="15" t="e">
        <f t="shared" ca="1" si="120"/>
        <v>#VALUE!</v>
      </c>
      <c r="AY114" s="15" t="e">
        <f t="shared" ca="1" si="121"/>
        <v>#VALUE!</v>
      </c>
      <c r="AZ114" s="1" t="e">
        <f t="shared" ca="1" si="122"/>
        <v>#VALUE!</v>
      </c>
      <c r="BA114" s="15" t="e">
        <f t="shared" ca="1" si="123"/>
        <v>#VALUE!</v>
      </c>
      <c r="BB114" s="15" t="e">
        <f t="shared" ca="1" si="124"/>
        <v>#VALUE!</v>
      </c>
      <c r="BC114" s="1" t="e">
        <f t="shared" ca="1" si="125"/>
        <v>#VALUE!</v>
      </c>
      <c r="BE114" s="15" t="str">
        <f>IF(ISBLANK('Exception Stores'!$A$6),"",'Exception Stores'!$A$6)</f>
        <v/>
      </c>
      <c r="BF114" s="15" t="str">
        <f>IF(ISBLANK('Exception Stores'!$B$6),"",'Exception Stores'!$B$6)</f>
        <v/>
      </c>
      <c r="BG114" s="1">
        <f>IF(ISBLANK('Exception Stores'!$A$6),0,IF($AN$2&gt;$BF$2,($AN$2-$BF$2)*24,0))</f>
        <v>0</v>
      </c>
      <c r="BH114" s="11">
        <f>IF(ISBLANK('Exception Stores'!$A$6),0,($BF$2-$BE$2)*24)</f>
        <v>0</v>
      </c>
      <c r="BI11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14" s="1">
        <f>IF(ISBLANK('Exception Stores'!$A$6),0,IF($AN$2&gt;$BF$2,0,IF(AND($AN$2&lt;$BF$2,$BT$2="B"),(($BF$2-$AN$2)*24)-$BS$2,($BF$2-$AN$2)*24)))</f>
        <v>0</v>
      </c>
      <c r="BL114" s="5"/>
      <c r="BM114" s="5"/>
      <c r="BN114" s="5"/>
      <c r="BO114" s="5"/>
      <c r="BP114" s="5"/>
      <c r="BV114" s="1" t="e">
        <f t="shared" ca="1" si="126"/>
        <v>#VALUE!</v>
      </c>
      <c r="BW114" s="1" t="e">
        <f t="shared" ca="1" si="127"/>
        <v>#VALUE!</v>
      </c>
      <c r="BX114" s="1" t="e">
        <f t="shared" ca="1" si="128"/>
        <v>#VALUE!</v>
      </c>
      <c r="BY114" s="1" t="e">
        <f t="shared" ca="1" si="129"/>
        <v>#VALUE!</v>
      </c>
      <c r="BZ114" s="1" t="e">
        <f t="shared" ca="1" si="130"/>
        <v>#VALUE!</v>
      </c>
      <c r="CB114" s="1" t="str">
        <f>IF(ISBLANK('Exception Stores'!$A$6),"",WEEKDAY($BF$2))</f>
        <v/>
      </c>
      <c r="CC114" s="1" t="str">
        <f>IF(ISBLANK('Exception Stores'!$A$6),"NO",IF('Exception Stores'!$A$6&lt;$AU$2,"YES","NO"))</f>
        <v>NO</v>
      </c>
      <c r="CD114" s="1" t="str">
        <f>IF(ISBLANK('Exception Stores'!$A$6),"NO",IF('Exception Stores'!$A$6&lt;$AV$2,"YES","NO"))</f>
        <v>NO</v>
      </c>
      <c r="CE114" s="1" t="str">
        <f>IF(ISBLANK('Exception Stores'!$A$6),"NO",IF('Exception Stores'!$A$6&lt;$AW$2,"YES","NO"))</f>
        <v>NO</v>
      </c>
      <c r="CF114" s="1" t="str">
        <f>IF(ISBLANK('Exception Stores'!$A$6),"NO",IF('Exception Stores'!$A$6&lt;$AX$2,"YES","NO"))</f>
        <v>NO</v>
      </c>
      <c r="CG114" s="1" t="str">
        <f>IF(ISBLANK('Exception Stores'!$A$6),"NO",IF('Exception Stores'!$A$6&lt;$AY$2,"YES","NO"))</f>
        <v>NO</v>
      </c>
      <c r="CI114" s="42" t="str">
        <f>IF(ISBLANK('Exception Stores'!$B$6),"NO",IF('Exception Stores'!$B$6&lt;=$AU$2,"YES","NO"))</f>
        <v>NO</v>
      </c>
      <c r="CJ114" s="42" t="str">
        <f>IF(ISBLANK('Exception Stores'!$B$6),"NO",IF('Exception Stores'!$B$6&lt;=$AV$2,"YES","NO"))</f>
        <v>NO</v>
      </c>
      <c r="CK114" s="1" t="str">
        <f>IF(ISBLANK('Exception Stores'!$B$6),"NO",IF('Exception Stores'!$B$6&lt;=$AW$2,"YES","NO"))</f>
        <v>NO</v>
      </c>
      <c r="CL114" s="1" t="str">
        <f>IF(ISBLANK('Exception Stores'!$B$6),"NO",IF('Exception Stores'!$B$6&lt;=$AX$2,"YES","NO"))</f>
        <v>NO</v>
      </c>
      <c r="CM114" s="1" t="str">
        <f>IF(ISBLANK('Exception Stores'!$B$6),"NO",IF('Exception Stores'!$B$6&lt;=$AY$2,"YES","NO"))</f>
        <v>NO</v>
      </c>
      <c r="CO114" s="1" t="e">
        <f ca="1">IF(AM114&lt;'Exception Stores'!$A$6,"YES","NO")</f>
        <v>#VALUE!</v>
      </c>
      <c r="CP114" s="1">
        <f t="shared" si="131"/>
        <v>0</v>
      </c>
      <c r="CQ114" s="1">
        <f t="shared" si="132"/>
        <v>0</v>
      </c>
      <c r="CR114" s="1">
        <f t="shared" si="133"/>
        <v>0</v>
      </c>
      <c r="CS114" s="1">
        <f t="shared" si="134"/>
        <v>0</v>
      </c>
      <c r="CT114" s="1">
        <f t="shared" si="135"/>
        <v>0</v>
      </c>
      <c r="CU114" s="1">
        <f t="shared" si="136"/>
        <v>0</v>
      </c>
      <c r="CW114" s="1" t="e">
        <f t="shared" ca="1" si="141"/>
        <v>#VALUE!</v>
      </c>
      <c r="CX114" s="1" t="e">
        <f t="shared" ca="1" si="142"/>
        <v>#VALUE!</v>
      </c>
      <c r="CY114" s="1" t="e">
        <f t="shared" ca="1" si="143"/>
        <v>#VALUE!</v>
      </c>
      <c r="CZ114" s="1" t="e">
        <f t="shared" ca="1" si="144"/>
        <v>#VALUE!</v>
      </c>
      <c r="DA114" s="1" t="e">
        <f t="shared" ca="1" si="145"/>
        <v>#VALUE!</v>
      </c>
      <c r="DB114" s="26" t="e">
        <f t="shared" ca="1" si="137"/>
        <v>#VALUE!</v>
      </c>
      <c r="DC114" s="1">
        <f t="shared" si="146"/>
        <v>0</v>
      </c>
      <c r="DD114" s="1">
        <f t="shared" si="147"/>
        <v>0</v>
      </c>
      <c r="DE114" s="1">
        <f t="shared" si="148"/>
        <v>0</v>
      </c>
      <c r="DF114" s="1">
        <f t="shared" si="149"/>
        <v>0</v>
      </c>
      <c r="DG114" s="1">
        <f t="shared" si="150"/>
        <v>0</v>
      </c>
      <c r="DH114" s="26">
        <f t="shared" si="138"/>
        <v>0</v>
      </c>
      <c r="DI114" s="1" t="e">
        <f t="shared" ca="1" si="139"/>
        <v>#VALUE!</v>
      </c>
      <c r="DK114" s="11" t="str">
        <f t="shared" si="151"/>
        <v/>
      </c>
      <c r="DL114" s="11" t="e">
        <f ca="1">IF(AND(NOT(ISBLANK('Exception Stores'!$A$6)),CO114="YES"),S114-$BH$2-(DI114*$BS$2)-(CU114*$BS$2),S114-(DB114*$BS$2))</f>
        <v>#VALUE!</v>
      </c>
      <c r="DM114" s="11" t="str">
        <f>IF(ISBLANK(A114),"",IF(COUNTIF(Remaps!$A$2:$A$200,B114)&gt;0,"YES",""))</f>
        <v>YES</v>
      </c>
      <c r="DN114" s="29">
        <f>IFERROR(INDEX(Remaps!$B$2:$B$200,MATCH(B114,Remaps!$A$2:$A$200,0),1),0)</f>
        <v>0</v>
      </c>
      <c r="DO114" s="11" t="e">
        <f t="shared" ca="1" si="152"/>
        <v>#VALUE!</v>
      </c>
      <c r="DP114" s="29" t="e">
        <f t="shared" si="153"/>
        <v>#VALUE!</v>
      </c>
      <c r="DQ114" s="11" t="e">
        <f ca="1">('Apollo Dock Status'!$Z$1-DP114)/DO114</f>
        <v>#VALUE!</v>
      </c>
      <c r="DR114" s="15" t="e">
        <f t="shared" ca="1" si="140"/>
        <v>#VALUE!</v>
      </c>
    </row>
    <row r="115" spans="1:122">
      <c r="A115" s="1" t="str">
        <f>IF(ISBLANK('Apollo Dock Status'!A115),"",'Apollo Dock Status'!A115)</f>
        <v/>
      </c>
      <c r="B115" s="1" t="str">
        <f>IF(ISBLANK('Apollo Dock Status'!B115),"",'Apollo Dock Status'!B115)</f>
        <v/>
      </c>
      <c r="C115" s="1" t="str">
        <f>IF(ISBLANK('Apollo Dock Status'!C115),"",'Apollo Dock Status'!C115)</f>
        <v/>
      </c>
      <c r="D115" s="1" t="str">
        <f>IF(ISBLANK('Apollo Dock Status'!D115),"",'Apollo Dock Status'!D115)</f>
        <v/>
      </c>
      <c r="E115" s="1" t="str">
        <f>IF(ISBLANK('Apollo Dock Status'!E115),"",'Apollo Dock Status'!E115)</f>
        <v/>
      </c>
      <c r="F115" s="1" t="str">
        <f>IF(ISBLANK('Apollo Dock Status'!F115),"",'Apollo Dock Status'!F115)</f>
        <v/>
      </c>
      <c r="G115" s="1" t="str">
        <f>IF(ISBLANK('Apollo Dock Status'!G115),"",'Apollo Dock Status'!G115)</f>
        <v/>
      </c>
      <c r="H115" s="1" t="str">
        <f>IF(ISBLANK('Apollo Dock Status'!H115),"",'Apollo Dock Status'!H115)</f>
        <v/>
      </c>
      <c r="I115" s="1" t="str">
        <f>IF(ISBLANK('Apollo Dock Status'!I115),"",'Apollo Dock Status'!I115)</f>
        <v/>
      </c>
      <c r="J115" s="1" t="str">
        <f>IF(ISBLANK('Apollo Dock Status'!J115),"",'Apollo Dock Status'!J115)</f>
        <v/>
      </c>
      <c r="K115" s="1" t="str">
        <f>IF(ISBLANK('Apollo Dock Status'!K115),"",'Apollo Dock Status'!K115)</f>
        <v/>
      </c>
      <c r="L115" s="1" t="str">
        <f>IF(ISBLANK('Apollo Dock Status'!L115),"",'Apollo Dock Status'!L115)</f>
        <v/>
      </c>
      <c r="M115" s="1" t="str">
        <f>IF(ISBLANK('Apollo Dock Status'!M115),"",'Apollo Dock Status'!M115)</f>
        <v/>
      </c>
      <c r="N115" s="1" t="str">
        <f>IF(ISBLANK('Apollo Dock Status'!N115),"",'Apollo Dock Status'!N115)</f>
        <v/>
      </c>
      <c r="O115" s="1" t="str">
        <f t="shared" si="90"/>
        <v/>
      </c>
      <c r="P115" s="1" t="str">
        <f t="shared" si="91"/>
        <v/>
      </c>
      <c r="Q115" s="1" t="str">
        <f t="shared" si="92"/>
        <v/>
      </c>
      <c r="R115" s="1" t="str">
        <f t="shared" si="93"/>
        <v/>
      </c>
      <c r="S115" s="11" t="str">
        <f t="shared" si="94"/>
        <v/>
      </c>
      <c r="T115" s="1" t="str">
        <f t="shared" si="95"/>
        <v/>
      </c>
      <c r="U115" s="11" t="str">
        <f t="shared" si="96"/>
        <v/>
      </c>
      <c r="V115" s="11" t="str">
        <f t="shared" si="97"/>
        <v/>
      </c>
      <c r="X115" s="1" t="str">
        <f t="shared" si="98"/>
        <v/>
      </c>
      <c r="Y115" s="1" t="str">
        <f t="shared" si="99"/>
        <v/>
      </c>
      <c r="Z115" s="1" t="str">
        <f t="shared" si="100"/>
        <v/>
      </c>
      <c r="AB115" s="13">
        <f t="shared" ca="1" si="101"/>
        <v>46176</v>
      </c>
      <c r="AC115" s="1">
        <f t="shared" ca="1" si="102"/>
        <v>2026</v>
      </c>
      <c r="AD115" s="1" t="str">
        <f t="shared" ca="1" si="103"/>
        <v>6</v>
      </c>
      <c r="AE115" s="1">
        <f t="shared" si="104"/>
        <v>1</v>
      </c>
      <c r="AF115" s="1" t="str">
        <f t="shared" si="105"/>
        <v/>
      </c>
      <c r="AG115" s="1">
        <f t="shared" ca="1" si="106"/>
        <v>2026</v>
      </c>
      <c r="AH115" s="1">
        <f t="shared" si="107"/>
        <v>1</v>
      </c>
      <c r="AI115" s="1" t="str">
        <f t="shared" ca="1" si="108"/>
        <v>6</v>
      </c>
      <c r="AJ115" s="13" t="e">
        <f t="shared" ca="1" si="109"/>
        <v>#VALUE!</v>
      </c>
      <c r="AK115" s="1" t="e">
        <f>IF(ISBLANK(A115),"",IFERROR(MID(F115,SEARCH(", ",F115)+LEN(", "),SEARCH(" "&amp;'Exception Stores'!$A$2,F115)-SEARCH(", ",F115)-LEN(", ")),MID(F115,SEARCH(", ",F115)+LEN(", "),SEARCH(" "&amp;'Exception Stores'!$B$2,F115)-SEARCH(", ",F115)-LEN(", "))))</f>
        <v>#VALUE!</v>
      </c>
      <c r="AL115" s="1" t="e">
        <f t="shared" si="110"/>
        <v>#VALUE!</v>
      </c>
      <c r="AM115" s="15" t="e">
        <f t="shared" ca="1" si="111"/>
        <v>#VALUE!</v>
      </c>
      <c r="AN115" s="24" t="e">
        <f t="shared" ca="1" si="112"/>
        <v>#VALUE!</v>
      </c>
      <c r="AO115" s="1" t="e">
        <f t="shared" ca="1" si="113"/>
        <v>#VALUE!</v>
      </c>
      <c r="AP115" s="13" t="e">
        <f t="shared" ca="1" si="114"/>
        <v>#VALUE!</v>
      </c>
      <c r="AQ115" s="17" t="e">
        <f t="shared" ca="1" si="115"/>
        <v>#VALUE!</v>
      </c>
      <c r="AS115" s="15" t="e">
        <f t="shared" ca="1" si="116"/>
        <v>#VALUE!</v>
      </c>
      <c r="AT115" s="5">
        <f>'Exception Stores'!$D$2</f>
        <v>0.125</v>
      </c>
      <c r="AU115" s="15" t="e">
        <f t="shared" ca="1" si="117"/>
        <v>#VALUE!</v>
      </c>
      <c r="AV115" s="15" t="e">
        <f t="shared" ca="1" si="118"/>
        <v>#VALUE!</v>
      </c>
      <c r="AW115" s="15" t="e">
        <f t="shared" ca="1" si="119"/>
        <v>#VALUE!</v>
      </c>
      <c r="AX115" s="15" t="e">
        <f t="shared" ca="1" si="120"/>
        <v>#VALUE!</v>
      </c>
      <c r="AY115" s="15" t="e">
        <f t="shared" ca="1" si="121"/>
        <v>#VALUE!</v>
      </c>
      <c r="AZ115" s="1" t="e">
        <f t="shared" ca="1" si="122"/>
        <v>#VALUE!</v>
      </c>
      <c r="BA115" s="15" t="e">
        <f t="shared" ca="1" si="123"/>
        <v>#VALUE!</v>
      </c>
      <c r="BB115" s="15" t="e">
        <f t="shared" ca="1" si="124"/>
        <v>#VALUE!</v>
      </c>
      <c r="BC115" s="1" t="e">
        <f t="shared" ca="1" si="125"/>
        <v>#VALUE!</v>
      </c>
      <c r="BE115" s="15" t="str">
        <f>IF(ISBLANK('Exception Stores'!$A$6),"",'Exception Stores'!$A$6)</f>
        <v/>
      </c>
      <c r="BF115" s="15" t="str">
        <f>IF(ISBLANK('Exception Stores'!$B$6),"",'Exception Stores'!$B$6)</f>
        <v/>
      </c>
      <c r="BG115" s="1">
        <f>IF(ISBLANK('Exception Stores'!$A$6),0,IF($AN$2&gt;$BF$2,($AN$2-$BF$2)*24,0))</f>
        <v>0</v>
      </c>
      <c r="BH115" s="11">
        <f>IF(ISBLANK('Exception Stores'!$A$6),0,($BF$2-$BE$2)*24)</f>
        <v>0</v>
      </c>
      <c r="BI11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15" s="1">
        <f>IF(ISBLANK('Exception Stores'!$A$6),0,IF($AN$2&gt;$BF$2,0,IF(AND($AN$2&lt;$BF$2,$BT$2="B"),(($BF$2-$AN$2)*24)-$BS$2,($BF$2-$AN$2)*24)))</f>
        <v>0</v>
      </c>
      <c r="BL115" s="5"/>
      <c r="BM115" s="5"/>
      <c r="BN115" s="5"/>
      <c r="BO115" s="5"/>
      <c r="BP115" s="5"/>
      <c r="BV115" s="1" t="e">
        <f t="shared" ca="1" si="126"/>
        <v>#VALUE!</v>
      </c>
      <c r="BW115" s="1" t="e">
        <f t="shared" ca="1" si="127"/>
        <v>#VALUE!</v>
      </c>
      <c r="BX115" s="1" t="e">
        <f t="shared" ca="1" si="128"/>
        <v>#VALUE!</v>
      </c>
      <c r="BY115" s="1" t="e">
        <f t="shared" ca="1" si="129"/>
        <v>#VALUE!</v>
      </c>
      <c r="BZ115" s="1" t="e">
        <f t="shared" ca="1" si="130"/>
        <v>#VALUE!</v>
      </c>
      <c r="CB115" s="1" t="str">
        <f>IF(ISBLANK('Exception Stores'!$A$6),"",WEEKDAY($BF$2))</f>
        <v/>
      </c>
      <c r="CC115" s="1" t="str">
        <f>IF(ISBLANK('Exception Stores'!$A$6),"NO",IF('Exception Stores'!$A$6&lt;$AU$2,"YES","NO"))</f>
        <v>NO</v>
      </c>
      <c r="CD115" s="1" t="str">
        <f>IF(ISBLANK('Exception Stores'!$A$6),"NO",IF('Exception Stores'!$A$6&lt;$AV$2,"YES","NO"))</f>
        <v>NO</v>
      </c>
      <c r="CE115" s="1" t="str">
        <f>IF(ISBLANK('Exception Stores'!$A$6),"NO",IF('Exception Stores'!$A$6&lt;$AW$2,"YES","NO"))</f>
        <v>NO</v>
      </c>
      <c r="CF115" s="1" t="str">
        <f>IF(ISBLANK('Exception Stores'!$A$6),"NO",IF('Exception Stores'!$A$6&lt;$AX$2,"YES","NO"))</f>
        <v>NO</v>
      </c>
      <c r="CG115" s="1" t="str">
        <f>IF(ISBLANK('Exception Stores'!$A$6),"NO",IF('Exception Stores'!$A$6&lt;$AY$2,"YES","NO"))</f>
        <v>NO</v>
      </c>
      <c r="CI115" s="42" t="str">
        <f>IF(ISBLANK('Exception Stores'!$B$6),"NO",IF('Exception Stores'!$B$6&lt;=$AU$2,"YES","NO"))</f>
        <v>NO</v>
      </c>
      <c r="CJ115" s="42" t="str">
        <f>IF(ISBLANK('Exception Stores'!$B$6),"NO",IF('Exception Stores'!$B$6&lt;=$AV$2,"YES","NO"))</f>
        <v>NO</v>
      </c>
      <c r="CK115" s="1" t="str">
        <f>IF(ISBLANK('Exception Stores'!$B$6),"NO",IF('Exception Stores'!$B$6&lt;=$AW$2,"YES","NO"))</f>
        <v>NO</v>
      </c>
      <c r="CL115" s="1" t="str">
        <f>IF(ISBLANK('Exception Stores'!$B$6),"NO",IF('Exception Stores'!$B$6&lt;=$AX$2,"YES","NO"))</f>
        <v>NO</v>
      </c>
      <c r="CM115" s="1" t="str">
        <f>IF(ISBLANK('Exception Stores'!$B$6),"NO",IF('Exception Stores'!$B$6&lt;=$AY$2,"YES","NO"))</f>
        <v>NO</v>
      </c>
      <c r="CO115" s="1" t="e">
        <f ca="1">IF(AM115&lt;'Exception Stores'!$A$6,"YES","NO")</f>
        <v>#VALUE!</v>
      </c>
      <c r="CP115" s="1">
        <f t="shared" si="131"/>
        <v>0</v>
      </c>
      <c r="CQ115" s="1">
        <f t="shared" si="132"/>
        <v>0</v>
      </c>
      <c r="CR115" s="1">
        <f t="shared" si="133"/>
        <v>0</v>
      </c>
      <c r="CS115" s="1">
        <f t="shared" si="134"/>
        <v>0</v>
      </c>
      <c r="CT115" s="1">
        <f t="shared" si="135"/>
        <v>0</v>
      </c>
      <c r="CU115" s="1">
        <f t="shared" si="136"/>
        <v>0</v>
      </c>
      <c r="CW115" s="1" t="e">
        <f t="shared" ca="1" si="141"/>
        <v>#VALUE!</v>
      </c>
      <c r="CX115" s="1" t="e">
        <f t="shared" ca="1" si="142"/>
        <v>#VALUE!</v>
      </c>
      <c r="CY115" s="1" t="e">
        <f t="shared" ca="1" si="143"/>
        <v>#VALUE!</v>
      </c>
      <c r="CZ115" s="1" t="e">
        <f t="shared" ca="1" si="144"/>
        <v>#VALUE!</v>
      </c>
      <c r="DA115" s="1" t="e">
        <f t="shared" ca="1" si="145"/>
        <v>#VALUE!</v>
      </c>
      <c r="DB115" s="26" t="e">
        <f t="shared" ca="1" si="137"/>
        <v>#VALUE!</v>
      </c>
      <c r="DC115" s="1">
        <f t="shared" si="146"/>
        <v>0</v>
      </c>
      <c r="DD115" s="1">
        <f t="shared" si="147"/>
        <v>0</v>
      </c>
      <c r="DE115" s="1">
        <f t="shared" si="148"/>
        <v>0</v>
      </c>
      <c r="DF115" s="1">
        <f t="shared" si="149"/>
        <v>0</v>
      </c>
      <c r="DG115" s="1">
        <f t="shared" si="150"/>
        <v>0</v>
      </c>
      <c r="DH115" s="26">
        <f t="shared" si="138"/>
        <v>0</v>
      </c>
      <c r="DI115" s="1" t="e">
        <f t="shared" ca="1" si="139"/>
        <v>#VALUE!</v>
      </c>
      <c r="DK115" s="11" t="str">
        <f t="shared" si="151"/>
        <v/>
      </c>
      <c r="DL115" s="11" t="e">
        <f ca="1">IF(AND(NOT(ISBLANK('Exception Stores'!$A$6)),CO115="YES"),S115-$BH$2-(DI115*$BS$2)-(CU115*$BS$2),S115-(DB115*$BS$2))</f>
        <v>#VALUE!</v>
      </c>
      <c r="DM115" s="11" t="str">
        <f>IF(ISBLANK(A115),"",IF(COUNTIF(Remaps!$A$2:$A$200,B115)&gt;0,"YES",""))</f>
        <v>YES</v>
      </c>
      <c r="DN115" s="29">
        <f>IFERROR(INDEX(Remaps!$B$2:$B$200,MATCH(B115,Remaps!$A$2:$A$200,0),1),0)</f>
        <v>0</v>
      </c>
      <c r="DO115" s="11" t="e">
        <f t="shared" ca="1" si="152"/>
        <v>#VALUE!</v>
      </c>
      <c r="DP115" s="29" t="e">
        <f t="shared" si="153"/>
        <v>#VALUE!</v>
      </c>
      <c r="DQ115" s="11" t="e">
        <f ca="1">('Apollo Dock Status'!$Z$1-DP115)/DO115</f>
        <v>#VALUE!</v>
      </c>
      <c r="DR115" s="15" t="e">
        <f t="shared" ca="1" si="140"/>
        <v>#VALUE!</v>
      </c>
    </row>
    <row r="116" spans="1:122">
      <c r="A116" s="1" t="str">
        <f>IF(ISBLANK('Apollo Dock Status'!A116),"",'Apollo Dock Status'!A116)</f>
        <v/>
      </c>
      <c r="B116" s="1" t="str">
        <f>IF(ISBLANK('Apollo Dock Status'!B116),"",'Apollo Dock Status'!B116)</f>
        <v/>
      </c>
      <c r="C116" s="1" t="str">
        <f>IF(ISBLANK('Apollo Dock Status'!C116),"",'Apollo Dock Status'!C116)</f>
        <v/>
      </c>
      <c r="D116" s="1" t="str">
        <f>IF(ISBLANK('Apollo Dock Status'!D116),"",'Apollo Dock Status'!D116)</f>
        <v/>
      </c>
      <c r="E116" s="1" t="str">
        <f>IF(ISBLANK('Apollo Dock Status'!E116),"",'Apollo Dock Status'!E116)</f>
        <v/>
      </c>
      <c r="F116" s="1" t="str">
        <f>IF(ISBLANK('Apollo Dock Status'!F116),"",'Apollo Dock Status'!F116)</f>
        <v/>
      </c>
      <c r="G116" s="1" t="str">
        <f>IF(ISBLANK('Apollo Dock Status'!G116),"",'Apollo Dock Status'!G116)</f>
        <v/>
      </c>
      <c r="H116" s="1" t="str">
        <f>IF(ISBLANK('Apollo Dock Status'!H116),"",'Apollo Dock Status'!H116)</f>
        <v/>
      </c>
      <c r="I116" s="1" t="str">
        <f>IF(ISBLANK('Apollo Dock Status'!I116),"",'Apollo Dock Status'!I116)</f>
        <v/>
      </c>
      <c r="J116" s="1" t="str">
        <f>IF(ISBLANK('Apollo Dock Status'!J116),"",'Apollo Dock Status'!J116)</f>
        <v/>
      </c>
      <c r="K116" s="1" t="str">
        <f>IF(ISBLANK('Apollo Dock Status'!K116),"",'Apollo Dock Status'!K116)</f>
        <v/>
      </c>
      <c r="L116" s="1" t="str">
        <f>IF(ISBLANK('Apollo Dock Status'!L116),"",'Apollo Dock Status'!L116)</f>
        <v/>
      </c>
      <c r="M116" s="1" t="str">
        <f>IF(ISBLANK('Apollo Dock Status'!M116),"",'Apollo Dock Status'!M116)</f>
        <v/>
      </c>
      <c r="N116" s="1" t="str">
        <f>IF(ISBLANK('Apollo Dock Status'!N116),"",'Apollo Dock Status'!N116)</f>
        <v/>
      </c>
      <c r="O116" s="1" t="str">
        <f t="shared" si="90"/>
        <v/>
      </c>
      <c r="P116" s="1" t="str">
        <f t="shared" si="91"/>
        <v/>
      </c>
      <c r="Q116" s="1" t="str">
        <f t="shared" si="92"/>
        <v/>
      </c>
      <c r="R116" s="1" t="str">
        <f t="shared" si="93"/>
        <v/>
      </c>
      <c r="S116" s="11" t="str">
        <f t="shared" si="94"/>
        <v/>
      </c>
      <c r="T116" s="1" t="str">
        <f t="shared" si="95"/>
        <v/>
      </c>
      <c r="U116" s="11" t="str">
        <f t="shared" si="96"/>
        <v/>
      </c>
      <c r="V116" s="11" t="str">
        <f t="shared" si="97"/>
        <v/>
      </c>
      <c r="X116" s="1" t="str">
        <f t="shared" si="98"/>
        <v/>
      </c>
      <c r="Y116" s="1" t="str">
        <f t="shared" si="99"/>
        <v/>
      </c>
      <c r="Z116" s="1" t="str">
        <f t="shared" si="100"/>
        <v/>
      </c>
      <c r="AB116" s="13">
        <f t="shared" ca="1" si="101"/>
        <v>46176</v>
      </c>
      <c r="AC116" s="1">
        <f t="shared" ca="1" si="102"/>
        <v>2026</v>
      </c>
      <c r="AD116" s="1" t="str">
        <f t="shared" ca="1" si="103"/>
        <v>6</v>
      </c>
      <c r="AE116" s="1">
        <f t="shared" si="104"/>
        <v>1</v>
      </c>
      <c r="AF116" s="1" t="str">
        <f t="shared" si="105"/>
        <v/>
      </c>
      <c r="AG116" s="1">
        <f t="shared" ca="1" si="106"/>
        <v>2026</v>
      </c>
      <c r="AH116" s="1">
        <f t="shared" si="107"/>
        <v>1</v>
      </c>
      <c r="AI116" s="1" t="str">
        <f t="shared" ca="1" si="108"/>
        <v>6</v>
      </c>
      <c r="AJ116" s="13" t="e">
        <f t="shared" ca="1" si="109"/>
        <v>#VALUE!</v>
      </c>
      <c r="AK116" s="1" t="e">
        <f>IF(ISBLANK(A116),"",IFERROR(MID(F116,SEARCH(", ",F116)+LEN(", "),SEARCH(" "&amp;'Exception Stores'!$A$2,F116)-SEARCH(", ",F116)-LEN(", ")),MID(F116,SEARCH(", ",F116)+LEN(", "),SEARCH(" "&amp;'Exception Stores'!$B$2,F116)-SEARCH(", ",F116)-LEN(", "))))</f>
        <v>#VALUE!</v>
      </c>
      <c r="AL116" s="1" t="e">
        <f t="shared" si="110"/>
        <v>#VALUE!</v>
      </c>
      <c r="AM116" s="15" t="e">
        <f t="shared" ca="1" si="111"/>
        <v>#VALUE!</v>
      </c>
      <c r="AN116" s="24" t="e">
        <f t="shared" ca="1" si="112"/>
        <v>#VALUE!</v>
      </c>
      <c r="AO116" s="1" t="e">
        <f t="shared" ca="1" si="113"/>
        <v>#VALUE!</v>
      </c>
      <c r="AP116" s="13" t="e">
        <f t="shared" ca="1" si="114"/>
        <v>#VALUE!</v>
      </c>
      <c r="AQ116" s="17" t="e">
        <f t="shared" ca="1" si="115"/>
        <v>#VALUE!</v>
      </c>
      <c r="AS116" s="15" t="e">
        <f t="shared" ca="1" si="116"/>
        <v>#VALUE!</v>
      </c>
      <c r="AT116" s="5">
        <f>'Exception Stores'!$D$2</f>
        <v>0.125</v>
      </c>
      <c r="AU116" s="15" t="e">
        <f t="shared" ca="1" si="117"/>
        <v>#VALUE!</v>
      </c>
      <c r="AV116" s="15" t="e">
        <f t="shared" ca="1" si="118"/>
        <v>#VALUE!</v>
      </c>
      <c r="AW116" s="15" t="e">
        <f t="shared" ca="1" si="119"/>
        <v>#VALUE!</v>
      </c>
      <c r="AX116" s="15" t="e">
        <f t="shared" ca="1" si="120"/>
        <v>#VALUE!</v>
      </c>
      <c r="AY116" s="15" t="e">
        <f t="shared" ca="1" si="121"/>
        <v>#VALUE!</v>
      </c>
      <c r="AZ116" s="1" t="e">
        <f t="shared" ca="1" si="122"/>
        <v>#VALUE!</v>
      </c>
      <c r="BA116" s="15" t="e">
        <f t="shared" ca="1" si="123"/>
        <v>#VALUE!</v>
      </c>
      <c r="BB116" s="15" t="e">
        <f t="shared" ca="1" si="124"/>
        <v>#VALUE!</v>
      </c>
      <c r="BC116" s="1" t="e">
        <f t="shared" ca="1" si="125"/>
        <v>#VALUE!</v>
      </c>
      <c r="BE116" s="15" t="str">
        <f>IF(ISBLANK('Exception Stores'!$A$6),"",'Exception Stores'!$A$6)</f>
        <v/>
      </c>
      <c r="BF116" s="15" t="str">
        <f>IF(ISBLANK('Exception Stores'!$B$6),"",'Exception Stores'!$B$6)</f>
        <v/>
      </c>
      <c r="BG116" s="1">
        <f>IF(ISBLANK('Exception Stores'!$A$6),0,IF($AN$2&gt;$BF$2,($AN$2-$BF$2)*24,0))</f>
        <v>0</v>
      </c>
      <c r="BH116" s="11">
        <f>IF(ISBLANK('Exception Stores'!$A$6),0,($BF$2-$BE$2)*24)</f>
        <v>0</v>
      </c>
      <c r="BI11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16" s="1">
        <f>IF(ISBLANK('Exception Stores'!$A$6),0,IF($AN$2&gt;$BF$2,0,IF(AND($AN$2&lt;$BF$2,$BT$2="B"),(($BF$2-$AN$2)*24)-$BS$2,($BF$2-$AN$2)*24)))</f>
        <v>0</v>
      </c>
      <c r="BL116" s="5"/>
      <c r="BM116" s="5"/>
      <c r="BN116" s="5"/>
      <c r="BO116" s="5"/>
      <c r="BP116" s="5"/>
      <c r="BV116" s="1" t="e">
        <f t="shared" ca="1" si="126"/>
        <v>#VALUE!</v>
      </c>
      <c r="BW116" s="1" t="e">
        <f t="shared" ca="1" si="127"/>
        <v>#VALUE!</v>
      </c>
      <c r="BX116" s="1" t="e">
        <f t="shared" ca="1" si="128"/>
        <v>#VALUE!</v>
      </c>
      <c r="BY116" s="1" t="e">
        <f t="shared" ca="1" si="129"/>
        <v>#VALUE!</v>
      </c>
      <c r="BZ116" s="1" t="e">
        <f t="shared" ca="1" si="130"/>
        <v>#VALUE!</v>
      </c>
      <c r="CB116" s="1" t="str">
        <f>IF(ISBLANK('Exception Stores'!$A$6),"",WEEKDAY($BF$2))</f>
        <v/>
      </c>
      <c r="CC116" s="1" t="str">
        <f>IF(ISBLANK('Exception Stores'!$A$6),"NO",IF('Exception Stores'!$A$6&lt;$AU$2,"YES","NO"))</f>
        <v>NO</v>
      </c>
      <c r="CD116" s="1" t="str">
        <f>IF(ISBLANK('Exception Stores'!$A$6),"NO",IF('Exception Stores'!$A$6&lt;$AV$2,"YES","NO"))</f>
        <v>NO</v>
      </c>
      <c r="CE116" s="1" t="str">
        <f>IF(ISBLANK('Exception Stores'!$A$6),"NO",IF('Exception Stores'!$A$6&lt;$AW$2,"YES","NO"))</f>
        <v>NO</v>
      </c>
      <c r="CF116" s="1" t="str">
        <f>IF(ISBLANK('Exception Stores'!$A$6),"NO",IF('Exception Stores'!$A$6&lt;$AX$2,"YES","NO"))</f>
        <v>NO</v>
      </c>
      <c r="CG116" s="1" t="str">
        <f>IF(ISBLANK('Exception Stores'!$A$6),"NO",IF('Exception Stores'!$A$6&lt;$AY$2,"YES","NO"))</f>
        <v>NO</v>
      </c>
      <c r="CI116" s="42" t="str">
        <f>IF(ISBLANK('Exception Stores'!$B$6),"NO",IF('Exception Stores'!$B$6&lt;=$AU$2,"YES","NO"))</f>
        <v>NO</v>
      </c>
      <c r="CJ116" s="42" t="str">
        <f>IF(ISBLANK('Exception Stores'!$B$6),"NO",IF('Exception Stores'!$B$6&lt;=$AV$2,"YES","NO"))</f>
        <v>NO</v>
      </c>
      <c r="CK116" s="1" t="str">
        <f>IF(ISBLANK('Exception Stores'!$B$6),"NO",IF('Exception Stores'!$B$6&lt;=$AW$2,"YES","NO"))</f>
        <v>NO</v>
      </c>
      <c r="CL116" s="1" t="str">
        <f>IF(ISBLANK('Exception Stores'!$B$6),"NO",IF('Exception Stores'!$B$6&lt;=$AX$2,"YES","NO"))</f>
        <v>NO</v>
      </c>
      <c r="CM116" s="1" t="str">
        <f>IF(ISBLANK('Exception Stores'!$B$6),"NO",IF('Exception Stores'!$B$6&lt;=$AY$2,"YES","NO"))</f>
        <v>NO</v>
      </c>
      <c r="CO116" s="1" t="e">
        <f ca="1">IF(AM116&lt;'Exception Stores'!$A$6,"YES","NO")</f>
        <v>#VALUE!</v>
      </c>
      <c r="CP116" s="1">
        <f t="shared" si="131"/>
        <v>0</v>
      </c>
      <c r="CQ116" s="1">
        <f t="shared" si="132"/>
        <v>0</v>
      </c>
      <c r="CR116" s="1">
        <f t="shared" si="133"/>
        <v>0</v>
      </c>
      <c r="CS116" s="1">
        <f t="shared" si="134"/>
        <v>0</v>
      </c>
      <c r="CT116" s="1">
        <f t="shared" si="135"/>
        <v>0</v>
      </c>
      <c r="CU116" s="1">
        <f t="shared" si="136"/>
        <v>0</v>
      </c>
      <c r="CW116" s="1" t="e">
        <f t="shared" ca="1" si="141"/>
        <v>#VALUE!</v>
      </c>
      <c r="CX116" s="1" t="e">
        <f t="shared" ca="1" si="142"/>
        <v>#VALUE!</v>
      </c>
      <c r="CY116" s="1" t="e">
        <f t="shared" ca="1" si="143"/>
        <v>#VALUE!</v>
      </c>
      <c r="CZ116" s="1" t="e">
        <f t="shared" ca="1" si="144"/>
        <v>#VALUE!</v>
      </c>
      <c r="DA116" s="1" t="e">
        <f t="shared" ca="1" si="145"/>
        <v>#VALUE!</v>
      </c>
      <c r="DB116" s="26" t="e">
        <f t="shared" ca="1" si="137"/>
        <v>#VALUE!</v>
      </c>
      <c r="DC116" s="1">
        <f t="shared" si="146"/>
        <v>0</v>
      </c>
      <c r="DD116" s="1">
        <f t="shared" si="147"/>
        <v>0</v>
      </c>
      <c r="DE116" s="1">
        <f t="shared" si="148"/>
        <v>0</v>
      </c>
      <c r="DF116" s="1">
        <f t="shared" si="149"/>
        <v>0</v>
      </c>
      <c r="DG116" s="1">
        <f t="shared" si="150"/>
        <v>0</v>
      </c>
      <c r="DH116" s="26">
        <f t="shared" si="138"/>
        <v>0</v>
      </c>
      <c r="DI116" s="1" t="e">
        <f t="shared" ca="1" si="139"/>
        <v>#VALUE!</v>
      </c>
      <c r="DK116" s="11" t="str">
        <f t="shared" si="151"/>
        <v/>
      </c>
      <c r="DL116" s="11" t="e">
        <f ca="1">IF(AND(NOT(ISBLANK('Exception Stores'!$A$6)),CO116="YES"),S116-$BH$2-(DI116*$BS$2)-(CU116*$BS$2),S116-(DB116*$BS$2))</f>
        <v>#VALUE!</v>
      </c>
      <c r="DM116" s="11" t="str">
        <f>IF(ISBLANK(A116),"",IF(COUNTIF(Remaps!$A$2:$A$200,B116)&gt;0,"YES",""))</f>
        <v>YES</v>
      </c>
      <c r="DN116" s="29">
        <f>IFERROR(INDEX(Remaps!$B$2:$B$200,MATCH(B116,Remaps!$A$2:$A$200,0),1),0)</f>
        <v>0</v>
      </c>
      <c r="DO116" s="11" t="e">
        <f t="shared" ca="1" si="152"/>
        <v>#VALUE!</v>
      </c>
      <c r="DP116" s="29" t="e">
        <f t="shared" si="153"/>
        <v>#VALUE!</v>
      </c>
      <c r="DQ116" s="11" t="e">
        <f ca="1">('Apollo Dock Status'!$Z$1-DP116)/DO116</f>
        <v>#VALUE!</v>
      </c>
      <c r="DR116" s="15" t="e">
        <f t="shared" ca="1" si="140"/>
        <v>#VALUE!</v>
      </c>
    </row>
    <row r="117" spans="1:122">
      <c r="A117" s="1" t="str">
        <f>IF(ISBLANK('Apollo Dock Status'!A117),"",'Apollo Dock Status'!A117)</f>
        <v/>
      </c>
      <c r="B117" s="1" t="str">
        <f>IF(ISBLANK('Apollo Dock Status'!B117),"",'Apollo Dock Status'!B117)</f>
        <v/>
      </c>
      <c r="C117" s="1" t="str">
        <f>IF(ISBLANK('Apollo Dock Status'!C117),"",'Apollo Dock Status'!C117)</f>
        <v/>
      </c>
      <c r="D117" s="1" t="str">
        <f>IF(ISBLANK('Apollo Dock Status'!D117),"",'Apollo Dock Status'!D117)</f>
        <v/>
      </c>
      <c r="E117" s="1" t="str">
        <f>IF(ISBLANK('Apollo Dock Status'!E117),"",'Apollo Dock Status'!E117)</f>
        <v/>
      </c>
      <c r="F117" s="1" t="str">
        <f>IF(ISBLANK('Apollo Dock Status'!F117),"",'Apollo Dock Status'!F117)</f>
        <v/>
      </c>
      <c r="G117" s="1" t="str">
        <f>IF(ISBLANK('Apollo Dock Status'!G117),"",'Apollo Dock Status'!G117)</f>
        <v/>
      </c>
      <c r="H117" s="1" t="str">
        <f>IF(ISBLANK('Apollo Dock Status'!H117),"",'Apollo Dock Status'!H117)</f>
        <v/>
      </c>
      <c r="I117" s="1" t="str">
        <f>IF(ISBLANK('Apollo Dock Status'!I117),"",'Apollo Dock Status'!I117)</f>
        <v/>
      </c>
      <c r="J117" s="1" t="str">
        <f>IF(ISBLANK('Apollo Dock Status'!J117),"",'Apollo Dock Status'!J117)</f>
        <v/>
      </c>
      <c r="K117" s="1" t="str">
        <f>IF(ISBLANK('Apollo Dock Status'!K117),"",'Apollo Dock Status'!K117)</f>
        <v/>
      </c>
      <c r="L117" s="1" t="str">
        <f>IF(ISBLANK('Apollo Dock Status'!L117),"",'Apollo Dock Status'!L117)</f>
        <v/>
      </c>
      <c r="M117" s="1" t="str">
        <f>IF(ISBLANK('Apollo Dock Status'!M117),"",'Apollo Dock Status'!M117)</f>
        <v/>
      </c>
      <c r="N117" s="1" t="str">
        <f>IF(ISBLANK('Apollo Dock Status'!N117),"",'Apollo Dock Status'!N117)</f>
        <v/>
      </c>
      <c r="O117" s="1" t="str">
        <f t="shared" si="90"/>
        <v/>
      </c>
      <c r="P117" s="1" t="str">
        <f t="shared" si="91"/>
        <v/>
      </c>
      <c r="Q117" s="1" t="str">
        <f t="shared" si="92"/>
        <v/>
      </c>
      <c r="R117" s="1" t="str">
        <f t="shared" si="93"/>
        <v/>
      </c>
      <c r="S117" s="11" t="str">
        <f t="shared" si="94"/>
        <v/>
      </c>
      <c r="T117" s="1" t="str">
        <f t="shared" si="95"/>
        <v/>
      </c>
      <c r="U117" s="11" t="str">
        <f t="shared" si="96"/>
        <v/>
      </c>
      <c r="V117" s="11" t="str">
        <f t="shared" si="97"/>
        <v/>
      </c>
      <c r="X117" s="1" t="str">
        <f t="shared" si="98"/>
        <v/>
      </c>
      <c r="Y117" s="1" t="str">
        <f t="shared" si="99"/>
        <v/>
      </c>
      <c r="Z117" s="1" t="str">
        <f t="shared" si="100"/>
        <v/>
      </c>
      <c r="AB117" s="13">
        <f t="shared" ca="1" si="101"/>
        <v>46176</v>
      </c>
      <c r="AC117" s="1">
        <f t="shared" ca="1" si="102"/>
        <v>2026</v>
      </c>
      <c r="AD117" s="1" t="str">
        <f t="shared" ca="1" si="103"/>
        <v>6</v>
      </c>
      <c r="AE117" s="1">
        <f t="shared" si="104"/>
        <v>1</v>
      </c>
      <c r="AF117" s="1" t="str">
        <f t="shared" si="105"/>
        <v/>
      </c>
      <c r="AG117" s="1">
        <f t="shared" ca="1" si="106"/>
        <v>2026</v>
      </c>
      <c r="AH117" s="1">
        <f t="shared" si="107"/>
        <v>1</v>
      </c>
      <c r="AI117" s="1" t="str">
        <f t="shared" ca="1" si="108"/>
        <v>6</v>
      </c>
      <c r="AJ117" s="13" t="e">
        <f t="shared" ca="1" si="109"/>
        <v>#VALUE!</v>
      </c>
      <c r="AK117" s="1" t="e">
        <f>IF(ISBLANK(A117),"",IFERROR(MID(F117,SEARCH(", ",F117)+LEN(", "),SEARCH(" "&amp;'Exception Stores'!$A$2,F117)-SEARCH(", ",F117)-LEN(", ")),MID(F117,SEARCH(", ",F117)+LEN(", "),SEARCH(" "&amp;'Exception Stores'!$B$2,F117)-SEARCH(", ",F117)-LEN(", "))))</f>
        <v>#VALUE!</v>
      </c>
      <c r="AL117" s="1" t="e">
        <f t="shared" si="110"/>
        <v>#VALUE!</v>
      </c>
      <c r="AM117" s="15" t="e">
        <f t="shared" ca="1" si="111"/>
        <v>#VALUE!</v>
      </c>
      <c r="AN117" s="24" t="e">
        <f t="shared" ca="1" si="112"/>
        <v>#VALUE!</v>
      </c>
      <c r="AO117" s="1" t="e">
        <f t="shared" ca="1" si="113"/>
        <v>#VALUE!</v>
      </c>
      <c r="AP117" s="13" t="e">
        <f t="shared" ca="1" si="114"/>
        <v>#VALUE!</v>
      </c>
      <c r="AQ117" s="17" t="e">
        <f t="shared" ca="1" si="115"/>
        <v>#VALUE!</v>
      </c>
      <c r="AS117" s="15" t="e">
        <f t="shared" ca="1" si="116"/>
        <v>#VALUE!</v>
      </c>
      <c r="AT117" s="5">
        <f>'Exception Stores'!$D$2</f>
        <v>0.125</v>
      </c>
      <c r="AU117" s="15" t="e">
        <f t="shared" ca="1" si="117"/>
        <v>#VALUE!</v>
      </c>
      <c r="AV117" s="15" t="e">
        <f t="shared" ca="1" si="118"/>
        <v>#VALUE!</v>
      </c>
      <c r="AW117" s="15" t="e">
        <f t="shared" ca="1" si="119"/>
        <v>#VALUE!</v>
      </c>
      <c r="AX117" s="15" t="e">
        <f t="shared" ca="1" si="120"/>
        <v>#VALUE!</v>
      </c>
      <c r="AY117" s="15" t="e">
        <f t="shared" ca="1" si="121"/>
        <v>#VALUE!</v>
      </c>
      <c r="AZ117" s="1" t="e">
        <f t="shared" ca="1" si="122"/>
        <v>#VALUE!</v>
      </c>
      <c r="BA117" s="15" t="e">
        <f t="shared" ca="1" si="123"/>
        <v>#VALUE!</v>
      </c>
      <c r="BB117" s="15" t="e">
        <f t="shared" ca="1" si="124"/>
        <v>#VALUE!</v>
      </c>
      <c r="BC117" s="1" t="e">
        <f t="shared" ca="1" si="125"/>
        <v>#VALUE!</v>
      </c>
      <c r="BE117" s="15" t="str">
        <f>IF(ISBLANK('Exception Stores'!$A$6),"",'Exception Stores'!$A$6)</f>
        <v/>
      </c>
      <c r="BF117" s="15" t="str">
        <f>IF(ISBLANK('Exception Stores'!$B$6),"",'Exception Stores'!$B$6)</f>
        <v/>
      </c>
      <c r="BG117" s="1">
        <f>IF(ISBLANK('Exception Stores'!$A$6),0,IF($AN$2&gt;$BF$2,($AN$2-$BF$2)*24,0))</f>
        <v>0</v>
      </c>
      <c r="BH117" s="11">
        <f>IF(ISBLANK('Exception Stores'!$A$6),0,($BF$2-$BE$2)*24)</f>
        <v>0</v>
      </c>
      <c r="BI11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17" s="1">
        <f>IF(ISBLANK('Exception Stores'!$A$6),0,IF($AN$2&gt;$BF$2,0,IF(AND($AN$2&lt;$BF$2,$BT$2="B"),(($BF$2-$AN$2)*24)-$BS$2,($BF$2-$AN$2)*24)))</f>
        <v>0</v>
      </c>
      <c r="BL117" s="5"/>
      <c r="BM117" s="5"/>
      <c r="BN117" s="5"/>
      <c r="BO117" s="5"/>
      <c r="BP117" s="5"/>
      <c r="BV117" s="1" t="e">
        <f t="shared" ca="1" si="126"/>
        <v>#VALUE!</v>
      </c>
      <c r="BW117" s="1" t="e">
        <f t="shared" ca="1" si="127"/>
        <v>#VALUE!</v>
      </c>
      <c r="BX117" s="1" t="e">
        <f t="shared" ca="1" si="128"/>
        <v>#VALUE!</v>
      </c>
      <c r="BY117" s="1" t="e">
        <f t="shared" ca="1" si="129"/>
        <v>#VALUE!</v>
      </c>
      <c r="BZ117" s="1" t="e">
        <f t="shared" ca="1" si="130"/>
        <v>#VALUE!</v>
      </c>
      <c r="CB117" s="1" t="str">
        <f>IF(ISBLANK('Exception Stores'!$A$6),"",WEEKDAY($BF$2))</f>
        <v/>
      </c>
      <c r="CC117" s="1" t="str">
        <f>IF(ISBLANK('Exception Stores'!$A$6),"NO",IF('Exception Stores'!$A$6&lt;$AU$2,"YES","NO"))</f>
        <v>NO</v>
      </c>
      <c r="CD117" s="1" t="str">
        <f>IF(ISBLANK('Exception Stores'!$A$6),"NO",IF('Exception Stores'!$A$6&lt;$AV$2,"YES","NO"))</f>
        <v>NO</v>
      </c>
      <c r="CE117" s="1" t="str">
        <f>IF(ISBLANK('Exception Stores'!$A$6),"NO",IF('Exception Stores'!$A$6&lt;$AW$2,"YES","NO"))</f>
        <v>NO</v>
      </c>
      <c r="CF117" s="1" t="str">
        <f>IF(ISBLANK('Exception Stores'!$A$6),"NO",IF('Exception Stores'!$A$6&lt;$AX$2,"YES","NO"))</f>
        <v>NO</v>
      </c>
      <c r="CG117" s="1" t="str">
        <f>IF(ISBLANK('Exception Stores'!$A$6),"NO",IF('Exception Stores'!$A$6&lt;$AY$2,"YES","NO"))</f>
        <v>NO</v>
      </c>
      <c r="CI117" s="42" t="str">
        <f>IF(ISBLANK('Exception Stores'!$B$6),"NO",IF('Exception Stores'!$B$6&lt;=$AU$2,"YES","NO"))</f>
        <v>NO</v>
      </c>
      <c r="CJ117" s="42" t="str">
        <f>IF(ISBLANK('Exception Stores'!$B$6),"NO",IF('Exception Stores'!$B$6&lt;=$AV$2,"YES","NO"))</f>
        <v>NO</v>
      </c>
      <c r="CK117" s="1" t="str">
        <f>IF(ISBLANK('Exception Stores'!$B$6),"NO",IF('Exception Stores'!$B$6&lt;=$AW$2,"YES","NO"))</f>
        <v>NO</v>
      </c>
      <c r="CL117" s="1" t="str">
        <f>IF(ISBLANK('Exception Stores'!$B$6),"NO",IF('Exception Stores'!$B$6&lt;=$AX$2,"YES","NO"))</f>
        <v>NO</v>
      </c>
      <c r="CM117" s="1" t="str">
        <f>IF(ISBLANK('Exception Stores'!$B$6),"NO",IF('Exception Stores'!$B$6&lt;=$AY$2,"YES","NO"))</f>
        <v>NO</v>
      </c>
      <c r="CO117" s="1" t="e">
        <f ca="1">IF(AM117&lt;'Exception Stores'!$A$6,"YES","NO")</f>
        <v>#VALUE!</v>
      </c>
      <c r="CP117" s="1">
        <f t="shared" si="131"/>
        <v>0</v>
      </c>
      <c r="CQ117" s="1">
        <f t="shared" si="132"/>
        <v>0</v>
      </c>
      <c r="CR117" s="1">
        <f t="shared" si="133"/>
        <v>0</v>
      </c>
      <c r="CS117" s="1">
        <f t="shared" si="134"/>
        <v>0</v>
      </c>
      <c r="CT117" s="1">
        <f t="shared" si="135"/>
        <v>0</v>
      </c>
      <c r="CU117" s="1">
        <f t="shared" si="136"/>
        <v>0</v>
      </c>
      <c r="CW117" s="1" t="e">
        <f t="shared" ca="1" si="141"/>
        <v>#VALUE!</v>
      </c>
      <c r="CX117" s="1" t="e">
        <f t="shared" ca="1" si="142"/>
        <v>#VALUE!</v>
      </c>
      <c r="CY117" s="1" t="e">
        <f t="shared" ca="1" si="143"/>
        <v>#VALUE!</v>
      </c>
      <c r="CZ117" s="1" t="e">
        <f t="shared" ca="1" si="144"/>
        <v>#VALUE!</v>
      </c>
      <c r="DA117" s="1" t="e">
        <f t="shared" ca="1" si="145"/>
        <v>#VALUE!</v>
      </c>
      <c r="DB117" s="26" t="e">
        <f t="shared" ca="1" si="137"/>
        <v>#VALUE!</v>
      </c>
      <c r="DC117" s="1">
        <f t="shared" si="146"/>
        <v>0</v>
      </c>
      <c r="DD117" s="1">
        <f t="shared" si="147"/>
        <v>0</v>
      </c>
      <c r="DE117" s="1">
        <f t="shared" si="148"/>
        <v>0</v>
      </c>
      <c r="DF117" s="1">
        <f t="shared" si="149"/>
        <v>0</v>
      </c>
      <c r="DG117" s="1">
        <f t="shared" si="150"/>
        <v>0</v>
      </c>
      <c r="DH117" s="26">
        <f t="shared" si="138"/>
        <v>0</v>
      </c>
      <c r="DI117" s="1" t="e">
        <f t="shared" ca="1" si="139"/>
        <v>#VALUE!</v>
      </c>
      <c r="DK117" s="11" t="str">
        <f t="shared" si="151"/>
        <v/>
      </c>
      <c r="DL117" s="11" t="e">
        <f ca="1">IF(AND(NOT(ISBLANK('Exception Stores'!$A$6)),CO117="YES"),S117-$BH$2-(DI117*$BS$2)-(CU117*$BS$2),S117-(DB117*$BS$2))</f>
        <v>#VALUE!</v>
      </c>
      <c r="DM117" s="11" t="str">
        <f>IF(ISBLANK(A117),"",IF(COUNTIF(Remaps!$A$2:$A$200,B117)&gt;0,"YES",""))</f>
        <v>YES</v>
      </c>
      <c r="DN117" s="29">
        <f>IFERROR(INDEX(Remaps!$B$2:$B$200,MATCH(B117,Remaps!$A$2:$A$200,0),1),0)</f>
        <v>0</v>
      </c>
      <c r="DO117" s="11" t="e">
        <f t="shared" ca="1" si="152"/>
        <v>#VALUE!</v>
      </c>
      <c r="DP117" s="29" t="e">
        <f t="shared" si="153"/>
        <v>#VALUE!</v>
      </c>
      <c r="DQ117" s="11" t="e">
        <f ca="1">('Apollo Dock Status'!$Z$1-DP117)/DO117</f>
        <v>#VALUE!</v>
      </c>
      <c r="DR117" s="15" t="e">
        <f t="shared" ca="1" si="140"/>
        <v>#VALUE!</v>
      </c>
    </row>
    <row r="118" spans="1:122">
      <c r="A118" s="1" t="str">
        <f>IF(ISBLANK('Apollo Dock Status'!A118),"",'Apollo Dock Status'!A118)</f>
        <v/>
      </c>
      <c r="B118" s="1" t="str">
        <f>IF(ISBLANK('Apollo Dock Status'!B118),"",'Apollo Dock Status'!B118)</f>
        <v/>
      </c>
      <c r="C118" s="1" t="str">
        <f>IF(ISBLANK('Apollo Dock Status'!C118),"",'Apollo Dock Status'!C118)</f>
        <v/>
      </c>
      <c r="D118" s="1" t="str">
        <f>IF(ISBLANK('Apollo Dock Status'!D118),"",'Apollo Dock Status'!D118)</f>
        <v/>
      </c>
      <c r="E118" s="1" t="str">
        <f>IF(ISBLANK('Apollo Dock Status'!E118),"",'Apollo Dock Status'!E118)</f>
        <v/>
      </c>
      <c r="F118" s="1" t="str">
        <f>IF(ISBLANK('Apollo Dock Status'!F118),"",'Apollo Dock Status'!F118)</f>
        <v/>
      </c>
      <c r="G118" s="1" t="str">
        <f>IF(ISBLANK('Apollo Dock Status'!G118),"",'Apollo Dock Status'!G118)</f>
        <v/>
      </c>
      <c r="H118" s="1" t="str">
        <f>IF(ISBLANK('Apollo Dock Status'!H118),"",'Apollo Dock Status'!H118)</f>
        <v/>
      </c>
      <c r="I118" s="1" t="str">
        <f>IF(ISBLANK('Apollo Dock Status'!I118),"",'Apollo Dock Status'!I118)</f>
        <v/>
      </c>
      <c r="J118" s="1" t="str">
        <f>IF(ISBLANK('Apollo Dock Status'!J118),"",'Apollo Dock Status'!J118)</f>
        <v/>
      </c>
      <c r="K118" s="1" t="str">
        <f>IF(ISBLANK('Apollo Dock Status'!K118),"",'Apollo Dock Status'!K118)</f>
        <v/>
      </c>
      <c r="L118" s="1" t="str">
        <f>IF(ISBLANK('Apollo Dock Status'!L118),"",'Apollo Dock Status'!L118)</f>
        <v/>
      </c>
      <c r="M118" s="1" t="str">
        <f>IF(ISBLANK('Apollo Dock Status'!M118),"",'Apollo Dock Status'!M118)</f>
        <v/>
      </c>
      <c r="N118" s="1" t="str">
        <f>IF(ISBLANK('Apollo Dock Status'!N118),"",'Apollo Dock Status'!N118)</f>
        <v/>
      </c>
      <c r="O118" s="1" t="str">
        <f t="shared" si="90"/>
        <v/>
      </c>
      <c r="P118" s="1" t="str">
        <f t="shared" si="91"/>
        <v/>
      </c>
      <c r="Q118" s="1" t="str">
        <f t="shared" si="92"/>
        <v/>
      </c>
      <c r="R118" s="1" t="str">
        <f t="shared" si="93"/>
        <v/>
      </c>
      <c r="S118" s="11" t="str">
        <f t="shared" si="94"/>
        <v/>
      </c>
      <c r="T118" s="1" t="str">
        <f t="shared" si="95"/>
        <v/>
      </c>
      <c r="U118" s="11" t="str">
        <f t="shared" si="96"/>
        <v/>
      </c>
      <c r="V118" s="11" t="str">
        <f t="shared" si="97"/>
        <v/>
      </c>
      <c r="X118" s="1" t="str">
        <f t="shared" si="98"/>
        <v/>
      </c>
      <c r="Y118" s="1" t="str">
        <f t="shared" si="99"/>
        <v/>
      </c>
      <c r="Z118" s="1" t="str">
        <f t="shared" si="100"/>
        <v/>
      </c>
      <c r="AB118" s="13">
        <f t="shared" ca="1" si="101"/>
        <v>46176</v>
      </c>
      <c r="AC118" s="1">
        <f t="shared" ca="1" si="102"/>
        <v>2026</v>
      </c>
      <c r="AD118" s="1" t="str">
        <f t="shared" ca="1" si="103"/>
        <v>6</v>
      </c>
      <c r="AE118" s="1">
        <f t="shared" si="104"/>
        <v>1</v>
      </c>
      <c r="AF118" s="1" t="str">
        <f t="shared" si="105"/>
        <v/>
      </c>
      <c r="AG118" s="1">
        <f t="shared" ca="1" si="106"/>
        <v>2026</v>
      </c>
      <c r="AH118" s="1">
        <f t="shared" si="107"/>
        <v>1</v>
      </c>
      <c r="AI118" s="1" t="str">
        <f t="shared" ca="1" si="108"/>
        <v>6</v>
      </c>
      <c r="AJ118" s="13" t="e">
        <f t="shared" ca="1" si="109"/>
        <v>#VALUE!</v>
      </c>
      <c r="AK118" s="1" t="e">
        <f>IF(ISBLANK(A118),"",IFERROR(MID(F118,SEARCH(", ",F118)+LEN(", "),SEARCH(" "&amp;'Exception Stores'!$A$2,F118)-SEARCH(", ",F118)-LEN(", ")),MID(F118,SEARCH(", ",F118)+LEN(", "),SEARCH(" "&amp;'Exception Stores'!$B$2,F118)-SEARCH(", ",F118)-LEN(", "))))</f>
        <v>#VALUE!</v>
      </c>
      <c r="AL118" s="1" t="e">
        <f t="shared" si="110"/>
        <v>#VALUE!</v>
      </c>
      <c r="AM118" s="15" t="e">
        <f t="shared" ca="1" si="111"/>
        <v>#VALUE!</v>
      </c>
      <c r="AN118" s="24" t="e">
        <f t="shared" ca="1" si="112"/>
        <v>#VALUE!</v>
      </c>
      <c r="AO118" s="1" t="e">
        <f t="shared" ca="1" si="113"/>
        <v>#VALUE!</v>
      </c>
      <c r="AP118" s="13" t="e">
        <f t="shared" ca="1" si="114"/>
        <v>#VALUE!</v>
      </c>
      <c r="AQ118" s="17" t="e">
        <f t="shared" ca="1" si="115"/>
        <v>#VALUE!</v>
      </c>
      <c r="AS118" s="15" t="e">
        <f t="shared" ca="1" si="116"/>
        <v>#VALUE!</v>
      </c>
      <c r="AT118" s="5">
        <f>'Exception Stores'!$D$2</f>
        <v>0.125</v>
      </c>
      <c r="AU118" s="15" t="e">
        <f t="shared" ca="1" si="117"/>
        <v>#VALUE!</v>
      </c>
      <c r="AV118" s="15" t="e">
        <f t="shared" ca="1" si="118"/>
        <v>#VALUE!</v>
      </c>
      <c r="AW118" s="15" t="e">
        <f t="shared" ca="1" si="119"/>
        <v>#VALUE!</v>
      </c>
      <c r="AX118" s="15" t="e">
        <f t="shared" ca="1" si="120"/>
        <v>#VALUE!</v>
      </c>
      <c r="AY118" s="15" t="e">
        <f t="shared" ca="1" si="121"/>
        <v>#VALUE!</v>
      </c>
      <c r="AZ118" s="1" t="e">
        <f t="shared" ca="1" si="122"/>
        <v>#VALUE!</v>
      </c>
      <c r="BA118" s="15" t="e">
        <f t="shared" ca="1" si="123"/>
        <v>#VALUE!</v>
      </c>
      <c r="BB118" s="15" t="e">
        <f t="shared" ca="1" si="124"/>
        <v>#VALUE!</v>
      </c>
      <c r="BC118" s="1" t="e">
        <f t="shared" ca="1" si="125"/>
        <v>#VALUE!</v>
      </c>
      <c r="BE118" s="15" t="str">
        <f>IF(ISBLANK('Exception Stores'!$A$6),"",'Exception Stores'!$A$6)</f>
        <v/>
      </c>
      <c r="BF118" s="15" t="str">
        <f>IF(ISBLANK('Exception Stores'!$B$6),"",'Exception Stores'!$B$6)</f>
        <v/>
      </c>
      <c r="BG118" s="1">
        <f>IF(ISBLANK('Exception Stores'!$A$6),0,IF($AN$2&gt;$BF$2,($AN$2-$BF$2)*24,0))</f>
        <v>0</v>
      </c>
      <c r="BH118" s="11">
        <f>IF(ISBLANK('Exception Stores'!$A$6),0,($BF$2-$BE$2)*24)</f>
        <v>0</v>
      </c>
      <c r="BI11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18" s="1">
        <f>IF(ISBLANK('Exception Stores'!$A$6),0,IF($AN$2&gt;$BF$2,0,IF(AND($AN$2&lt;$BF$2,$BT$2="B"),(($BF$2-$AN$2)*24)-$BS$2,($BF$2-$AN$2)*24)))</f>
        <v>0</v>
      </c>
      <c r="BL118" s="5"/>
      <c r="BM118" s="5"/>
      <c r="BN118" s="5"/>
      <c r="BO118" s="5"/>
      <c r="BP118" s="5"/>
      <c r="BV118" s="1" t="e">
        <f t="shared" ca="1" si="126"/>
        <v>#VALUE!</v>
      </c>
      <c r="BW118" s="1" t="e">
        <f t="shared" ca="1" si="127"/>
        <v>#VALUE!</v>
      </c>
      <c r="BX118" s="1" t="e">
        <f t="shared" ca="1" si="128"/>
        <v>#VALUE!</v>
      </c>
      <c r="BY118" s="1" t="e">
        <f t="shared" ca="1" si="129"/>
        <v>#VALUE!</v>
      </c>
      <c r="BZ118" s="1" t="e">
        <f t="shared" ca="1" si="130"/>
        <v>#VALUE!</v>
      </c>
      <c r="CB118" s="1" t="str">
        <f>IF(ISBLANK('Exception Stores'!$A$6),"",WEEKDAY($BF$2))</f>
        <v/>
      </c>
      <c r="CC118" s="1" t="str">
        <f>IF(ISBLANK('Exception Stores'!$A$6),"NO",IF('Exception Stores'!$A$6&lt;$AU$2,"YES","NO"))</f>
        <v>NO</v>
      </c>
      <c r="CD118" s="1" t="str">
        <f>IF(ISBLANK('Exception Stores'!$A$6),"NO",IF('Exception Stores'!$A$6&lt;$AV$2,"YES","NO"))</f>
        <v>NO</v>
      </c>
      <c r="CE118" s="1" t="str">
        <f>IF(ISBLANK('Exception Stores'!$A$6),"NO",IF('Exception Stores'!$A$6&lt;$AW$2,"YES","NO"))</f>
        <v>NO</v>
      </c>
      <c r="CF118" s="1" t="str">
        <f>IF(ISBLANK('Exception Stores'!$A$6),"NO",IF('Exception Stores'!$A$6&lt;$AX$2,"YES","NO"))</f>
        <v>NO</v>
      </c>
      <c r="CG118" s="1" t="str">
        <f>IF(ISBLANK('Exception Stores'!$A$6),"NO",IF('Exception Stores'!$A$6&lt;$AY$2,"YES","NO"))</f>
        <v>NO</v>
      </c>
      <c r="CI118" s="42" t="str">
        <f>IF(ISBLANK('Exception Stores'!$B$6),"NO",IF('Exception Stores'!$B$6&lt;=$AU$2,"YES","NO"))</f>
        <v>NO</v>
      </c>
      <c r="CJ118" s="42" t="str">
        <f>IF(ISBLANK('Exception Stores'!$B$6),"NO",IF('Exception Stores'!$B$6&lt;=$AV$2,"YES","NO"))</f>
        <v>NO</v>
      </c>
      <c r="CK118" s="1" t="str">
        <f>IF(ISBLANK('Exception Stores'!$B$6),"NO",IF('Exception Stores'!$B$6&lt;=$AW$2,"YES","NO"))</f>
        <v>NO</v>
      </c>
      <c r="CL118" s="1" t="str">
        <f>IF(ISBLANK('Exception Stores'!$B$6),"NO",IF('Exception Stores'!$B$6&lt;=$AX$2,"YES","NO"))</f>
        <v>NO</v>
      </c>
      <c r="CM118" s="1" t="str">
        <f>IF(ISBLANK('Exception Stores'!$B$6),"NO",IF('Exception Stores'!$B$6&lt;=$AY$2,"YES","NO"))</f>
        <v>NO</v>
      </c>
      <c r="CO118" s="1" t="e">
        <f ca="1">IF(AM118&lt;'Exception Stores'!$A$6,"YES","NO")</f>
        <v>#VALUE!</v>
      </c>
      <c r="CP118" s="1">
        <f t="shared" si="131"/>
        <v>0</v>
      </c>
      <c r="CQ118" s="1">
        <f t="shared" si="132"/>
        <v>0</v>
      </c>
      <c r="CR118" s="1">
        <f t="shared" si="133"/>
        <v>0</v>
      </c>
      <c r="CS118" s="1">
        <f t="shared" si="134"/>
        <v>0</v>
      </c>
      <c r="CT118" s="1">
        <f t="shared" si="135"/>
        <v>0</v>
      </c>
      <c r="CU118" s="1">
        <f t="shared" si="136"/>
        <v>0</v>
      </c>
      <c r="CW118" s="1" t="e">
        <f t="shared" ca="1" si="141"/>
        <v>#VALUE!</v>
      </c>
      <c r="CX118" s="1" t="e">
        <f t="shared" ca="1" si="142"/>
        <v>#VALUE!</v>
      </c>
      <c r="CY118" s="1" t="e">
        <f t="shared" ca="1" si="143"/>
        <v>#VALUE!</v>
      </c>
      <c r="CZ118" s="1" t="e">
        <f t="shared" ca="1" si="144"/>
        <v>#VALUE!</v>
      </c>
      <c r="DA118" s="1" t="e">
        <f t="shared" ca="1" si="145"/>
        <v>#VALUE!</v>
      </c>
      <c r="DB118" s="26" t="e">
        <f t="shared" ca="1" si="137"/>
        <v>#VALUE!</v>
      </c>
      <c r="DC118" s="1">
        <f t="shared" si="146"/>
        <v>0</v>
      </c>
      <c r="DD118" s="1">
        <f t="shared" si="147"/>
        <v>0</v>
      </c>
      <c r="DE118" s="1">
        <f t="shared" si="148"/>
        <v>0</v>
      </c>
      <c r="DF118" s="1">
        <f t="shared" si="149"/>
        <v>0</v>
      </c>
      <c r="DG118" s="1">
        <f t="shared" si="150"/>
        <v>0</v>
      </c>
      <c r="DH118" s="26">
        <f t="shared" si="138"/>
        <v>0</v>
      </c>
      <c r="DI118" s="1" t="e">
        <f t="shared" ca="1" si="139"/>
        <v>#VALUE!</v>
      </c>
      <c r="DK118" s="11" t="str">
        <f t="shared" si="151"/>
        <v/>
      </c>
      <c r="DL118" s="11" t="e">
        <f ca="1">IF(AND(NOT(ISBLANK('Exception Stores'!$A$6)),CO118="YES"),S118-$BH$2-(DI118*$BS$2)-(CU118*$BS$2),S118-(DB118*$BS$2))</f>
        <v>#VALUE!</v>
      </c>
      <c r="DM118" s="11" t="str">
        <f>IF(ISBLANK(A118),"",IF(COUNTIF(Remaps!$A$2:$A$200,B118)&gt;0,"YES",""))</f>
        <v>YES</v>
      </c>
      <c r="DN118" s="29">
        <f>IFERROR(INDEX(Remaps!$B$2:$B$200,MATCH(B118,Remaps!$A$2:$A$200,0),1),0)</f>
        <v>0</v>
      </c>
      <c r="DO118" s="11" t="e">
        <f t="shared" ca="1" si="152"/>
        <v>#VALUE!</v>
      </c>
      <c r="DP118" s="29" t="e">
        <f t="shared" si="153"/>
        <v>#VALUE!</v>
      </c>
      <c r="DQ118" s="11" t="e">
        <f ca="1">('Apollo Dock Status'!$Z$1-DP118)/DO118</f>
        <v>#VALUE!</v>
      </c>
      <c r="DR118" s="15" t="e">
        <f t="shared" ca="1" si="140"/>
        <v>#VALUE!</v>
      </c>
    </row>
    <row r="119" spans="1:122">
      <c r="A119" s="1" t="str">
        <f>IF(ISBLANK('Apollo Dock Status'!A119),"",'Apollo Dock Status'!A119)</f>
        <v/>
      </c>
      <c r="B119" s="1" t="str">
        <f>IF(ISBLANK('Apollo Dock Status'!B119),"",'Apollo Dock Status'!B119)</f>
        <v/>
      </c>
      <c r="C119" s="1" t="str">
        <f>IF(ISBLANK('Apollo Dock Status'!C119),"",'Apollo Dock Status'!C119)</f>
        <v/>
      </c>
      <c r="D119" s="1" t="str">
        <f>IF(ISBLANK('Apollo Dock Status'!D119),"",'Apollo Dock Status'!D119)</f>
        <v/>
      </c>
      <c r="E119" s="1" t="str">
        <f>IF(ISBLANK('Apollo Dock Status'!E119),"",'Apollo Dock Status'!E119)</f>
        <v/>
      </c>
      <c r="F119" s="1" t="str">
        <f>IF(ISBLANK('Apollo Dock Status'!F119),"",'Apollo Dock Status'!F119)</f>
        <v/>
      </c>
      <c r="G119" s="1" t="str">
        <f>IF(ISBLANK('Apollo Dock Status'!G119),"",'Apollo Dock Status'!G119)</f>
        <v/>
      </c>
      <c r="H119" s="1" t="str">
        <f>IF(ISBLANK('Apollo Dock Status'!H119),"",'Apollo Dock Status'!H119)</f>
        <v/>
      </c>
      <c r="I119" s="1" t="str">
        <f>IF(ISBLANK('Apollo Dock Status'!I119),"",'Apollo Dock Status'!I119)</f>
        <v/>
      </c>
      <c r="J119" s="1" t="str">
        <f>IF(ISBLANK('Apollo Dock Status'!J119),"",'Apollo Dock Status'!J119)</f>
        <v/>
      </c>
      <c r="K119" s="1" t="str">
        <f>IF(ISBLANK('Apollo Dock Status'!K119),"",'Apollo Dock Status'!K119)</f>
        <v/>
      </c>
      <c r="L119" s="1" t="str">
        <f>IF(ISBLANK('Apollo Dock Status'!L119),"",'Apollo Dock Status'!L119)</f>
        <v/>
      </c>
      <c r="M119" s="1" t="str">
        <f>IF(ISBLANK('Apollo Dock Status'!M119),"",'Apollo Dock Status'!M119)</f>
        <v/>
      </c>
      <c r="N119" s="1" t="str">
        <f>IF(ISBLANK('Apollo Dock Status'!N119),"",'Apollo Dock Status'!N119)</f>
        <v/>
      </c>
      <c r="O119" s="1" t="str">
        <f t="shared" si="90"/>
        <v/>
      </c>
      <c r="P119" s="1" t="str">
        <f t="shared" si="91"/>
        <v/>
      </c>
      <c r="Q119" s="1" t="str">
        <f t="shared" si="92"/>
        <v/>
      </c>
      <c r="R119" s="1" t="str">
        <f t="shared" si="93"/>
        <v/>
      </c>
      <c r="S119" s="11" t="str">
        <f t="shared" si="94"/>
        <v/>
      </c>
      <c r="T119" s="1" t="str">
        <f t="shared" si="95"/>
        <v/>
      </c>
      <c r="U119" s="11" t="str">
        <f t="shared" si="96"/>
        <v/>
      </c>
      <c r="V119" s="11" t="str">
        <f t="shared" si="97"/>
        <v/>
      </c>
      <c r="X119" s="1" t="str">
        <f t="shared" si="98"/>
        <v/>
      </c>
      <c r="Y119" s="1" t="str">
        <f t="shared" si="99"/>
        <v/>
      </c>
      <c r="Z119" s="1" t="str">
        <f t="shared" si="100"/>
        <v/>
      </c>
      <c r="AB119" s="13">
        <f t="shared" ca="1" si="101"/>
        <v>46176</v>
      </c>
      <c r="AC119" s="1">
        <f t="shared" ca="1" si="102"/>
        <v>2026</v>
      </c>
      <c r="AD119" s="1" t="str">
        <f t="shared" ca="1" si="103"/>
        <v>6</v>
      </c>
      <c r="AE119" s="1">
        <f t="shared" si="104"/>
        <v>1</v>
      </c>
      <c r="AF119" s="1" t="str">
        <f t="shared" si="105"/>
        <v/>
      </c>
      <c r="AG119" s="1">
        <f t="shared" ca="1" si="106"/>
        <v>2026</v>
      </c>
      <c r="AH119" s="1">
        <f t="shared" si="107"/>
        <v>1</v>
      </c>
      <c r="AI119" s="1" t="str">
        <f t="shared" ca="1" si="108"/>
        <v>6</v>
      </c>
      <c r="AJ119" s="13" t="e">
        <f t="shared" ca="1" si="109"/>
        <v>#VALUE!</v>
      </c>
      <c r="AK119" s="1" t="e">
        <f>IF(ISBLANK(A119),"",IFERROR(MID(F119,SEARCH(", ",F119)+LEN(", "),SEARCH(" "&amp;'Exception Stores'!$A$2,F119)-SEARCH(", ",F119)-LEN(", ")),MID(F119,SEARCH(", ",F119)+LEN(", "),SEARCH(" "&amp;'Exception Stores'!$B$2,F119)-SEARCH(", ",F119)-LEN(", "))))</f>
        <v>#VALUE!</v>
      </c>
      <c r="AL119" s="1" t="e">
        <f t="shared" si="110"/>
        <v>#VALUE!</v>
      </c>
      <c r="AM119" s="15" t="e">
        <f t="shared" ca="1" si="111"/>
        <v>#VALUE!</v>
      </c>
      <c r="AN119" s="24" t="e">
        <f t="shared" ca="1" si="112"/>
        <v>#VALUE!</v>
      </c>
      <c r="AO119" s="1" t="e">
        <f t="shared" ca="1" si="113"/>
        <v>#VALUE!</v>
      </c>
      <c r="AP119" s="13" t="e">
        <f t="shared" ca="1" si="114"/>
        <v>#VALUE!</v>
      </c>
      <c r="AQ119" s="17" t="e">
        <f t="shared" ca="1" si="115"/>
        <v>#VALUE!</v>
      </c>
      <c r="AS119" s="15" t="e">
        <f t="shared" ca="1" si="116"/>
        <v>#VALUE!</v>
      </c>
      <c r="AT119" s="5">
        <f>'Exception Stores'!$D$2</f>
        <v>0.125</v>
      </c>
      <c r="AU119" s="15" t="e">
        <f t="shared" ca="1" si="117"/>
        <v>#VALUE!</v>
      </c>
      <c r="AV119" s="15" t="e">
        <f t="shared" ca="1" si="118"/>
        <v>#VALUE!</v>
      </c>
      <c r="AW119" s="15" t="e">
        <f t="shared" ca="1" si="119"/>
        <v>#VALUE!</v>
      </c>
      <c r="AX119" s="15" t="e">
        <f t="shared" ca="1" si="120"/>
        <v>#VALUE!</v>
      </c>
      <c r="AY119" s="15" t="e">
        <f t="shared" ca="1" si="121"/>
        <v>#VALUE!</v>
      </c>
      <c r="AZ119" s="1" t="e">
        <f t="shared" ca="1" si="122"/>
        <v>#VALUE!</v>
      </c>
      <c r="BA119" s="15" t="e">
        <f t="shared" ca="1" si="123"/>
        <v>#VALUE!</v>
      </c>
      <c r="BB119" s="15" t="e">
        <f t="shared" ca="1" si="124"/>
        <v>#VALUE!</v>
      </c>
      <c r="BC119" s="1" t="e">
        <f t="shared" ca="1" si="125"/>
        <v>#VALUE!</v>
      </c>
      <c r="BE119" s="15" t="str">
        <f>IF(ISBLANK('Exception Stores'!$A$6),"",'Exception Stores'!$A$6)</f>
        <v/>
      </c>
      <c r="BF119" s="15" t="str">
        <f>IF(ISBLANK('Exception Stores'!$B$6),"",'Exception Stores'!$B$6)</f>
        <v/>
      </c>
      <c r="BG119" s="1">
        <f>IF(ISBLANK('Exception Stores'!$A$6),0,IF($AN$2&gt;$BF$2,($AN$2-$BF$2)*24,0))</f>
        <v>0</v>
      </c>
      <c r="BH119" s="11">
        <f>IF(ISBLANK('Exception Stores'!$A$6),0,($BF$2-$BE$2)*24)</f>
        <v>0</v>
      </c>
      <c r="BI11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19" s="1">
        <f>IF(ISBLANK('Exception Stores'!$A$6),0,IF($AN$2&gt;$BF$2,0,IF(AND($AN$2&lt;$BF$2,$BT$2="B"),(($BF$2-$AN$2)*24)-$BS$2,($BF$2-$AN$2)*24)))</f>
        <v>0</v>
      </c>
      <c r="BL119" s="5"/>
      <c r="BM119" s="5"/>
      <c r="BN119" s="5"/>
      <c r="BO119" s="5"/>
      <c r="BP119" s="5"/>
      <c r="BV119" s="1" t="e">
        <f t="shared" ca="1" si="126"/>
        <v>#VALUE!</v>
      </c>
      <c r="BW119" s="1" t="e">
        <f t="shared" ca="1" si="127"/>
        <v>#VALUE!</v>
      </c>
      <c r="BX119" s="1" t="e">
        <f t="shared" ca="1" si="128"/>
        <v>#VALUE!</v>
      </c>
      <c r="BY119" s="1" t="e">
        <f t="shared" ca="1" si="129"/>
        <v>#VALUE!</v>
      </c>
      <c r="BZ119" s="1" t="e">
        <f t="shared" ca="1" si="130"/>
        <v>#VALUE!</v>
      </c>
      <c r="CB119" s="1" t="str">
        <f>IF(ISBLANK('Exception Stores'!$A$6),"",WEEKDAY($BF$2))</f>
        <v/>
      </c>
      <c r="CC119" s="1" t="str">
        <f>IF(ISBLANK('Exception Stores'!$A$6),"NO",IF('Exception Stores'!$A$6&lt;$AU$2,"YES","NO"))</f>
        <v>NO</v>
      </c>
      <c r="CD119" s="1" t="str">
        <f>IF(ISBLANK('Exception Stores'!$A$6),"NO",IF('Exception Stores'!$A$6&lt;$AV$2,"YES","NO"))</f>
        <v>NO</v>
      </c>
      <c r="CE119" s="1" t="str">
        <f>IF(ISBLANK('Exception Stores'!$A$6),"NO",IF('Exception Stores'!$A$6&lt;$AW$2,"YES","NO"))</f>
        <v>NO</v>
      </c>
      <c r="CF119" s="1" t="str">
        <f>IF(ISBLANK('Exception Stores'!$A$6),"NO",IF('Exception Stores'!$A$6&lt;$AX$2,"YES","NO"))</f>
        <v>NO</v>
      </c>
      <c r="CG119" s="1" t="str">
        <f>IF(ISBLANK('Exception Stores'!$A$6),"NO",IF('Exception Stores'!$A$6&lt;$AY$2,"YES","NO"))</f>
        <v>NO</v>
      </c>
      <c r="CI119" s="42" t="str">
        <f>IF(ISBLANK('Exception Stores'!$B$6),"NO",IF('Exception Stores'!$B$6&lt;=$AU$2,"YES","NO"))</f>
        <v>NO</v>
      </c>
      <c r="CJ119" s="42" t="str">
        <f>IF(ISBLANK('Exception Stores'!$B$6),"NO",IF('Exception Stores'!$B$6&lt;=$AV$2,"YES","NO"))</f>
        <v>NO</v>
      </c>
      <c r="CK119" s="1" t="str">
        <f>IF(ISBLANK('Exception Stores'!$B$6),"NO",IF('Exception Stores'!$B$6&lt;=$AW$2,"YES","NO"))</f>
        <v>NO</v>
      </c>
      <c r="CL119" s="1" t="str">
        <f>IF(ISBLANK('Exception Stores'!$B$6),"NO",IF('Exception Stores'!$B$6&lt;=$AX$2,"YES","NO"))</f>
        <v>NO</v>
      </c>
      <c r="CM119" s="1" t="str">
        <f>IF(ISBLANK('Exception Stores'!$B$6),"NO",IF('Exception Stores'!$B$6&lt;=$AY$2,"YES","NO"))</f>
        <v>NO</v>
      </c>
      <c r="CO119" s="1" t="e">
        <f ca="1">IF(AM119&lt;'Exception Stores'!$A$6,"YES","NO")</f>
        <v>#VALUE!</v>
      </c>
      <c r="CP119" s="1">
        <f t="shared" si="131"/>
        <v>0</v>
      </c>
      <c r="CQ119" s="1">
        <f t="shared" si="132"/>
        <v>0</v>
      </c>
      <c r="CR119" s="1">
        <f t="shared" si="133"/>
        <v>0</v>
      </c>
      <c r="CS119" s="1">
        <f t="shared" si="134"/>
        <v>0</v>
      </c>
      <c r="CT119" s="1">
        <f t="shared" si="135"/>
        <v>0</v>
      </c>
      <c r="CU119" s="1">
        <f t="shared" si="136"/>
        <v>0</v>
      </c>
      <c r="CW119" s="1" t="e">
        <f t="shared" ca="1" si="141"/>
        <v>#VALUE!</v>
      </c>
      <c r="CX119" s="1" t="e">
        <f t="shared" ca="1" si="142"/>
        <v>#VALUE!</v>
      </c>
      <c r="CY119" s="1" t="e">
        <f t="shared" ca="1" si="143"/>
        <v>#VALUE!</v>
      </c>
      <c r="CZ119" s="1" t="e">
        <f t="shared" ca="1" si="144"/>
        <v>#VALUE!</v>
      </c>
      <c r="DA119" s="1" t="e">
        <f t="shared" ca="1" si="145"/>
        <v>#VALUE!</v>
      </c>
      <c r="DB119" s="26" t="e">
        <f t="shared" ca="1" si="137"/>
        <v>#VALUE!</v>
      </c>
      <c r="DC119" s="1">
        <f t="shared" si="146"/>
        <v>0</v>
      </c>
      <c r="DD119" s="1">
        <f t="shared" si="147"/>
        <v>0</v>
      </c>
      <c r="DE119" s="1">
        <f t="shared" si="148"/>
        <v>0</v>
      </c>
      <c r="DF119" s="1">
        <f t="shared" si="149"/>
        <v>0</v>
      </c>
      <c r="DG119" s="1">
        <f t="shared" si="150"/>
        <v>0</v>
      </c>
      <c r="DH119" s="26">
        <f t="shared" si="138"/>
        <v>0</v>
      </c>
      <c r="DI119" s="1" t="e">
        <f t="shared" ca="1" si="139"/>
        <v>#VALUE!</v>
      </c>
      <c r="DK119" s="11" t="str">
        <f t="shared" si="151"/>
        <v/>
      </c>
      <c r="DL119" s="11" t="e">
        <f ca="1">IF(AND(NOT(ISBLANK('Exception Stores'!$A$6)),CO119="YES"),S119-$BH$2-(DI119*$BS$2)-(CU119*$BS$2),S119-(DB119*$BS$2))</f>
        <v>#VALUE!</v>
      </c>
      <c r="DM119" s="11" t="str">
        <f>IF(ISBLANK(A119),"",IF(COUNTIF(Remaps!$A$2:$A$200,B119)&gt;0,"YES",""))</f>
        <v>YES</v>
      </c>
      <c r="DN119" s="29">
        <f>IFERROR(INDEX(Remaps!$B$2:$B$200,MATCH(B119,Remaps!$A$2:$A$200,0),1),0)</f>
        <v>0</v>
      </c>
      <c r="DO119" s="11" t="e">
        <f t="shared" ca="1" si="152"/>
        <v>#VALUE!</v>
      </c>
      <c r="DP119" s="29" t="e">
        <f t="shared" si="153"/>
        <v>#VALUE!</v>
      </c>
      <c r="DQ119" s="11" t="e">
        <f ca="1">('Apollo Dock Status'!$Z$1-DP119)/DO119</f>
        <v>#VALUE!</v>
      </c>
      <c r="DR119" s="15" t="e">
        <f t="shared" ca="1" si="140"/>
        <v>#VALUE!</v>
      </c>
    </row>
    <row r="120" spans="1:122">
      <c r="A120" s="1" t="str">
        <f>IF(ISBLANK('Apollo Dock Status'!A120),"",'Apollo Dock Status'!A120)</f>
        <v/>
      </c>
      <c r="B120" s="1" t="str">
        <f>IF(ISBLANK('Apollo Dock Status'!B120),"",'Apollo Dock Status'!B120)</f>
        <v/>
      </c>
      <c r="C120" s="1" t="str">
        <f>IF(ISBLANK('Apollo Dock Status'!C120),"",'Apollo Dock Status'!C120)</f>
        <v/>
      </c>
      <c r="D120" s="1" t="str">
        <f>IF(ISBLANK('Apollo Dock Status'!D120),"",'Apollo Dock Status'!D120)</f>
        <v/>
      </c>
      <c r="E120" s="1" t="str">
        <f>IF(ISBLANK('Apollo Dock Status'!E120),"",'Apollo Dock Status'!E120)</f>
        <v/>
      </c>
      <c r="F120" s="1" t="str">
        <f>IF(ISBLANK('Apollo Dock Status'!F120),"",'Apollo Dock Status'!F120)</f>
        <v/>
      </c>
      <c r="G120" s="1" t="str">
        <f>IF(ISBLANK('Apollo Dock Status'!G120),"",'Apollo Dock Status'!G120)</f>
        <v/>
      </c>
      <c r="H120" s="1" t="str">
        <f>IF(ISBLANK('Apollo Dock Status'!H120),"",'Apollo Dock Status'!H120)</f>
        <v/>
      </c>
      <c r="I120" s="1" t="str">
        <f>IF(ISBLANK('Apollo Dock Status'!I120),"",'Apollo Dock Status'!I120)</f>
        <v/>
      </c>
      <c r="J120" s="1" t="str">
        <f>IF(ISBLANK('Apollo Dock Status'!J120),"",'Apollo Dock Status'!J120)</f>
        <v/>
      </c>
      <c r="K120" s="1" t="str">
        <f>IF(ISBLANK('Apollo Dock Status'!K120),"",'Apollo Dock Status'!K120)</f>
        <v/>
      </c>
      <c r="L120" s="1" t="str">
        <f>IF(ISBLANK('Apollo Dock Status'!L120),"",'Apollo Dock Status'!L120)</f>
        <v/>
      </c>
      <c r="M120" s="1" t="str">
        <f>IF(ISBLANK('Apollo Dock Status'!M120),"",'Apollo Dock Status'!M120)</f>
        <v/>
      </c>
      <c r="N120" s="1" t="str">
        <f>IF(ISBLANK('Apollo Dock Status'!N120),"",'Apollo Dock Status'!N120)</f>
        <v/>
      </c>
      <c r="O120" s="1" t="str">
        <f t="shared" si="90"/>
        <v/>
      </c>
      <c r="P120" s="1" t="str">
        <f t="shared" si="91"/>
        <v/>
      </c>
      <c r="Q120" s="1" t="str">
        <f t="shared" si="92"/>
        <v/>
      </c>
      <c r="R120" s="1" t="str">
        <f t="shared" si="93"/>
        <v/>
      </c>
      <c r="S120" s="11" t="str">
        <f t="shared" si="94"/>
        <v/>
      </c>
      <c r="T120" s="1" t="str">
        <f t="shared" si="95"/>
        <v/>
      </c>
      <c r="U120" s="11" t="str">
        <f t="shared" si="96"/>
        <v/>
      </c>
      <c r="V120" s="11" t="str">
        <f t="shared" si="97"/>
        <v/>
      </c>
      <c r="X120" s="1" t="str">
        <f t="shared" si="98"/>
        <v/>
      </c>
      <c r="Y120" s="1" t="str">
        <f t="shared" si="99"/>
        <v/>
      </c>
      <c r="Z120" s="1" t="str">
        <f t="shared" si="100"/>
        <v/>
      </c>
      <c r="AB120" s="13">
        <f t="shared" ca="1" si="101"/>
        <v>46176</v>
      </c>
      <c r="AC120" s="1">
        <f t="shared" ca="1" si="102"/>
        <v>2026</v>
      </c>
      <c r="AD120" s="1" t="str">
        <f t="shared" ca="1" si="103"/>
        <v>6</v>
      </c>
      <c r="AE120" s="1">
        <f t="shared" si="104"/>
        <v>1</v>
      </c>
      <c r="AF120" s="1" t="str">
        <f t="shared" si="105"/>
        <v/>
      </c>
      <c r="AG120" s="1">
        <f t="shared" ca="1" si="106"/>
        <v>2026</v>
      </c>
      <c r="AH120" s="1">
        <f t="shared" si="107"/>
        <v>1</v>
      </c>
      <c r="AI120" s="1" t="str">
        <f t="shared" ca="1" si="108"/>
        <v>6</v>
      </c>
      <c r="AJ120" s="13" t="e">
        <f t="shared" ca="1" si="109"/>
        <v>#VALUE!</v>
      </c>
      <c r="AK120" s="1" t="e">
        <f>IF(ISBLANK(A120),"",IFERROR(MID(F120,SEARCH(", ",F120)+LEN(", "),SEARCH(" "&amp;'Exception Stores'!$A$2,F120)-SEARCH(", ",F120)-LEN(", ")),MID(F120,SEARCH(", ",F120)+LEN(", "),SEARCH(" "&amp;'Exception Stores'!$B$2,F120)-SEARCH(", ",F120)-LEN(", "))))</f>
        <v>#VALUE!</v>
      </c>
      <c r="AL120" s="1" t="e">
        <f t="shared" si="110"/>
        <v>#VALUE!</v>
      </c>
      <c r="AM120" s="15" t="e">
        <f t="shared" ca="1" si="111"/>
        <v>#VALUE!</v>
      </c>
      <c r="AN120" s="24" t="e">
        <f t="shared" ca="1" si="112"/>
        <v>#VALUE!</v>
      </c>
      <c r="AO120" s="1" t="e">
        <f t="shared" ca="1" si="113"/>
        <v>#VALUE!</v>
      </c>
      <c r="AP120" s="13" t="e">
        <f t="shared" ca="1" si="114"/>
        <v>#VALUE!</v>
      </c>
      <c r="AQ120" s="17" t="e">
        <f t="shared" ca="1" si="115"/>
        <v>#VALUE!</v>
      </c>
      <c r="AS120" s="15" t="e">
        <f t="shared" ca="1" si="116"/>
        <v>#VALUE!</v>
      </c>
      <c r="AT120" s="5">
        <f>'Exception Stores'!$D$2</f>
        <v>0.125</v>
      </c>
      <c r="AU120" s="15" t="e">
        <f t="shared" ca="1" si="117"/>
        <v>#VALUE!</v>
      </c>
      <c r="AV120" s="15" t="e">
        <f t="shared" ca="1" si="118"/>
        <v>#VALUE!</v>
      </c>
      <c r="AW120" s="15" t="e">
        <f t="shared" ca="1" si="119"/>
        <v>#VALUE!</v>
      </c>
      <c r="AX120" s="15" t="e">
        <f t="shared" ca="1" si="120"/>
        <v>#VALUE!</v>
      </c>
      <c r="AY120" s="15" t="e">
        <f t="shared" ca="1" si="121"/>
        <v>#VALUE!</v>
      </c>
      <c r="AZ120" s="1" t="e">
        <f t="shared" ca="1" si="122"/>
        <v>#VALUE!</v>
      </c>
      <c r="BA120" s="15" t="e">
        <f t="shared" ca="1" si="123"/>
        <v>#VALUE!</v>
      </c>
      <c r="BB120" s="15" t="e">
        <f t="shared" ca="1" si="124"/>
        <v>#VALUE!</v>
      </c>
      <c r="BC120" s="1" t="e">
        <f t="shared" ca="1" si="125"/>
        <v>#VALUE!</v>
      </c>
      <c r="BE120" s="15" t="str">
        <f>IF(ISBLANK('Exception Stores'!$A$6),"",'Exception Stores'!$A$6)</f>
        <v/>
      </c>
      <c r="BF120" s="15" t="str">
        <f>IF(ISBLANK('Exception Stores'!$B$6),"",'Exception Stores'!$B$6)</f>
        <v/>
      </c>
      <c r="BG120" s="1">
        <f>IF(ISBLANK('Exception Stores'!$A$6),0,IF($AN$2&gt;$BF$2,($AN$2-$BF$2)*24,0))</f>
        <v>0</v>
      </c>
      <c r="BH120" s="11">
        <f>IF(ISBLANK('Exception Stores'!$A$6),0,($BF$2-$BE$2)*24)</f>
        <v>0</v>
      </c>
      <c r="BI12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20" s="1">
        <f>IF(ISBLANK('Exception Stores'!$A$6),0,IF($AN$2&gt;$BF$2,0,IF(AND($AN$2&lt;$BF$2,$BT$2="B"),(($BF$2-$AN$2)*24)-$BS$2,($BF$2-$AN$2)*24)))</f>
        <v>0</v>
      </c>
      <c r="BL120" s="5"/>
      <c r="BM120" s="5"/>
      <c r="BN120" s="5"/>
      <c r="BO120" s="5"/>
      <c r="BP120" s="5"/>
      <c r="BV120" s="1" t="e">
        <f t="shared" ca="1" si="126"/>
        <v>#VALUE!</v>
      </c>
      <c r="BW120" s="1" t="e">
        <f t="shared" ca="1" si="127"/>
        <v>#VALUE!</v>
      </c>
      <c r="BX120" s="1" t="e">
        <f t="shared" ca="1" si="128"/>
        <v>#VALUE!</v>
      </c>
      <c r="BY120" s="1" t="e">
        <f t="shared" ca="1" si="129"/>
        <v>#VALUE!</v>
      </c>
      <c r="BZ120" s="1" t="e">
        <f t="shared" ca="1" si="130"/>
        <v>#VALUE!</v>
      </c>
      <c r="CB120" s="1" t="str">
        <f>IF(ISBLANK('Exception Stores'!$A$6),"",WEEKDAY($BF$2))</f>
        <v/>
      </c>
      <c r="CC120" s="1" t="str">
        <f>IF(ISBLANK('Exception Stores'!$A$6),"NO",IF('Exception Stores'!$A$6&lt;$AU$2,"YES","NO"))</f>
        <v>NO</v>
      </c>
      <c r="CD120" s="1" t="str">
        <f>IF(ISBLANK('Exception Stores'!$A$6),"NO",IF('Exception Stores'!$A$6&lt;$AV$2,"YES","NO"))</f>
        <v>NO</v>
      </c>
      <c r="CE120" s="1" t="str">
        <f>IF(ISBLANK('Exception Stores'!$A$6),"NO",IF('Exception Stores'!$A$6&lt;$AW$2,"YES","NO"))</f>
        <v>NO</v>
      </c>
      <c r="CF120" s="1" t="str">
        <f>IF(ISBLANK('Exception Stores'!$A$6),"NO",IF('Exception Stores'!$A$6&lt;$AX$2,"YES","NO"))</f>
        <v>NO</v>
      </c>
      <c r="CG120" s="1" t="str">
        <f>IF(ISBLANK('Exception Stores'!$A$6),"NO",IF('Exception Stores'!$A$6&lt;$AY$2,"YES","NO"))</f>
        <v>NO</v>
      </c>
      <c r="CI120" s="42" t="str">
        <f>IF(ISBLANK('Exception Stores'!$B$6),"NO",IF('Exception Stores'!$B$6&lt;=$AU$2,"YES","NO"))</f>
        <v>NO</v>
      </c>
      <c r="CJ120" s="42" t="str">
        <f>IF(ISBLANK('Exception Stores'!$B$6),"NO",IF('Exception Stores'!$B$6&lt;=$AV$2,"YES","NO"))</f>
        <v>NO</v>
      </c>
      <c r="CK120" s="1" t="str">
        <f>IF(ISBLANK('Exception Stores'!$B$6),"NO",IF('Exception Stores'!$B$6&lt;=$AW$2,"YES","NO"))</f>
        <v>NO</v>
      </c>
      <c r="CL120" s="1" t="str">
        <f>IF(ISBLANK('Exception Stores'!$B$6),"NO",IF('Exception Stores'!$B$6&lt;=$AX$2,"YES","NO"))</f>
        <v>NO</v>
      </c>
      <c r="CM120" s="1" t="str">
        <f>IF(ISBLANK('Exception Stores'!$B$6),"NO",IF('Exception Stores'!$B$6&lt;=$AY$2,"YES","NO"))</f>
        <v>NO</v>
      </c>
      <c r="CO120" s="1" t="e">
        <f ca="1">IF(AM120&lt;'Exception Stores'!$A$6,"YES","NO")</f>
        <v>#VALUE!</v>
      </c>
      <c r="CP120" s="1">
        <f t="shared" si="131"/>
        <v>0</v>
      </c>
      <c r="CQ120" s="1">
        <f t="shared" si="132"/>
        <v>0</v>
      </c>
      <c r="CR120" s="1">
        <f t="shared" si="133"/>
        <v>0</v>
      </c>
      <c r="CS120" s="1">
        <f t="shared" si="134"/>
        <v>0</v>
      </c>
      <c r="CT120" s="1">
        <f t="shared" si="135"/>
        <v>0</v>
      </c>
      <c r="CU120" s="1">
        <f t="shared" si="136"/>
        <v>0</v>
      </c>
      <c r="CW120" s="1" t="e">
        <f t="shared" ca="1" si="141"/>
        <v>#VALUE!</v>
      </c>
      <c r="CX120" s="1" t="e">
        <f t="shared" ca="1" si="142"/>
        <v>#VALUE!</v>
      </c>
      <c r="CY120" s="1" t="e">
        <f t="shared" ca="1" si="143"/>
        <v>#VALUE!</v>
      </c>
      <c r="CZ120" s="1" t="e">
        <f t="shared" ca="1" si="144"/>
        <v>#VALUE!</v>
      </c>
      <c r="DA120" s="1" t="e">
        <f t="shared" ca="1" si="145"/>
        <v>#VALUE!</v>
      </c>
      <c r="DB120" s="26" t="e">
        <f t="shared" ca="1" si="137"/>
        <v>#VALUE!</v>
      </c>
      <c r="DC120" s="1">
        <f t="shared" si="146"/>
        <v>0</v>
      </c>
      <c r="DD120" s="1">
        <f t="shared" si="147"/>
        <v>0</v>
      </c>
      <c r="DE120" s="1">
        <f t="shared" si="148"/>
        <v>0</v>
      </c>
      <c r="DF120" s="1">
        <f t="shared" si="149"/>
        <v>0</v>
      </c>
      <c r="DG120" s="1">
        <f t="shared" si="150"/>
        <v>0</v>
      </c>
      <c r="DH120" s="26">
        <f t="shared" si="138"/>
        <v>0</v>
      </c>
      <c r="DI120" s="1" t="e">
        <f t="shared" ca="1" si="139"/>
        <v>#VALUE!</v>
      </c>
      <c r="DK120" s="11" t="str">
        <f t="shared" si="151"/>
        <v/>
      </c>
      <c r="DL120" s="11" t="e">
        <f ca="1">IF(AND(NOT(ISBLANK('Exception Stores'!$A$6)),CO120="YES"),S120-$BH$2-(DI120*$BS$2)-(CU120*$BS$2),S120-(DB120*$BS$2))</f>
        <v>#VALUE!</v>
      </c>
      <c r="DM120" s="11" t="str">
        <f>IF(ISBLANK(A120),"",IF(COUNTIF(Remaps!$A$2:$A$200,B120)&gt;0,"YES",""))</f>
        <v>YES</v>
      </c>
      <c r="DN120" s="29">
        <f>IFERROR(INDEX(Remaps!$B$2:$B$200,MATCH(B120,Remaps!$A$2:$A$200,0),1),0)</f>
        <v>0</v>
      </c>
      <c r="DO120" s="11" t="e">
        <f t="shared" ca="1" si="152"/>
        <v>#VALUE!</v>
      </c>
      <c r="DP120" s="29" t="e">
        <f t="shared" si="153"/>
        <v>#VALUE!</v>
      </c>
      <c r="DQ120" s="11" t="e">
        <f ca="1">('Apollo Dock Status'!$Z$1-DP120)/DO120</f>
        <v>#VALUE!</v>
      </c>
      <c r="DR120" s="15" t="e">
        <f t="shared" ca="1" si="140"/>
        <v>#VALUE!</v>
      </c>
    </row>
    <row r="121" spans="1:122">
      <c r="A121" s="1" t="str">
        <f>IF(ISBLANK('Apollo Dock Status'!A121),"",'Apollo Dock Status'!A121)</f>
        <v/>
      </c>
      <c r="B121" s="1" t="str">
        <f>IF(ISBLANK('Apollo Dock Status'!B121),"",'Apollo Dock Status'!B121)</f>
        <v/>
      </c>
      <c r="C121" s="1" t="str">
        <f>IF(ISBLANK('Apollo Dock Status'!C121),"",'Apollo Dock Status'!C121)</f>
        <v/>
      </c>
      <c r="D121" s="1" t="str">
        <f>IF(ISBLANK('Apollo Dock Status'!D121),"",'Apollo Dock Status'!D121)</f>
        <v/>
      </c>
      <c r="E121" s="1" t="str">
        <f>IF(ISBLANK('Apollo Dock Status'!E121),"",'Apollo Dock Status'!E121)</f>
        <v/>
      </c>
      <c r="F121" s="1" t="str">
        <f>IF(ISBLANK('Apollo Dock Status'!F121),"",'Apollo Dock Status'!F121)</f>
        <v/>
      </c>
      <c r="G121" s="1" t="str">
        <f>IF(ISBLANK('Apollo Dock Status'!G121),"",'Apollo Dock Status'!G121)</f>
        <v/>
      </c>
      <c r="H121" s="1" t="str">
        <f>IF(ISBLANK('Apollo Dock Status'!H121),"",'Apollo Dock Status'!H121)</f>
        <v/>
      </c>
      <c r="I121" s="1" t="str">
        <f>IF(ISBLANK('Apollo Dock Status'!I121),"",'Apollo Dock Status'!I121)</f>
        <v/>
      </c>
      <c r="J121" s="1" t="str">
        <f>IF(ISBLANK('Apollo Dock Status'!J121),"",'Apollo Dock Status'!J121)</f>
        <v/>
      </c>
      <c r="K121" s="1" t="str">
        <f>IF(ISBLANK('Apollo Dock Status'!K121),"",'Apollo Dock Status'!K121)</f>
        <v/>
      </c>
      <c r="L121" s="1" t="str">
        <f>IF(ISBLANK('Apollo Dock Status'!L121),"",'Apollo Dock Status'!L121)</f>
        <v/>
      </c>
      <c r="M121" s="1" t="str">
        <f>IF(ISBLANK('Apollo Dock Status'!M121),"",'Apollo Dock Status'!M121)</f>
        <v/>
      </c>
      <c r="N121" s="1" t="str">
        <f>IF(ISBLANK('Apollo Dock Status'!N121),"",'Apollo Dock Status'!N121)</f>
        <v/>
      </c>
      <c r="O121" s="1" t="str">
        <f t="shared" si="90"/>
        <v/>
      </c>
      <c r="P121" s="1" t="str">
        <f t="shared" si="91"/>
        <v/>
      </c>
      <c r="Q121" s="1" t="str">
        <f t="shared" si="92"/>
        <v/>
      </c>
      <c r="R121" s="1" t="str">
        <f t="shared" si="93"/>
        <v/>
      </c>
      <c r="S121" s="11" t="str">
        <f t="shared" si="94"/>
        <v/>
      </c>
      <c r="T121" s="1" t="str">
        <f t="shared" si="95"/>
        <v/>
      </c>
      <c r="U121" s="11" t="str">
        <f t="shared" si="96"/>
        <v/>
      </c>
      <c r="V121" s="11" t="str">
        <f t="shared" si="97"/>
        <v/>
      </c>
      <c r="X121" s="1" t="str">
        <f t="shared" si="98"/>
        <v/>
      </c>
      <c r="Y121" s="1" t="str">
        <f t="shared" si="99"/>
        <v/>
      </c>
      <c r="Z121" s="1" t="str">
        <f t="shared" si="100"/>
        <v/>
      </c>
      <c r="AB121" s="13">
        <f t="shared" ca="1" si="101"/>
        <v>46176</v>
      </c>
      <c r="AC121" s="1">
        <f t="shared" ca="1" si="102"/>
        <v>2026</v>
      </c>
      <c r="AD121" s="1" t="str">
        <f t="shared" ca="1" si="103"/>
        <v>6</v>
      </c>
      <c r="AE121" s="1">
        <f t="shared" si="104"/>
        <v>1</v>
      </c>
      <c r="AF121" s="1" t="str">
        <f t="shared" si="105"/>
        <v/>
      </c>
      <c r="AG121" s="1">
        <f t="shared" ca="1" si="106"/>
        <v>2026</v>
      </c>
      <c r="AH121" s="1">
        <f t="shared" si="107"/>
        <v>1</v>
      </c>
      <c r="AI121" s="1" t="str">
        <f t="shared" ca="1" si="108"/>
        <v>6</v>
      </c>
      <c r="AJ121" s="13" t="e">
        <f t="shared" ca="1" si="109"/>
        <v>#VALUE!</v>
      </c>
      <c r="AK121" s="1" t="e">
        <f>IF(ISBLANK(A121),"",IFERROR(MID(F121,SEARCH(", ",F121)+LEN(", "),SEARCH(" "&amp;'Exception Stores'!$A$2,F121)-SEARCH(", ",F121)-LEN(", ")),MID(F121,SEARCH(", ",F121)+LEN(", "),SEARCH(" "&amp;'Exception Stores'!$B$2,F121)-SEARCH(", ",F121)-LEN(", "))))</f>
        <v>#VALUE!</v>
      </c>
      <c r="AL121" s="1" t="e">
        <f t="shared" si="110"/>
        <v>#VALUE!</v>
      </c>
      <c r="AM121" s="15" t="e">
        <f t="shared" ca="1" si="111"/>
        <v>#VALUE!</v>
      </c>
      <c r="AN121" s="24" t="e">
        <f t="shared" ca="1" si="112"/>
        <v>#VALUE!</v>
      </c>
      <c r="AO121" s="1" t="e">
        <f t="shared" ca="1" si="113"/>
        <v>#VALUE!</v>
      </c>
      <c r="AP121" s="13" t="e">
        <f t="shared" ca="1" si="114"/>
        <v>#VALUE!</v>
      </c>
      <c r="AQ121" s="17" t="e">
        <f t="shared" ca="1" si="115"/>
        <v>#VALUE!</v>
      </c>
      <c r="AS121" s="15" t="e">
        <f t="shared" ca="1" si="116"/>
        <v>#VALUE!</v>
      </c>
      <c r="AT121" s="5">
        <f>'Exception Stores'!$D$2</f>
        <v>0.125</v>
      </c>
      <c r="AU121" s="15" t="e">
        <f t="shared" ca="1" si="117"/>
        <v>#VALUE!</v>
      </c>
      <c r="AV121" s="15" t="e">
        <f t="shared" ca="1" si="118"/>
        <v>#VALUE!</v>
      </c>
      <c r="AW121" s="15" t="e">
        <f t="shared" ca="1" si="119"/>
        <v>#VALUE!</v>
      </c>
      <c r="AX121" s="15" t="e">
        <f t="shared" ca="1" si="120"/>
        <v>#VALUE!</v>
      </c>
      <c r="AY121" s="15" t="e">
        <f t="shared" ca="1" si="121"/>
        <v>#VALUE!</v>
      </c>
      <c r="AZ121" s="1" t="e">
        <f t="shared" ca="1" si="122"/>
        <v>#VALUE!</v>
      </c>
      <c r="BA121" s="15" t="e">
        <f t="shared" ca="1" si="123"/>
        <v>#VALUE!</v>
      </c>
      <c r="BB121" s="15" t="e">
        <f t="shared" ca="1" si="124"/>
        <v>#VALUE!</v>
      </c>
      <c r="BC121" s="1" t="e">
        <f t="shared" ca="1" si="125"/>
        <v>#VALUE!</v>
      </c>
      <c r="BE121" s="15" t="str">
        <f>IF(ISBLANK('Exception Stores'!$A$6),"",'Exception Stores'!$A$6)</f>
        <v/>
      </c>
      <c r="BF121" s="15" t="str">
        <f>IF(ISBLANK('Exception Stores'!$B$6),"",'Exception Stores'!$B$6)</f>
        <v/>
      </c>
      <c r="BG121" s="1">
        <f>IF(ISBLANK('Exception Stores'!$A$6),0,IF($AN$2&gt;$BF$2,($AN$2-$BF$2)*24,0))</f>
        <v>0</v>
      </c>
      <c r="BH121" s="11">
        <f>IF(ISBLANK('Exception Stores'!$A$6),0,($BF$2-$BE$2)*24)</f>
        <v>0</v>
      </c>
      <c r="BI12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21" s="1">
        <f>IF(ISBLANK('Exception Stores'!$A$6),0,IF($AN$2&gt;$BF$2,0,IF(AND($AN$2&lt;$BF$2,$BT$2="B"),(($BF$2-$AN$2)*24)-$BS$2,($BF$2-$AN$2)*24)))</f>
        <v>0</v>
      </c>
      <c r="BL121" s="5"/>
      <c r="BM121" s="5"/>
      <c r="BN121" s="5"/>
      <c r="BO121" s="5"/>
      <c r="BP121" s="5"/>
      <c r="BV121" s="1" t="e">
        <f t="shared" ca="1" si="126"/>
        <v>#VALUE!</v>
      </c>
      <c r="BW121" s="1" t="e">
        <f t="shared" ca="1" si="127"/>
        <v>#VALUE!</v>
      </c>
      <c r="BX121" s="1" t="e">
        <f t="shared" ca="1" si="128"/>
        <v>#VALUE!</v>
      </c>
      <c r="BY121" s="1" t="e">
        <f t="shared" ca="1" si="129"/>
        <v>#VALUE!</v>
      </c>
      <c r="BZ121" s="1" t="e">
        <f t="shared" ca="1" si="130"/>
        <v>#VALUE!</v>
      </c>
      <c r="CB121" s="1" t="str">
        <f>IF(ISBLANK('Exception Stores'!$A$6),"",WEEKDAY($BF$2))</f>
        <v/>
      </c>
      <c r="CC121" s="1" t="str">
        <f>IF(ISBLANK('Exception Stores'!$A$6),"NO",IF('Exception Stores'!$A$6&lt;$AU$2,"YES","NO"))</f>
        <v>NO</v>
      </c>
      <c r="CD121" s="1" t="str">
        <f>IF(ISBLANK('Exception Stores'!$A$6),"NO",IF('Exception Stores'!$A$6&lt;$AV$2,"YES","NO"))</f>
        <v>NO</v>
      </c>
      <c r="CE121" s="1" t="str">
        <f>IF(ISBLANK('Exception Stores'!$A$6),"NO",IF('Exception Stores'!$A$6&lt;$AW$2,"YES","NO"))</f>
        <v>NO</v>
      </c>
      <c r="CF121" s="1" t="str">
        <f>IF(ISBLANK('Exception Stores'!$A$6),"NO",IF('Exception Stores'!$A$6&lt;$AX$2,"YES","NO"))</f>
        <v>NO</v>
      </c>
      <c r="CG121" s="1" t="str">
        <f>IF(ISBLANK('Exception Stores'!$A$6),"NO",IF('Exception Stores'!$A$6&lt;$AY$2,"YES","NO"))</f>
        <v>NO</v>
      </c>
      <c r="CI121" s="42" t="str">
        <f>IF(ISBLANK('Exception Stores'!$B$6),"NO",IF('Exception Stores'!$B$6&lt;=$AU$2,"YES","NO"))</f>
        <v>NO</v>
      </c>
      <c r="CJ121" s="42" t="str">
        <f>IF(ISBLANK('Exception Stores'!$B$6),"NO",IF('Exception Stores'!$B$6&lt;=$AV$2,"YES","NO"))</f>
        <v>NO</v>
      </c>
      <c r="CK121" s="1" t="str">
        <f>IF(ISBLANK('Exception Stores'!$B$6),"NO",IF('Exception Stores'!$B$6&lt;=$AW$2,"YES","NO"))</f>
        <v>NO</v>
      </c>
      <c r="CL121" s="1" t="str">
        <f>IF(ISBLANK('Exception Stores'!$B$6),"NO",IF('Exception Stores'!$B$6&lt;=$AX$2,"YES","NO"))</f>
        <v>NO</v>
      </c>
      <c r="CM121" s="1" t="str">
        <f>IF(ISBLANK('Exception Stores'!$B$6),"NO",IF('Exception Stores'!$B$6&lt;=$AY$2,"YES","NO"))</f>
        <v>NO</v>
      </c>
      <c r="CO121" s="1" t="e">
        <f ca="1">IF(AM121&lt;'Exception Stores'!$A$6,"YES","NO")</f>
        <v>#VALUE!</v>
      </c>
      <c r="CP121" s="1">
        <f t="shared" si="131"/>
        <v>0</v>
      </c>
      <c r="CQ121" s="1">
        <f t="shared" si="132"/>
        <v>0</v>
      </c>
      <c r="CR121" s="1">
        <f t="shared" si="133"/>
        <v>0</v>
      </c>
      <c r="CS121" s="1">
        <f t="shared" si="134"/>
        <v>0</v>
      </c>
      <c r="CT121" s="1">
        <f t="shared" si="135"/>
        <v>0</v>
      </c>
      <c r="CU121" s="1">
        <f t="shared" si="136"/>
        <v>0</v>
      </c>
      <c r="CW121" s="1" t="e">
        <f t="shared" ca="1" si="141"/>
        <v>#VALUE!</v>
      </c>
      <c r="CX121" s="1" t="e">
        <f t="shared" ca="1" si="142"/>
        <v>#VALUE!</v>
      </c>
      <c r="CY121" s="1" t="e">
        <f t="shared" ca="1" si="143"/>
        <v>#VALUE!</v>
      </c>
      <c r="CZ121" s="1" t="e">
        <f t="shared" ca="1" si="144"/>
        <v>#VALUE!</v>
      </c>
      <c r="DA121" s="1" t="e">
        <f t="shared" ca="1" si="145"/>
        <v>#VALUE!</v>
      </c>
      <c r="DB121" s="26" t="e">
        <f t="shared" ca="1" si="137"/>
        <v>#VALUE!</v>
      </c>
      <c r="DC121" s="1">
        <f t="shared" si="146"/>
        <v>0</v>
      </c>
      <c r="DD121" s="1">
        <f t="shared" si="147"/>
        <v>0</v>
      </c>
      <c r="DE121" s="1">
        <f t="shared" si="148"/>
        <v>0</v>
      </c>
      <c r="DF121" s="1">
        <f t="shared" si="149"/>
        <v>0</v>
      </c>
      <c r="DG121" s="1">
        <f t="shared" si="150"/>
        <v>0</v>
      </c>
      <c r="DH121" s="26">
        <f t="shared" si="138"/>
        <v>0</v>
      </c>
      <c r="DI121" s="1" t="e">
        <f t="shared" ca="1" si="139"/>
        <v>#VALUE!</v>
      </c>
      <c r="DK121" s="11" t="str">
        <f t="shared" si="151"/>
        <v/>
      </c>
      <c r="DL121" s="11" t="e">
        <f ca="1">IF(AND(NOT(ISBLANK('Exception Stores'!$A$6)),CO121="YES"),S121-$BH$2-(DI121*$BS$2)-(CU121*$BS$2),S121-(DB121*$BS$2))</f>
        <v>#VALUE!</v>
      </c>
      <c r="DM121" s="11" t="str">
        <f>IF(ISBLANK(A121),"",IF(COUNTIF(Remaps!$A$2:$A$200,B121)&gt;0,"YES",""))</f>
        <v>YES</v>
      </c>
      <c r="DN121" s="29">
        <f>IFERROR(INDEX(Remaps!$B$2:$B$200,MATCH(B121,Remaps!$A$2:$A$200,0),1),0)</f>
        <v>0</v>
      </c>
      <c r="DO121" s="11" t="e">
        <f t="shared" ca="1" si="152"/>
        <v>#VALUE!</v>
      </c>
      <c r="DP121" s="29" t="e">
        <f t="shared" si="153"/>
        <v>#VALUE!</v>
      </c>
      <c r="DQ121" s="11" t="e">
        <f ca="1">('Apollo Dock Status'!$Z$1-DP121)/DO121</f>
        <v>#VALUE!</v>
      </c>
      <c r="DR121" s="15" t="e">
        <f t="shared" ca="1" si="140"/>
        <v>#VALUE!</v>
      </c>
    </row>
    <row r="122" spans="1:122">
      <c r="A122" s="1" t="str">
        <f>IF(ISBLANK('Apollo Dock Status'!A122),"",'Apollo Dock Status'!A122)</f>
        <v/>
      </c>
      <c r="B122" s="1" t="str">
        <f>IF(ISBLANK('Apollo Dock Status'!B122),"",'Apollo Dock Status'!B122)</f>
        <v/>
      </c>
      <c r="C122" s="1" t="str">
        <f>IF(ISBLANK('Apollo Dock Status'!C122),"",'Apollo Dock Status'!C122)</f>
        <v/>
      </c>
      <c r="D122" s="1" t="str">
        <f>IF(ISBLANK('Apollo Dock Status'!D122),"",'Apollo Dock Status'!D122)</f>
        <v/>
      </c>
      <c r="E122" s="1" t="str">
        <f>IF(ISBLANK('Apollo Dock Status'!E122),"",'Apollo Dock Status'!E122)</f>
        <v/>
      </c>
      <c r="F122" s="1" t="str">
        <f>IF(ISBLANK('Apollo Dock Status'!F122),"",'Apollo Dock Status'!F122)</f>
        <v/>
      </c>
      <c r="G122" s="1" t="str">
        <f>IF(ISBLANK('Apollo Dock Status'!G122),"",'Apollo Dock Status'!G122)</f>
        <v/>
      </c>
      <c r="H122" s="1" t="str">
        <f>IF(ISBLANK('Apollo Dock Status'!H122),"",'Apollo Dock Status'!H122)</f>
        <v/>
      </c>
      <c r="I122" s="1" t="str">
        <f>IF(ISBLANK('Apollo Dock Status'!I122),"",'Apollo Dock Status'!I122)</f>
        <v/>
      </c>
      <c r="J122" s="1" t="str">
        <f>IF(ISBLANK('Apollo Dock Status'!J122),"",'Apollo Dock Status'!J122)</f>
        <v/>
      </c>
      <c r="K122" s="1" t="str">
        <f>IF(ISBLANK('Apollo Dock Status'!K122),"",'Apollo Dock Status'!K122)</f>
        <v/>
      </c>
      <c r="L122" s="1" t="str">
        <f>IF(ISBLANK('Apollo Dock Status'!L122),"",'Apollo Dock Status'!L122)</f>
        <v/>
      </c>
      <c r="M122" s="1" t="str">
        <f>IF(ISBLANK('Apollo Dock Status'!M122),"",'Apollo Dock Status'!M122)</f>
        <v/>
      </c>
      <c r="N122" s="1" t="str">
        <f>IF(ISBLANK('Apollo Dock Status'!N122),"",'Apollo Dock Status'!N122)</f>
        <v/>
      </c>
      <c r="O122" s="1" t="str">
        <f t="shared" si="90"/>
        <v/>
      </c>
      <c r="P122" s="1" t="str">
        <f t="shared" si="91"/>
        <v/>
      </c>
      <c r="Q122" s="1" t="str">
        <f t="shared" si="92"/>
        <v/>
      </c>
      <c r="R122" s="1" t="str">
        <f t="shared" si="93"/>
        <v/>
      </c>
      <c r="S122" s="11" t="str">
        <f t="shared" si="94"/>
        <v/>
      </c>
      <c r="T122" s="1" t="str">
        <f t="shared" si="95"/>
        <v/>
      </c>
      <c r="U122" s="11" t="str">
        <f t="shared" si="96"/>
        <v/>
      </c>
      <c r="V122" s="11" t="str">
        <f t="shared" si="97"/>
        <v/>
      </c>
      <c r="X122" s="1" t="str">
        <f t="shared" si="98"/>
        <v/>
      </c>
      <c r="Y122" s="1" t="str">
        <f t="shared" si="99"/>
        <v/>
      </c>
      <c r="Z122" s="1" t="str">
        <f t="shared" si="100"/>
        <v/>
      </c>
      <c r="AB122" s="13">
        <f t="shared" ca="1" si="101"/>
        <v>46176</v>
      </c>
      <c r="AC122" s="1">
        <f t="shared" ca="1" si="102"/>
        <v>2026</v>
      </c>
      <c r="AD122" s="1" t="str">
        <f t="shared" ca="1" si="103"/>
        <v>6</v>
      </c>
      <c r="AE122" s="1">
        <f t="shared" si="104"/>
        <v>1</v>
      </c>
      <c r="AF122" s="1" t="str">
        <f t="shared" si="105"/>
        <v/>
      </c>
      <c r="AG122" s="1">
        <f t="shared" ca="1" si="106"/>
        <v>2026</v>
      </c>
      <c r="AH122" s="1">
        <f t="shared" si="107"/>
        <v>1</v>
      </c>
      <c r="AI122" s="1" t="str">
        <f t="shared" ca="1" si="108"/>
        <v>6</v>
      </c>
      <c r="AJ122" s="13" t="e">
        <f t="shared" ca="1" si="109"/>
        <v>#VALUE!</v>
      </c>
      <c r="AK122" s="1" t="e">
        <f>IF(ISBLANK(A122),"",IFERROR(MID(F122,SEARCH(", ",F122)+LEN(", "),SEARCH(" "&amp;'Exception Stores'!$A$2,F122)-SEARCH(", ",F122)-LEN(", ")),MID(F122,SEARCH(", ",F122)+LEN(", "),SEARCH(" "&amp;'Exception Stores'!$B$2,F122)-SEARCH(", ",F122)-LEN(", "))))</f>
        <v>#VALUE!</v>
      </c>
      <c r="AL122" s="1" t="e">
        <f t="shared" si="110"/>
        <v>#VALUE!</v>
      </c>
      <c r="AM122" s="15" t="e">
        <f t="shared" ca="1" si="111"/>
        <v>#VALUE!</v>
      </c>
      <c r="AN122" s="24" t="e">
        <f t="shared" ca="1" si="112"/>
        <v>#VALUE!</v>
      </c>
      <c r="AO122" s="1" t="e">
        <f t="shared" ca="1" si="113"/>
        <v>#VALUE!</v>
      </c>
      <c r="AP122" s="13" t="e">
        <f t="shared" ca="1" si="114"/>
        <v>#VALUE!</v>
      </c>
      <c r="AQ122" s="17" t="e">
        <f t="shared" ca="1" si="115"/>
        <v>#VALUE!</v>
      </c>
      <c r="AS122" s="15" t="e">
        <f t="shared" ca="1" si="116"/>
        <v>#VALUE!</v>
      </c>
      <c r="AT122" s="5">
        <f>'Exception Stores'!$D$2</f>
        <v>0.125</v>
      </c>
      <c r="AU122" s="15" t="e">
        <f t="shared" ca="1" si="117"/>
        <v>#VALUE!</v>
      </c>
      <c r="AV122" s="15" t="e">
        <f t="shared" ca="1" si="118"/>
        <v>#VALUE!</v>
      </c>
      <c r="AW122" s="15" t="e">
        <f t="shared" ca="1" si="119"/>
        <v>#VALUE!</v>
      </c>
      <c r="AX122" s="15" t="e">
        <f t="shared" ca="1" si="120"/>
        <v>#VALUE!</v>
      </c>
      <c r="AY122" s="15" t="e">
        <f t="shared" ca="1" si="121"/>
        <v>#VALUE!</v>
      </c>
      <c r="AZ122" s="1" t="e">
        <f t="shared" ca="1" si="122"/>
        <v>#VALUE!</v>
      </c>
      <c r="BA122" s="15" t="e">
        <f t="shared" ca="1" si="123"/>
        <v>#VALUE!</v>
      </c>
      <c r="BB122" s="15" t="e">
        <f t="shared" ca="1" si="124"/>
        <v>#VALUE!</v>
      </c>
      <c r="BC122" s="1" t="e">
        <f t="shared" ca="1" si="125"/>
        <v>#VALUE!</v>
      </c>
      <c r="BE122" s="15" t="str">
        <f>IF(ISBLANK('Exception Stores'!$A$6),"",'Exception Stores'!$A$6)</f>
        <v/>
      </c>
      <c r="BF122" s="15" t="str">
        <f>IF(ISBLANK('Exception Stores'!$B$6),"",'Exception Stores'!$B$6)</f>
        <v/>
      </c>
      <c r="BG122" s="1">
        <f>IF(ISBLANK('Exception Stores'!$A$6),0,IF($AN$2&gt;$BF$2,($AN$2-$BF$2)*24,0))</f>
        <v>0</v>
      </c>
      <c r="BH122" s="11">
        <f>IF(ISBLANK('Exception Stores'!$A$6),0,($BF$2-$BE$2)*24)</f>
        <v>0</v>
      </c>
      <c r="BI12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22" s="1">
        <f>IF(ISBLANK('Exception Stores'!$A$6),0,IF($AN$2&gt;$BF$2,0,IF(AND($AN$2&lt;$BF$2,$BT$2="B"),(($BF$2-$AN$2)*24)-$BS$2,($BF$2-$AN$2)*24)))</f>
        <v>0</v>
      </c>
      <c r="BL122" s="5"/>
      <c r="BM122" s="5"/>
      <c r="BN122" s="5"/>
      <c r="BO122" s="5"/>
      <c r="BP122" s="5"/>
      <c r="BV122" s="1" t="e">
        <f t="shared" ca="1" si="126"/>
        <v>#VALUE!</v>
      </c>
      <c r="BW122" s="1" t="e">
        <f t="shared" ca="1" si="127"/>
        <v>#VALUE!</v>
      </c>
      <c r="BX122" s="1" t="e">
        <f t="shared" ca="1" si="128"/>
        <v>#VALUE!</v>
      </c>
      <c r="BY122" s="1" t="e">
        <f t="shared" ca="1" si="129"/>
        <v>#VALUE!</v>
      </c>
      <c r="BZ122" s="1" t="e">
        <f t="shared" ca="1" si="130"/>
        <v>#VALUE!</v>
      </c>
      <c r="CB122" s="1" t="str">
        <f>IF(ISBLANK('Exception Stores'!$A$6),"",WEEKDAY($BF$2))</f>
        <v/>
      </c>
      <c r="CC122" s="1" t="str">
        <f>IF(ISBLANK('Exception Stores'!$A$6),"NO",IF('Exception Stores'!$A$6&lt;$AU$2,"YES","NO"))</f>
        <v>NO</v>
      </c>
      <c r="CD122" s="1" t="str">
        <f>IF(ISBLANK('Exception Stores'!$A$6),"NO",IF('Exception Stores'!$A$6&lt;$AV$2,"YES","NO"))</f>
        <v>NO</v>
      </c>
      <c r="CE122" s="1" t="str">
        <f>IF(ISBLANK('Exception Stores'!$A$6),"NO",IF('Exception Stores'!$A$6&lt;$AW$2,"YES","NO"))</f>
        <v>NO</v>
      </c>
      <c r="CF122" s="1" t="str">
        <f>IF(ISBLANK('Exception Stores'!$A$6),"NO",IF('Exception Stores'!$A$6&lt;$AX$2,"YES","NO"))</f>
        <v>NO</v>
      </c>
      <c r="CG122" s="1" t="str">
        <f>IF(ISBLANK('Exception Stores'!$A$6),"NO",IF('Exception Stores'!$A$6&lt;$AY$2,"YES","NO"))</f>
        <v>NO</v>
      </c>
      <c r="CI122" s="42" t="str">
        <f>IF(ISBLANK('Exception Stores'!$B$6),"NO",IF('Exception Stores'!$B$6&lt;=$AU$2,"YES","NO"))</f>
        <v>NO</v>
      </c>
      <c r="CJ122" s="42" t="str">
        <f>IF(ISBLANK('Exception Stores'!$B$6),"NO",IF('Exception Stores'!$B$6&lt;=$AV$2,"YES","NO"))</f>
        <v>NO</v>
      </c>
      <c r="CK122" s="1" t="str">
        <f>IF(ISBLANK('Exception Stores'!$B$6),"NO",IF('Exception Stores'!$B$6&lt;=$AW$2,"YES","NO"))</f>
        <v>NO</v>
      </c>
      <c r="CL122" s="1" t="str">
        <f>IF(ISBLANK('Exception Stores'!$B$6),"NO",IF('Exception Stores'!$B$6&lt;=$AX$2,"YES","NO"))</f>
        <v>NO</v>
      </c>
      <c r="CM122" s="1" t="str">
        <f>IF(ISBLANK('Exception Stores'!$B$6),"NO",IF('Exception Stores'!$B$6&lt;=$AY$2,"YES","NO"))</f>
        <v>NO</v>
      </c>
      <c r="CO122" s="1" t="e">
        <f ca="1">IF(AM122&lt;'Exception Stores'!$A$6,"YES","NO")</f>
        <v>#VALUE!</v>
      </c>
      <c r="CP122" s="1">
        <f t="shared" si="131"/>
        <v>0</v>
      </c>
      <c r="CQ122" s="1">
        <f t="shared" si="132"/>
        <v>0</v>
      </c>
      <c r="CR122" s="1">
        <f t="shared" si="133"/>
        <v>0</v>
      </c>
      <c r="CS122" s="1">
        <f t="shared" si="134"/>
        <v>0</v>
      </c>
      <c r="CT122" s="1">
        <f t="shared" si="135"/>
        <v>0</v>
      </c>
      <c r="CU122" s="1">
        <f t="shared" si="136"/>
        <v>0</v>
      </c>
      <c r="CW122" s="1" t="e">
        <f t="shared" ca="1" si="141"/>
        <v>#VALUE!</v>
      </c>
      <c r="CX122" s="1" t="e">
        <f t="shared" ca="1" si="142"/>
        <v>#VALUE!</v>
      </c>
      <c r="CY122" s="1" t="e">
        <f t="shared" ca="1" si="143"/>
        <v>#VALUE!</v>
      </c>
      <c r="CZ122" s="1" t="e">
        <f t="shared" ca="1" si="144"/>
        <v>#VALUE!</v>
      </c>
      <c r="DA122" s="1" t="e">
        <f t="shared" ca="1" si="145"/>
        <v>#VALUE!</v>
      </c>
      <c r="DB122" s="26" t="e">
        <f t="shared" ca="1" si="137"/>
        <v>#VALUE!</v>
      </c>
      <c r="DC122" s="1">
        <f t="shared" si="146"/>
        <v>0</v>
      </c>
      <c r="DD122" s="1">
        <f t="shared" si="147"/>
        <v>0</v>
      </c>
      <c r="DE122" s="1">
        <f t="shared" si="148"/>
        <v>0</v>
      </c>
      <c r="DF122" s="1">
        <f t="shared" si="149"/>
        <v>0</v>
      </c>
      <c r="DG122" s="1">
        <f t="shared" si="150"/>
        <v>0</v>
      </c>
      <c r="DH122" s="26">
        <f t="shared" si="138"/>
        <v>0</v>
      </c>
      <c r="DI122" s="1" t="e">
        <f t="shared" ca="1" si="139"/>
        <v>#VALUE!</v>
      </c>
      <c r="DK122" s="11" t="str">
        <f t="shared" si="151"/>
        <v/>
      </c>
      <c r="DL122" s="11" t="e">
        <f ca="1">IF(AND(NOT(ISBLANK('Exception Stores'!$A$6)),CO122="YES"),S122-$BH$2-(DI122*$BS$2)-(CU122*$BS$2),S122-(DB122*$BS$2))</f>
        <v>#VALUE!</v>
      </c>
      <c r="DM122" s="11" t="str">
        <f>IF(ISBLANK(A122),"",IF(COUNTIF(Remaps!$A$2:$A$200,B122)&gt;0,"YES",""))</f>
        <v>YES</v>
      </c>
      <c r="DN122" s="29">
        <f>IFERROR(INDEX(Remaps!$B$2:$B$200,MATCH(B122,Remaps!$A$2:$A$200,0),1),0)</f>
        <v>0</v>
      </c>
      <c r="DO122" s="11" t="e">
        <f t="shared" ca="1" si="152"/>
        <v>#VALUE!</v>
      </c>
      <c r="DP122" s="29" t="e">
        <f t="shared" si="153"/>
        <v>#VALUE!</v>
      </c>
      <c r="DQ122" s="11" t="e">
        <f ca="1">('Apollo Dock Status'!$Z$1-DP122)/DO122</f>
        <v>#VALUE!</v>
      </c>
      <c r="DR122" s="15" t="e">
        <f t="shared" ca="1" si="140"/>
        <v>#VALUE!</v>
      </c>
    </row>
    <row r="123" spans="1:122">
      <c r="A123" s="1" t="str">
        <f>IF(ISBLANK('Apollo Dock Status'!A123),"",'Apollo Dock Status'!A123)</f>
        <v/>
      </c>
      <c r="B123" s="1" t="str">
        <f>IF(ISBLANK('Apollo Dock Status'!B123),"",'Apollo Dock Status'!B123)</f>
        <v/>
      </c>
      <c r="C123" s="1" t="str">
        <f>IF(ISBLANK('Apollo Dock Status'!C123),"",'Apollo Dock Status'!C123)</f>
        <v/>
      </c>
      <c r="D123" s="1" t="str">
        <f>IF(ISBLANK('Apollo Dock Status'!D123),"",'Apollo Dock Status'!D123)</f>
        <v/>
      </c>
      <c r="E123" s="1" t="str">
        <f>IF(ISBLANK('Apollo Dock Status'!E123),"",'Apollo Dock Status'!E123)</f>
        <v/>
      </c>
      <c r="F123" s="1" t="str">
        <f>IF(ISBLANK('Apollo Dock Status'!F123),"",'Apollo Dock Status'!F123)</f>
        <v/>
      </c>
      <c r="G123" s="1" t="str">
        <f>IF(ISBLANK('Apollo Dock Status'!G123),"",'Apollo Dock Status'!G123)</f>
        <v/>
      </c>
      <c r="H123" s="1" t="str">
        <f>IF(ISBLANK('Apollo Dock Status'!H123),"",'Apollo Dock Status'!H123)</f>
        <v/>
      </c>
      <c r="I123" s="1" t="str">
        <f>IF(ISBLANK('Apollo Dock Status'!I123),"",'Apollo Dock Status'!I123)</f>
        <v/>
      </c>
      <c r="J123" s="1" t="str">
        <f>IF(ISBLANK('Apollo Dock Status'!J123),"",'Apollo Dock Status'!J123)</f>
        <v/>
      </c>
      <c r="K123" s="1" t="str">
        <f>IF(ISBLANK('Apollo Dock Status'!K123),"",'Apollo Dock Status'!K123)</f>
        <v/>
      </c>
      <c r="L123" s="1" t="str">
        <f>IF(ISBLANK('Apollo Dock Status'!L123),"",'Apollo Dock Status'!L123)</f>
        <v/>
      </c>
      <c r="M123" s="1" t="str">
        <f>IF(ISBLANK('Apollo Dock Status'!M123),"",'Apollo Dock Status'!M123)</f>
        <v/>
      </c>
      <c r="N123" s="1" t="str">
        <f>IF(ISBLANK('Apollo Dock Status'!N123),"",'Apollo Dock Status'!N123)</f>
        <v/>
      </c>
      <c r="O123" s="1" t="str">
        <f t="shared" si="90"/>
        <v/>
      </c>
      <c r="P123" s="1" t="str">
        <f t="shared" si="91"/>
        <v/>
      </c>
      <c r="Q123" s="1" t="str">
        <f t="shared" si="92"/>
        <v/>
      </c>
      <c r="R123" s="1" t="str">
        <f t="shared" si="93"/>
        <v/>
      </c>
      <c r="S123" s="11" t="str">
        <f t="shared" si="94"/>
        <v/>
      </c>
      <c r="T123" s="1" t="str">
        <f t="shared" si="95"/>
        <v/>
      </c>
      <c r="U123" s="11" t="str">
        <f t="shared" si="96"/>
        <v/>
      </c>
      <c r="V123" s="11" t="str">
        <f t="shared" si="97"/>
        <v/>
      </c>
      <c r="X123" s="1" t="str">
        <f t="shared" si="98"/>
        <v/>
      </c>
      <c r="Y123" s="1" t="str">
        <f t="shared" si="99"/>
        <v/>
      </c>
      <c r="Z123" s="1" t="str">
        <f t="shared" si="100"/>
        <v/>
      </c>
      <c r="AB123" s="13">
        <f t="shared" ca="1" si="101"/>
        <v>46176</v>
      </c>
      <c r="AC123" s="1">
        <f t="shared" ca="1" si="102"/>
        <v>2026</v>
      </c>
      <c r="AD123" s="1" t="str">
        <f t="shared" ca="1" si="103"/>
        <v>6</v>
      </c>
      <c r="AE123" s="1">
        <f t="shared" si="104"/>
        <v>1</v>
      </c>
      <c r="AF123" s="1" t="str">
        <f t="shared" si="105"/>
        <v/>
      </c>
      <c r="AG123" s="1">
        <f t="shared" ca="1" si="106"/>
        <v>2026</v>
      </c>
      <c r="AH123" s="1">
        <f t="shared" si="107"/>
        <v>1</v>
      </c>
      <c r="AI123" s="1" t="str">
        <f t="shared" ca="1" si="108"/>
        <v>6</v>
      </c>
      <c r="AJ123" s="13" t="e">
        <f t="shared" ca="1" si="109"/>
        <v>#VALUE!</v>
      </c>
      <c r="AK123" s="1" t="e">
        <f>IF(ISBLANK(A123),"",IFERROR(MID(F123,SEARCH(", ",F123)+LEN(", "),SEARCH(" "&amp;'Exception Stores'!$A$2,F123)-SEARCH(", ",F123)-LEN(", ")),MID(F123,SEARCH(", ",F123)+LEN(", "),SEARCH(" "&amp;'Exception Stores'!$B$2,F123)-SEARCH(", ",F123)-LEN(", "))))</f>
        <v>#VALUE!</v>
      </c>
      <c r="AL123" s="1" t="e">
        <f t="shared" si="110"/>
        <v>#VALUE!</v>
      </c>
      <c r="AM123" s="15" t="e">
        <f t="shared" ca="1" si="111"/>
        <v>#VALUE!</v>
      </c>
      <c r="AN123" s="24" t="e">
        <f t="shared" ca="1" si="112"/>
        <v>#VALUE!</v>
      </c>
      <c r="AO123" s="1" t="e">
        <f t="shared" ca="1" si="113"/>
        <v>#VALUE!</v>
      </c>
      <c r="AP123" s="13" t="e">
        <f t="shared" ca="1" si="114"/>
        <v>#VALUE!</v>
      </c>
      <c r="AQ123" s="17" t="e">
        <f t="shared" ca="1" si="115"/>
        <v>#VALUE!</v>
      </c>
      <c r="AS123" s="15" t="e">
        <f t="shared" ca="1" si="116"/>
        <v>#VALUE!</v>
      </c>
      <c r="AT123" s="5">
        <f>'Exception Stores'!$D$2</f>
        <v>0.125</v>
      </c>
      <c r="AU123" s="15" t="e">
        <f t="shared" ca="1" si="117"/>
        <v>#VALUE!</v>
      </c>
      <c r="AV123" s="15" t="e">
        <f t="shared" ca="1" si="118"/>
        <v>#VALUE!</v>
      </c>
      <c r="AW123" s="15" t="e">
        <f t="shared" ca="1" si="119"/>
        <v>#VALUE!</v>
      </c>
      <c r="AX123" s="15" t="e">
        <f t="shared" ca="1" si="120"/>
        <v>#VALUE!</v>
      </c>
      <c r="AY123" s="15" t="e">
        <f t="shared" ca="1" si="121"/>
        <v>#VALUE!</v>
      </c>
      <c r="AZ123" s="1" t="e">
        <f t="shared" ca="1" si="122"/>
        <v>#VALUE!</v>
      </c>
      <c r="BA123" s="15" t="e">
        <f t="shared" ca="1" si="123"/>
        <v>#VALUE!</v>
      </c>
      <c r="BB123" s="15" t="e">
        <f t="shared" ca="1" si="124"/>
        <v>#VALUE!</v>
      </c>
      <c r="BC123" s="1" t="e">
        <f t="shared" ca="1" si="125"/>
        <v>#VALUE!</v>
      </c>
      <c r="BE123" s="15" t="str">
        <f>IF(ISBLANK('Exception Stores'!$A$6),"",'Exception Stores'!$A$6)</f>
        <v/>
      </c>
      <c r="BF123" s="15" t="str">
        <f>IF(ISBLANK('Exception Stores'!$B$6),"",'Exception Stores'!$B$6)</f>
        <v/>
      </c>
      <c r="BG123" s="1">
        <f>IF(ISBLANK('Exception Stores'!$A$6),0,IF($AN$2&gt;$BF$2,($AN$2-$BF$2)*24,0))</f>
        <v>0</v>
      </c>
      <c r="BH123" s="11">
        <f>IF(ISBLANK('Exception Stores'!$A$6),0,($BF$2-$BE$2)*24)</f>
        <v>0</v>
      </c>
      <c r="BI12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23" s="1">
        <f>IF(ISBLANK('Exception Stores'!$A$6),0,IF($AN$2&gt;$BF$2,0,IF(AND($AN$2&lt;$BF$2,$BT$2="B"),(($BF$2-$AN$2)*24)-$BS$2,($BF$2-$AN$2)*24)))</f>
        <v>0</v>
      </c>
      <c r="BL123" s="5"/>
      <c r="BM123" s="5"/>
      <c r="BN123" s="5"/>
      <c r="BO123" s="5"/>
      <c r="BP123" s="5"/>
      <c r="BV123" s="1" t="e">
        <f t="shared" ca="1" si="126"/>
        <v>#VALUE!</v>
      </c>
      <c r="BW123" s="1" t="e">
        <f t="shared" ca="1" si="127"/>
        <v>#VALUE!</v>
      </c>
      <c r="BX123" s="1" t="e">
        <f t="shared" ca="1" si="128"/>
        <v>#VALUE!</v>
      </c>
      <c r="BY123" s="1" t="e">
        <f t="shared" ca="1" si="129"/>
        <v>#VALUE!</v>
      </c>
      <c r="BZ123" s="1" t="e">
        <f t="shared" ca="1" si="130"/>
        <v>#VALUE!</v>
      </c>
      <c r="CB123" s="1" t="str">
        <f>IF(ISBLANK('Exception Stores'!$A$6),"",WEEKDAY($BF$2))</f>
        <v/>
      </c>
      <c r="CC123" s="1" t="str">
        <f>IF(ISBLANK('Exception Stores'!$A$6),"NO",IF('Exception Stores'!$A$6&lt;$AU$2,"YES","NO"))</f>
        <v>NO</v>
      </c>
      <c r="CD123" s="1" t="str">
        <f>IF(ISBLANK('Exception Stores'!$A$6),"NO",IF('Exception Stores'!$A$6&lt;$AV$2,"YES","NO"))</f>
        <v>NO</v>
      </c>
      <c r="CE123" s="1" t="str">
        <f>IF(ISBLANK('Exception Stores'!$A$6),"NO",IF('Exception Stores'!$A$6&lt;$AW$2,"YES","NO"))</f>
        <v>NO</v>
      </c>
      <c r="CF123" s="1" t="str">
        <f>IF(ISBLANK('Exception Stores'!$A$6),"NO",IF('Exception Stores'!$A$6&lt;$AX$2,"YES","NO"))</f>
        <v>NO</v>
      </c>
      <c r="CG123" s="1" t="str">
        <f>IF(ISBLANK('Exception Stores'!$A$6),"NO",IF('Exception Stores'!$A$6&lt;$AY$2,"YES","NO"))</f>
        <v>NO</v>
      </c>
      <c r="CI123" s="42" t="str">
        <f>IF(ISBLANK('Exception Stores'!$B$6),"NO",IF('Exception Stores'!$B$6&lt;=$AU$2,"YES","NO"))</f>
        <v>NO</v>
      </c>
      <c r="CJ123" s="42" t="str">
        <f>IF(ISBLANK('Exception Stores'!$B$6),"NO",IF('Exception Stores'!$B$6&lt;=$AV$2,"YES","NO"))</f>
        <v>NO</v>
      </c>
      <c r="CK123" s="1" t="str">
        <f>IF(ISBLANK('Exception Stores'!$B$6),"NO",IF('Exception Stores'!$B$6&lt;=$AW$2,"YES","NO"))</f>
        <v>NO</v>
      </c>
      <c r="CL123" s="1" t="str">
        <f>IF(ISBLANK('Exception Stores'!$B$6),"NO",IF('Exception Stores'!$B$6&lt;=$AX$2,"YES","NO"))</f>
        <v>NO</v>
      </c>
      <c r="CM123" s="1" t="str">
        <f>IF(ISBLANK('Exception Stores'!$B$6),"NO",IF('Exception Stores'!$B$6&lt;=$AY$2,"YES","NO"))</f>
        <v>NO</v>
      </c>
      <c r="CO123" s="1" t="e">
        <f ca="1">IF(AM123&lt;'Exception Stores'!$A$6,"YES","NO")</f>
        <v>#VALUE!</v>
      </c>
      <c r="CP123" s="1">
        <f t="shared" si="131"/>
        <v>0</v>
      </c>
      <c r="CQ123" s="1">
        <f t="shared" si="132"/>
        <v>0</v>
      </c>
      <c r="CR123" s="1">
        <f t="shared" si="133"/>
        <v>0</v>
      </c>
      <c r="CS123" s="1">
        <f t="shared" si="134"/>
        <v>0</v>
      </c>
      <c r="CT123" s="1">
        <f t="shared" si="135"/>
        <v>0</v>
      </c>
      <c r="CU123" s="1">
        <f t="shared" si="136"/>
        <v>0</v>
      </c>
      <c r="CW123" s="1" t="e">
        <f t="shared" ca="1" si="141"/>
        <v>#VALUE!</v>
      </c>
      <c r="CX123" s="1" t="e">
        <f t="shared" ca="1" si="142"/>
        <v>#VALUE!</v>
      </c>
      <c r="CY123" s="1" t="e">
        <f t="shared" ca="1" si="143"/>
        <v>#VALUE!</v>
      </c>
      <c r="CZ123" s="1" t="e">
        <f t="shared" ca="1" si="144"/>
        <v>#VALUE!</v>
      </c>
      <c r="DA123" s="1" t="e">
        <f t="shared" ca="1" si="145"/>
        <v>#VALUE!</v>
      </c>
      <c r="DB123" s="26" t="e">
        <f t="shared" ca="1" si="137"/>
        <v>#VALUE!</v>
      </c>
      <c r="DC123" s="1">
        <f t="shared" si="146"/>
        <v>0</v>
      </c>
      <c r="DD123" s="1">
        <f t="shared" si="147"/>
        <v>0</v>
      </c>
      <c r="DE123" s="1">
        <f t="shared" si="148"/>
        <v>0</v>
      </c>
      <c r="DF123" s="1">
        <f t="shared" si="149"/>
        <v>0</v>
      </c>
      <c r="DG123" s="1">
        <f t="shared" si="150"/>
        <v>0</v>
      </c>
      <c r="DH123" s="26">
        <f t="shared" si="138"/>
        <v>0</v>
      </c>
      <c r="DI123" s="1" t="e">
        <f t="shared" ca="1" si="139"/>
        <v>#VALUE!</v>
      </c>
      <c r="DK123" s="11" t="str">
        <f t="shared" si="151"/>
        <v/>
      </c>
      <c r="DL123" s="11" t="e">
        <f ca="1">IF(AND(NOT(ISBLANK('Exception Stores'!$A$6)),CO123="YES"),S123-$BH$2-(DI123*$BS$2)-(CU123*$BS$2),S123-(DB123*$BS$2))</f>
        <v>#VALUE!</v>
      </c>
      <c r="DM123" s="11" t="str">
        <f>IF(ISBLANK(A123),"",IF(COUNTIF(Remaps!$A$2:$A$200,B123)&gt;0,"YES",""))</f>
        <v>YES</v>
      </c>
      <c r="DN123" s="29">
        <f>IFERROR(INDEX(Remaps!$B$2:$B$200,MATCH(B123,Remaps!$A$2:$A$200,0),1),0)</f>
        <v>0</v>
      </c>
      <c r="DO123" s="11" t="e">
        <f t="shared" ca="1" si="152"/>
        <v>#VALUE!</v>
      </c>
      <c r="DP123" s="29" t="e">
        <f t="shared" si="153"/>
        <v>#VALUE!</v>
      </c>
      <c r="DQ123" s="11" t="e">
        <f ca="1">('Apollo Dock Status'!$Z$1-DP123)/DO123</f>
        <v>#VALUE!</v>
      </c>
      <c r="DR123" s="15" t="e">
        <f t="shared" ca="1" si="140"/>
        <v>#VALUE!</v>
      </c>
    </row>
    <row r="124" spans="1:122">
      <c r="A124" s="1" t="str">
        <f>IF(ISBLANK('Apollo Dock Status'!A124),"",'Apollo Dock Status'!A124)</f>
        <v/>
      </c>
      <c r="B124" s="1" t="str">
        <f>IF(ISBLANK('Apollo Dock Status'!B124),"",'Apollo Dock Status'!B124)</f>
        <v/>
      </c>
      <c r="C124" s="1" t="str">
        <f>IF(ISBLANK('Apollo Dock Status'!C124),"",'Apollo Dock Status'!C124)</f>
        <v/>
      </c>
      <c r="D124" s="1" t="str">
        <f>IF(ISBLANK('Apollo Dock Status'!D124),"",'Apollo Dock Status'!D124)</f>
        <v/>
      </c>
      <c r="E124" s="1" t="str">
        <f>IF(ISBLANK('Apollo Dock Status'!E124),"",'Apollo Dock Status'!E124)</f>
        <v/>
      </c>
      <c r="F124" s="1" t="str">
        <f>IF(ISBLANK('Apollo Dock Status'!F124),"",'Apollo Dock Status'!F124)</f>
        <v/>
      </c>
      <c r="G124" s="1" t="str">
        <f>IF(ISBLANK('Apollo Dock Status'!G124),"",'Apollo Dock Status'!G124)</f>
        <v/>
      </c>
      <c r="H124" s="1" t="str">
        <f>IF(ISBLANK('Apollo Dock Status'!H124),"",'Apollo Dock Status'!H124)</f>
        <v/>
      </c>
      <c r="I124" s="1" t="str">
        <f>IF(ISBLANK('Apollo Dock Status'!I124),"",'Apollo Dock Status'!I124)</f>
        <v/>
      </c>
      <c r="J124" s="1" t="str">
        <f>IF(ISBLANK('Apollo Dock Status'!J124),"",'Apollo Dock Status'!J124)</f>
        <v/>
      </c>
      <c r="K124" s="1" t="str">
        <f>IF(ISBLANK('Apollo Dock Status'!K124),"",'Apollo Dock Status'!K124)</f>
        <v/>
      </c>
      <c r="L124" s="1" t="str">
        <f>IF(ISBLANK('Apollo Dock Status'!L124),"",'Apollo Dock Status'!L124)</f>
        <v/>
      </c>
      <c r="M124" s="1" t="str">
        <f>IF(ISBLANK('Apollo Dock Status'!M124),"",'Apollo Dock Status'!M124)</f>
        <v/>
      </c>
      <c r="N124" s="1" t="str">
        <f>IF(ISBLANK('Apollo Dock Status'!N124),"",'Apollo Dock Status'!N124)</f>
        <v/>
      </c>
      <c r="O124" s="1" t="str">
        <f t="shared" si="90"/>
        <v/>
      </c>
      <c r="P124" s="1" t="str">
        <f t="shared" si="91"/>
        <v/>
      </c>
      <c r="Q124" s="1" t="str">
        <f t="shared" si="92"/>
        <v/>
      </c>
      <c r="R124" s="1" t="str">
        <f t="shared" si="93"/>
        <v/>
      </c>
      <c r="S124" s="11" t="str">
        <f t="shared" si="94"/>
        <v/>
      </c>
      <c r="T124" s="1" t="str">
        <f t="shared" si="95"/>
        <v/>
      </c>
      <c r="U124" s="11" t="str">
        <f t="shared" si="96"/>
        <v/>
      </c>
      <c r="V124" s="11" t="str">
        <f t="shared" si="97"/>
        <v/>
      </c>
      <c r="X124" s="1" t="str">
        <f t="shared" si="98"/>
        <v/>
      </c>
      <c r="Y124" s="1" t="str">
        <f t="shared" si="99"/>
        <v/>
      </c>
      <c r="Z124" s="1" t="str">
        <f t="shared" si="100"/>
        <v/>
      </c>
      <c r="AB124" s="13">
        <f t="shared" ca="1" si="101"/>
        <v>46176</v>
      </c>
      <c r="AC124" s="1">
        <f t="shared" ca="1" si="102"/>
        <v>2026</v>
      </c>
      <c r="AD124" s="1" t="str">
        <f t="shared" ca="1" si="103"/>
        <v>6</v>
      </c>
      <c r="AE124" s="1">
        <f t="shared" si="104"/>
        <v>1</v>
      </c>
      <c r="AF124" s="1" t="str">
        <f t="shared" si="105"/>
        <v/>
      </c>
      <c r="AG124" s="1">
        <f t="shared" ca="1" si="106"/>
        <v>2026</v>
      </c>
      <c r="AH124" s="1">
        <f t="shared" si="107"/>
        <v>1</v>
      </c>
      <c r="AI124" s="1" t="str">
        <f t="shared" ca="1" si="108"/>
        <v>6</v>
      </c>
      <c r="AJ124" s="13" t="e">
        <f t="shared" ca="1" si="109"/>
        <v>#VALUE!</v>
      </c>
      <c r="AK124" s="1" t="e">
        <f>IF(ISBLANK(A124),"",IFERROR(MID(F124,SEARCH(", ",F124)+LEN(", "),SEARCH(" "&amp;'Exception Stores'!$A$2,F124)-SEARCH(", ",F124)-LEN(", ")),MID(F124,SEARCH(", ",F124)+LEN(", "),SEARCH(" "&amp;'Exception Stores'!$B$2,F124)-SEARCH(", ",F124)-LEN(", "))))</f>
        <v>#VALUE!</v>
      </c>
      <c r="AL124" s="1" t="e">
        <f t="shared" si="110"/>
        <v>#VALUE!</v>
      </c>
      <c r="AM124" s="15" t="e">
        <f t="shared" ca="1" si="111"/>
        <v>#VALUE!</v>
      </c>
      <c r="AN124" s="24" t="e">
        <f t="shared" ca="1" si="112"/>
        <v>#VALUE!</v>
      </c>
      <c r="AO124" s="1" t="e">
        <f t="shared" ca="1" si="113"/>
        <v>#VALUE!</v>
      </c>
      <c r="AP124" s="13" t="e">
        <f t="shared" ca="1" si="114"/>
        <v>#VALUE!</v>
      </c>
      <c r="AQ124" s="17" t="e">
        <f t="shared" ca="1" si="115"/>
        <v>#VALUE!</v>
      </c>
      <c r="AS124" s="15" t="e">
        <f t="shared" ca="1" si="116"/>
        <v>#VALUE!</v>
      </c>
      <c r="AT124" s="5">
        <f>'Exception Stores'!$D$2</f>
        <v>0.125</v>
      </c>
      <c r="AU124" s="15" t="e">
        <f t="shared" ca="1" si="117"/>
        <v>#VALUE!</v>
      </c>
      <c r="AV124" s="15" t="e">
        <f t="shared" ca="1" si="118"/>
        <v>#VALUE!</v>
      </c>
      <c r="AW124" s="15" t="e">
        <f t="shared" ca="1" si="119"/>
        <v>#VALUE!</v>
      </c>
      <c r="AX124" s="15" t="e">
        <f t="shared" ca="1" si="120"/>
        <v>#VALUE!</v>
      </c>
      <c r="AY124" s="15" t="e">
        <f t="shared" ca="1" si="121"/>
        <v>#VALUE!</v>
      </c>
      <c r="AZ124" s="1" t="e">
        <f t="shared" ca="1" si="122"/>
        <v>#VALUE!</v>
      </c>
      <c r="BA124" s="15" t="e">
        <f t="shared" ca="1" si="123"/>
        <v>#VALUE!</v>
      </c>
      <c r="BB124" s="15" t="e">
        <f t="shared" ca="1" si="124"/>
        <v>#VALUE!</v>
      </c>
      <c r="BC124" s="1" t="e">
        <f t="shared" ca="1" si="125"/>
        <v>#VALUE!</v>
      </c>
      <c r="BE124" s="15" t="str">
        <f>IF(ISBLANK('Exception Stores'!$A$6),"",'Exception Stores'!$A$6)</f>
        <v/>
      </c>
      <c r="BF124" s="15" t="str">
        <f>IF(ISBLANK('Exception Stores'!$B$6),"",'Exception Stores'!$B$6)</f>
        <v/>
      </c>
      <c r="BG124" s="1">
        <f>IF(ISBLANK('Exception Stores'!$A$6),0,IF($AN$2&gt;$BF$2,($AN$2-$BF$2)*24,0))</f>
        <v>0</v>
      </c>
      <c r="BH124" s="11">
        <f>IF(ISBLANK('Exception Stores'!$A$6),0,($BF$2-$BE$2)*24)</f>
        <v>0</v>
      </c>
      <c r="BI12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24" s="1">
        <f>IF(ISBLANK('Exception Stores'!$A$6),0,IF($AN$2&gt;$BF$2,0,IF(AND($AN$2&lt;$BF$2,$BT$2="B"),(($BF$2-$AN$2)*24)-$BS$2,($BF$2-$AN$2)*24)))</f>
        <v>0</v>
      </c>
      <c r="BL124" s="5"/>
      <c r="BM124" s="5"/>
      <c r="BN124" s="5"/>
      <c r="BO124" s="5"/>
      <c r="BP124" s="5"/>
      <c r="BV124" s="1" t="e">
        <f t="shared" ca="1" si="126"/>
        <v>#VALUE!</v>
      </c>
      <c r="BW124" s="1" t="e">
        <f t="shared" ca="1" si="127"/>
        <v>#VALUE!</v>
      </c>
      <c r="BX124" s="1" t="e">
        <f t="shared" ca="1" si="128"/>
        <v>#VALUE!</v>
      </c>
      <c r="BY124" s="1" t="e">
        <f t="shared" ca="1" si="129"/>
        <v>#VALUE!</v>
      </c>
      <c r="BZ124" s="1" t="e">
        <f t="shared" ca="1" si="130"/>
        <v>#VALUE!</v>
      </c>
      <c r="CB124" s="1" t="str">
        <f>IF(ISBLANK('Exception Stores'!$A$6),"",WEEKDAY($BF$2))</f>
        <v/>
      </c>
      <c r="CC124" s="1" t="str">
        <f>IF(ISBLANK('Exception Stores'!$A$6),"NO",IF('Exception Stores'!$A$6&lt;$AU$2,"YES","NO"))</f>
        <v>NO</v>
      </c>
      <c r="CD124" s="1" t="str">
        <f>IF(ISBLANK('Exception Stores'!$A$6),"NO",IF('Exception Stores'!$A$6&lt;$AV$2,"YES","NO"))</f>
        <v>NO</v>
      </c>
      <c r="CE124" s="1" t="str">
        <f>IF(ISBLANK('Exception Stores'!$A$6),"NO",IF('Exception Stores'!$A$6&lt;$AW$2,"YES","NO"))</f>
        <v>NO</v>
      </c>
      <c r="CF124" s="1" t="str">
        <f>IF(ISBLANK('Exception Stores'!$A$6),"NO",IF('Exception Stores'!$A$6&lt;$AX$2,"YES","NO"))</f>
        <v>NO</v>
      </c>
      <c r="CG124" s="1" t="str">
        <f>IF(ISBLANK('Exception Stores'!$A$6),"NO",IF('Exception Stores'!$A$6&lt;$AY$2,"YES","NO"))</f>
        <v>NO</v>
      </c>
      <c r="CI124" s="42" t="str">
        <f>IF(ISBLANK('Exception Stores'!$B$6),"NO",IF('Exception Stores'!$B$6&lt;=$AU$2,"YES","NO"))</f>
        <v>NO</v>
      </c>
      <c r="CJ124" s="42" t="str">
        <f>IF(ISBLANK('Exception Stores'!$B$6),"NO",IF('Exception Stores'!$B$6&lt;=$AV$2,"YES","NO"))</f>
        <v>NO</v>
      </c>
      <c r="CK124" s="1" t="str">
        <f>IF(ISBLANK('Exception Stores'!$B$6),"NO",IF('Exception Stores'!$B$6&lt;=$AW$2,"YES","NO"))</f>
        <v>NO</v>
      </c>
      <c r="CL124" s="1" t="str">
        <f>IF(ISBLANK('Exception Stores'!$B$6),"NO",IF('Exception Stores'!$B$6&lt;=$AX$2,"YES","NO"))</f>
        <v>NO</v>
      </c>
      <c r="CM124" s="1" t="str">
        <f>IF(ISBLANK('Exception Stores'!$B$6),"NO",IF('Exception Stores'!$B$6&lt;=$AY$2,"YES","NO"))</f>
        <v>NO</v>
      </c>
      <c r="CO124" s="1" t="e">
        <f ca="1">IF(AM124&lt;'Exception Stores'!$A$6,"YES","NO")</f>
        <v>#VALUE!</v>
      </c>
      <c r="CP124" s="1">
        <f t="shared" si="131"/>
        <v>0</v>
      </c>
      <c r="CQ124" s="1">
        <f t="shared" si="132"/>
        <v>0</v>
      </c>
      <c r="CR124" s="1">
        <f t="shared" si="133"/>
        <v>0</v>
      </c>
      <c r="CS124" s="1">
        <f t="shared" si="134"/>
        <v>0</v>
      </c>
      <c r="CT124" s="1">
        <f t="shared" si="135"/>
        <v>0</v>
      </c>
      <c r="CU124" s="1">
        <f t="shared" si="136"/>
        <v>0</v>
      </c>
      <c r="CW124" s="1" t="e">
        <f t="shared" ca="1" si="141"/>
        <v>#VALUE!</v>
      </c>
      <c r="CX124" s="1" t="e">
        <f t="shared" ca="1" si="142"/>
        <v>#VALUE!</v>
      </c>
      <c r="CY124" s="1" t="e">
        <f t="shared" ca="1" si="143"/>
        <v>#VALUE!</v>
      </c>
      <c r="CZ124" s="1" t="e">
        <f t="shared" ca="1" si="144"/>
        <v>#VALUE!</v>
      </c>
      <c r="DA124" s="1" t="e">
        <f t="shared" ca="1" si="145"/>
        <v>#VALUE!</v>
      </c>
      <c r="DB124" s="26" t="e">
        <f t="shared" ca="1" si="137"/>
        <v>#VALUE!</v>
      </c>
      <c r="DC124" s="1">
        <f t="shared" si="146"/>
        <v>0</v>
      </c>
      <c r="DD124" s="1">
        <f t="shared" si="147"/>
        <v>0</v>
      </c>
      <c r="DE124" s="1">
        <f t="shared" si="148"/>
        <v>0</v>
      </c>
      <c r="DF124" s="1">
        <f t="shared" si="149"/>
        <v>0</v>
      </c>
      <c r="DG124" s="1">
        <f t="shared" si="150"/>
        <v>0</v>
      </c>
      <c r="DH124" s="26">
        <f t="shared" si="138"/>
        <v>0</v>
      </c>
      <c r="DI124" s="1" t="e">
        <f t="shared" ca="1" si="139"/>
        <v>#VALUE!</v>
      </c>
      <c r="DK124" s="11" t="str">
        <f t="shared" si="151"/>
        <v/>
      </c>
      <c r="DL124" s="11" t="e">
        <f ca="1">IF(AND(NOT(ISBLANK('Exception Stores'!$A$6)),CO124="YES"),S124-$BH$2-(DI124*$BS$2)-(CU124*$BS$2),S124-(DB124*$BS$2))</f>
        <v>#VALUE!</v>
      </c>
      <c r="DM124" s="11" t="str">
        <f>IF(ISBLANK(A124),"",IF(COUNTIF(Remaps!$A$2:$A$200,B124)&gt;0,"YES",""))</f>
        <v>YES</v>
      </c>
      <c r="DN124" s="29">
        <f>IFERROR(INDEX(Remaps!$B$2:$B$200,MATCH(B124,Remaps!$A$2:$A$200,0),1),0)</f>
        <v>0</v>
      </c>
      <c r="DO124" s="11" t="e">
        <f t="shared" ca="1" si="152"/>
        <v>#VALUE!</v>
      </c>
      <c r="DP124" s="29" t="e">
        <f t="shared" si="153"/>
        <v>#VALUE!</v>
      </c>
      <c r="DQ124" s="11" t="e">
        <f ca="1">('Apollo Dock Status'!$Z$1-DP124)/DO124</f>
        <v>#VALUE!</v>
      </c>
      <c r="DR124" s="15" t="e">
        <f t="shared" ca="1" si="140"/>
        <v>#VALUE!</v>
      </c>
    </row>
    <row r="125" spans="1:122">
      <c r="A125" s="1" t="str">
        <f>IF(ISBLANK('Apollo Dock Status'!A125),"",'Apollo Dock Status'!A125)</f>
        <v/>
      </c>
      <c r="B125" s="1" t="str">
        <f>IF(ISBLANK('Apollo Dock Status'!B125),"",'Apollo Dock Status'!B125)</f>
        <v/>
      </c>
      <c r="C125" s="1" t="str">
        <f>IF(ISBLANK('Apollo Dock Status'!C125),"",'Apollo Dock Status'!C125)</f>
        <v/>
      </c>
      <c r="D125" s="1" t="str">
        <f>IF(ISBLANK('Apollo Dock Status'!D125),"",'Apollo Dock Status'!D125)</f>
        <v/>
      </c>
      <c r="E125" s="1" t="str">
        <f>IF(ISBLANK('Apollo Dock Status'!E125),"",'Apollo Dock Status'!E125)</f>
        <v/>
      </c>
      <c r="F125" s="1" t="str">
        <f>IF(ISBLANK('Apollo Dock Status'!F125),"",'Apollo Dock Status'!F125)</f>
        <v/>
      </c>
      <c r="G125" s="1" t="str">
        <f>IF(ISBLANK('Apollo Dock Status'!G125),"",'Apollo Dock Status'!G125)</f>
        <v/>
      </c>
      <c r="H125" s="1" t="str">
        <f>IF(ISBLANK('Apollo Dock Status'!H125),"",'Apollo Dock Status'!H125)</f>
        <v/>
      </c>
      <c r="I125" s="1" t="str">
        <f>IF(ISBLANK('Apollo Dock Status'!I125),"",'Apollo Dock Status'!I125)</f>
        <v/>
      </c>
      <c r="J125" s="1" t="str">
        <f>IF(ISBLANK('Apollo Dock Status'!J125),"",'Apollo Dock Status'!J125)</f>
        <v/>
      </c>
      <c r="K125" s="1" t="str">
        <f>IF(ISBLANK('Apollo Dock Status'!K125),"",'Apollo Dock Status'!K125)</f>
        <v/>
      </c>
      <c r="L125" s="1" t="str">
        <f>IF(ISBLANK('Apollo Dock Status'!L125),"",'Apollo Dock Status'!L125)</f>
        <v/>
      </c>
      <c r="M125" s="1" t="str">
        <f>IF(ISBLANK('Apollo Dock Status'!M125),"",'Apollo Dock Status'!M125)</f>
        <v/>
      </c>
      <c r="N125" s="1" t="str">
        <f>IF(ISBLANK('Apollo Dock Status'!N125),"",'Apollo Dock Status'!N125)</f>
        <v/>
      </c>
      <c r="O125" s="1" t="str">
        <f t="shared" si="90"/>
        <v/>
      </c>
      <c r="P125" s="1" t="str">
        <f t="shared" si="91"/>
        <v/>
      </c>
      <c r="Q125" s="1" t="str">
        <f t="shared" si="92"/>
        <v/>
      </c>
      <c r="R125" s="1" t="str">
        <f t="shared" si="93"/>
        <v/>
      </c>
      <c r="S125" s="11" t="str">
        <f t="shared" si="94"/>
        <v/>
      </c>
      <c r="T125" s="1" t="str">
        <f t="shared" si="95"/>
        <v/>
      </c>
      <c r="U125" s="11" t="str">
        <f t="shared" si="96"/>
        <v/>
      </c>
      <c r="V125" s="11" t="str">
        <f t="shared" si="97"/>
        <v/>
      </c>
      <c r="X125" s="1" t="str">
        <f t="shared" si="98"/>
        <v/>
      </c>
      <c r="Y125" s="1" t="str">
        <f t="shared" si="99"/>
        <v/>
      </c>
      <c r="Z125" s="1" t="str">
        <f t="shared" si="100"/>
        <v/>
      </c>
      <c r="AB125" s="13">
        <f t="shared" ca="1" si="101"/>
        <v>46176</v>
      </c>
      <c r="AC125" s="1">
        <f t="shared" ca="1" si="102"/>
        <v>2026</v>
      </c>
      <c r="AD125" s="1" t="str">
        <f t="shared" ca="1" si="103"/>
        <v>6</v>
      </c>
      <c r="AE125" s="1">
        <f t="shared" si="104"/>
        <v>1</v>
      </c>
      <c r="AF125" s="1" t="str">
        <f t="shared" si="105"/>
        <v/>
      </c>
      <c r="AG125" s="1">
        <f t="shared" ca="1" si="106"/>
        <v>2026</v>
      </c>
      <c r="AH125" s="1">
        <f t="shared" si="107"/>
        <v>1</v>
      </c>
      <c r="AI125" s="1" t="str">
        <f t="shared" ca="1" si="108"/>
        <v>6</v>
      </c>
      <c r="AJ125" s="13" t="e">
        <f t="shared" ca="1" si="109"/>
        <v>#VALUE!</v>
      </c>
      <c r="AK125" s="1" t="e">
        <f>IF(ISBLANK(A125),"",IFERROR(MID(F125,SEARCH(", ",F125)+LEN(", "),SEARCH(" "&amp;'Exception Stores'!$A$2,F125)-SEARCH(", ",F125)-LEN(", ")),MID(F125,SEARCH(", ",F125)+LEN(", "),SEARCH(" "&amp;'Exception Stores'!$B$2,F125)-SEARCH(", ",F125)-LEN(", "))))</f>
        <v>#VALUE!</v>
      </c>
      <c r="AL125" s="1" t="e">
        <f t="shared" si="110"/>
        <v>#VALUE!</v>
      </c>
      <c r="AM125" s="15" t="e">
        <f t="shared" ca="1" si="111"/>
        <v>#VALUE!</v>
      </c>
      <c r="AN125" s="24" t="e">
        <f t="shared" ca="1" si="112"/>
        <v>#VALUE!</v>
      </c>
      <c r="AO125" s="1" t="e">
        <f t="shared" ca="1" si="113"/>
        <v>#VALUE!</v>
      </c>
      <c r="AP125" s="13" t="e">
        <f t="shared" ca="1" si="114"/>
        <v>#VALUE!</v>
      </c>
      <c r="AQ125" s="17" t="e">
        <f t="shared" ca="1" si="115"/>
        <v>#VALUE!</v>
      </c>
      <c r="AS125" s="15" t="e">
        <f t="shared" ca="1" si="116"/>
        <v>#VALUE!</v>
      </c>
      <c r="AT125" s="5">
        <f>'Exception Stores'!$D$2</f>
        <v>0.125</v>
      </c>
      <c r="AU125" s="15" t="e">
        <f t="shared" ca="1" si="117"/>
        <v>#VALUE!</v>
      </c>
      <c r="AV125" s="15" t="e">
        <f t="shared" ca="1" si="118"/>
        <v>#VALUE!</v>
      </c>
      <c r="AW125" s="15" t="e">
        <f t="shared" ca="1" si="119"/>
        <v>#VALUE!</v>
      </c>
      <c r="AX125" s="15" t="e">
        <f t="shared" ca="1" si="120"/>
        <v>#VALUE!</v>
      </c>
      <c r="AY125" s="15" t="e">
        <f t="shared" ca="1" si="121"/>
        <v>#VALUE!</v>
      </c>
      <c r="AZ125" s="1" t="e">
        <f t="shared" ca="1" si="122"/>
        <v>#VALUE!</v>
      </c>
      <c r="BA125" s="15" t="e">
        <f t="shared" ca="1" si="123"/>
        <v>#VALUE!</v>
      </c>
      <c r="BB125" s="15" t="e">
        <f t="shared" ca="1" si="124"/>
        <v>#VALUE!</v>
      </c>
      <c r="BC125" s="1" t="e">
        <f t="shared" ca="1" si="125"/>
        <v>#VALUE!</v>
      </c>
      <c r="BE125" s="15" t="str">
        <f>IF(ISBLANK('Exception Stores'!$A$6),"",'Exception Stores'!$A$6)</f>
        <v/>
      </c>
      <c r="BF125" s="15" t="str">
        <f>IF(ISBLANK('Exception Stores'!$B$6),"",'Exception Stores'!$B$6)</f>
        <v/>
      </c>
      <c r="BG125" s="1">
        <f>IF(ISBLANK('Exception Stores'!$A$6),0,IF($AN$2&gt;$BF$2,($AN$2-$BF$2)*24,0))</f>
        <v>0</v>
      </c>
      <c r="BH125" s="11">
        <f>IF(ISBLANK('Exception Stores'!$A$6),0,($BF$2-$BE$2)*24)</f>
        <v>0</v>
      </c>
      <c r="BI12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25" s="1">
        <f>IF(ISBLANK('Exception Stores'!$A$6),0,IF($AN$2&gt;$BF$2,0,IF(AND($AN$2&lt;$BF$2,$BT$2="B"),(($BF$2-$AN$2)*24)-$BS$2,($BF$2-$AN$2)*24)))</f>
        <v>0</v>
      </c>
      <c r="BL125" s="5"/>
      <c r="BM125" s="5"/>
      <c r="BN125" s="5"/>
      <c r="BO125" s="5"/>
      <c r="BP125" s="5"/>
      <c r="BV125" s="1" t="e">
        <f t="shared" ca="1" si="126"/>
        <v>#VALUE!</v>
      </c>
      <c r="BW125" s="1" t="e">
        <f t="shared" ca="1" si="127"/>
        <v>#VALUE!</v>
      </c>
      <c r="BX125" s="1" t="e">
        <f t="shared" ca="1" si="128"/>
        <v>#VALUE!</v>
      </c>
      <c r="BY125" s="1" t="e">
        <f t="shared" ca="1" si="129"/>
        <v>#VALUE!</v>
      </c>
      <c r="BZ125" s="1" t="e">
        <f t="shared" ca="1" si="130"/>
        <v>#VALUE!</v>
      </c>
      <c r="CB125" s="1" t="str">
        <f>IF(ISBLANK('Exception Stores'!$A$6),"",WEEKDAY($BF$2))</f>
        <v/>
      </c>
      <c r="CC125" s="1" t="str">
        <f>IF(ISBLANK('Exception Stores'!$A$6),"NO",IF('Exception Stores'!$A$6&lt;$AU$2,"YES","NO"))</f>
        <v>NO</v>
      </c>
      <c r="CD125" s="1" t="str">
        <f>IF(ISBLANK('Exception Stores'!$A$6),"NO",IF('Exception Stores'!$A$6&lt;$AV$2,"YES","NO"))</f>
        <v>NO</v>
      </c>
      <c r="CE125" s="1" t="str">
        <f>IF(ISBLANK('Exception Stores'!$A$6),"NO",IF('Exception Stores'!$A$6&lt;$AW$2,"YES","NO"))</f>
        <v>NO</v>
      </c>
      <c r="CF125" s="1" t="str">
        <f>IF(ISBLANK('Exception Stores'!$A$6),"NO",IF('Exception Stores'!$A$6&lt;$AX$2,"YES","NO"))</f>
        <v>NO</v>
      </c>
      <c r="CG125" s="1" t="str">
        <f>IF(ISBLANK('Exception Stores'!$A$6),"NO",IF('Exception Stores'!$A$6&lt;$AY$2,"YES","NO"))</f>
        <v>NO</v>
      </c>
      <c r="CI125" s="42" t="str">
        <f>IF(ISBLANK('Exception Stores'!$B$6),"NO",IF('Exception Stores'!$B$6&lt;=$AU$2,"YES","NO"))</f>
        <v>NO</v>
      </c>
      <c r="CJ125" s="42" t="str">
        <f>IF(ISBLANK('Exception Stores'!$B$6),"NO",IF('Exception Stores'!$B$6&lt;=$AV$2,"YES","NO"))</f>
        <v>NO</v>
      </c>
      <c r="CK125" s="1" t="str">
        <f>IF(ISBLANK('Exception Stores'!$B$6),"NO",IF('Exception Stores'!$B$6&lt;=$AW$2,"YES","NO"))</f>
        <v>NO</v>
      </c>
      <c r="CL125" s="1" t="str">
        <f>IF(ISBLANK('Exception Stores'!$B$6),"NO",IF('Exception Stores'!$B$6&lt;=$AX$2,"YES","NO"))</f>
        <v>NO</v>
      </c>
      <c r="CM125" s="1" t="str">
        <f>IF(ISBLANK('Exception Stores'!$B$6),"NO",IF('Exception Stores'!$B$6&lt;=$AY$2,"YES","NO"))</f>
        <v>NO</v>
      </c>
      <c r="CO125" s="1" t="e">
        <f ca="1">IF(AM125&lt;'Exception Stores'!$A$6,"YES","NO")</f>
        <v>#VALUE!</v>
      </c>
      <c r="CP125" s="1">
        <f t="shared" si="131"/>
        <v>0</v>
      </c>
      <c r="CQ125" s="1">
        <f t="shared" si="132"/>
        <v>0</v>
      </c>
      <c r="CR125" s="1">
        <f t="shared" si="133"/>
        <v>0</v>
      </c>
      <c r="CS125" s="1">
        <f t="shared" si="134"/>
        <v>0</v>
      </c>
      <c r="CT125" s="1">
        <f t="shared" si="135"/>
        <v>0</v>
      </c>
      <c r="CU125" s="1">
        <f t="shared" si="136"/>
        <v>0</v>
      </c>
      <c r="CW125" s="1" t="e">
        <f t="shared" ca="1" si="141"/>
        <v>#VALUE!</v>
      </c>
      <c r="CX125" s="1" t="e">
        <f t="shared" ca="1" si="142"/>
        <v>#VALUE!</v>
      </c>
      <c r="CY125" s="1" t="e">
        <f t="shared" ca="1" si="143"/>
        <v>#VALUE!</v>
      </c>
      <c r="CZ125" s="1" t="e">
        <f t="shared" ca="1" si="144"/>
        <v>#VALUE!</v>
      </c>
      <c r="DA125" s="1" t="e">
        <f t="shared" ca="1" si="145"/>
        <v>#VALUE!</v>
      </c>
      <c r="DB125" s="26" t="e">
        <f t="shared" ca="1" si="137"/>
        <v>#VALUE!</v>
      </c>
      <c r="DC125" s="1">
        <f t="shared" si="146"/>
        <v>0</v>
      </c>
      <c r="DD125" s="1">
        <f t="shared" si="147"/>
        <v>0</v>
      </c>
      <c r="DE125" s="1">
        <f t="shared" si="148"/>
        <v>0</v>
      </c>
      <c r="DF125" s="1">
        <f t="shared" si="149"/>
        <v>0</v>
      </c>
      <c r="DG125" s="1">
        <f t="shared" si="150"/>
        <v>0</v>
      </c>
      <c r="DH125" s="26">
        <f t="shared" si="138"/>
        <v>0</v>
      </c>
      <c r="DI125" s="1" t="e">
        <f t="shared" ca="1" si="139"/>
        <v>#VALUE!</v>
      </c>
      <c r="DK125" s="11" t="str">
        <f t="shared" si="151"/>
        <v/>
      </c>
      <c r="DL125" s="11" t="e">
        <f ca="1">IF(AND(NOT(ISBLANK('Exception Stores'!$A$6)),CO125="YES"),S125-$BH$2-(DI125*$BS$2)-(CU125*$BS$2),S125-(DB125*$BS$2))</f>
        <v>#VALUE!</v>
      </c>
      <c r="DM125" s="11" t="str">
        <f>IF(ISBLANK(A125),"",IF(COUNTIF(Remaps!$A$2:$A$200,B125)&gt;0,"YES",""))</f>
        <v>YES</v>
      </c>
      <c r="DN125" s="29">
        <f>IFERROR(INDEX(Remaps!$B$2:$B$200,MATCH(B125,Remaps!$A$2:$A$200,0),1),0)</f>
        <v>0</v>
      </c>
      <c r="DO125" s="11" t="e">
        <f t="shared" ca="1" si="152"/>
        <v>#VALUE!</v>
      </c>
      <c r="DP125" s="29" t="e">
        <f t="shared" si="153"/>
        <v>#VALUE!</v>
      </c>
      <c r="DQ125" s="11" t="e">
        <f ca="1">('Apollo Dock Status'!$Z$1-DP125)/DO125</f>
        <v>#VALUE!</v>
      </c>
      <c r="DR125" s="15" t="e">
        <f t="shared" ca="1" si="140"/>
        <v>#VALUE!</v>
      </c>
    </row>
    <row r="126" spans="1:122">
      <c r="A126" s="1" t="str">
        <f>IF(ISBLANK('Apollo Dock Status'!A126),"",'Apollo Dock Status'!A126)</f>
        <v/>
      </c>
      <c r="B126" s="1" t="str">
        <f>IF(ISBLANK('Apollo Dock Status'!B126),"",'Apollo Dock Status'!B126)</f>
        <v/>
      </c>
      <c r="C126" s="1" t="str">
        <f>IF(ISBLANK('Apollo Dock Status'!C126),"",'Apollo Dock Status'!C126)</f>
        <v/>
      </c>
      <c r="D126" s="1" t="str">
        <f>IF(ISBLANK('Apollo Dock Status'!D126),"",'Apollo Dock Status'!D126)</f>
        <v/>
      </c>
      <c r="E126" s="1" t="str">
        <f>IF(ISBLANK('Apollo Dock Status'!E126),"",'Apollo Dock Status'!E126)</f>
        <v/>
      </c>
      <c r="F126" s="1" t="str">
        <f>IF(ISBLANK('Apollo Dock Status'!F126),"",'Apollo Dock Status'!F126)</f>
        <v/>
      </c>
      <c r="G126" s="1" t="str">
        <f>IF(ISBLANK('Apollo Dock Status'!G126),"",'Apollo Dock Status'!G126)</f>
        <v/>
      </c>
      <c r="H126" s="1" t="str">
        <f>IF(ISBLANK('Apollo Dock Status'!H126),"",'Apollo Dock Status'!H126)</f>
        <v/>
      </c>
      <c r="I126" s="1" t="str">
        <f>IF(ISBLANK('Apollo Dock Status'!I126),"",'Apollo Dock Status'!I126)</f>
        <v/>
      </c>
      <c r="J126" s="1" t="str">
        <f>IF(ISBLANK('Apollo Dock Status'!J126),"",'Apollo Dock Status'!J126)</f>
        <v/>
      </c>
      <c r="K126" s="1" t="str">
        <f>IF(ISBLANK('Apollo Dock Status'!K126),"",'Apollo Dock Status'!K126)</f>
        <v/>
      </c>
      <c r="L126" s="1" t="str">
        <f>IF(ISBLANK('Apollo Dock Status'!L126),"",'Apollo Dock Status'!L126)</f>
        <v/>
      </c>
      <c r="M126" s="1" t="str">
        <f>IF(ISBLANK('Apollo Dock Status'!M126),"",'Apollo Dock Status'!M126)</f>
        <v/>
      </c>
      <c r="N126" s="1" t="str">
        <f>IF(ISBLANK('Apollo Dock Status'!N126),"",'Apollo Dock Status'!N126)</f>
        <v/>
      </c>
      <c r="O126" s="1" t="str">
        <f t="shared" si="90"/>
        <v/>
      </c>
      <c r="P126" s="1" t="str">
        <f t="shared" si="91"/>
        <v/>
      </c>
      <c r="Q126" s="1" t="str">
        <f t="shared" si="92"/>
        <v/>
      </c>
      <c r="R126" s="1" t="str">
        <f t="shared" si="93"/>
        <v/>
      </c>
      <c r="S126" s="11" t="str">
        <f t="shared" si="94"/>
        <v/>
      </c>
      <c r="T126" s="1" t="str">
        <f t="shared" si="95"/>
        <v/>
      </c>
      <c r="U126" s="11" t="str">
        <f t="shared" si="96"/>
        <v/>
      </c>
      <c r="V126" s="11" t="str">
        <f t="shared" si="97"/>
        <v/>
      </c>
      <c r="X126" s="1" t="str">
        <f t="shared" si="98"/>
        <v/>
      </c>
      <c r="Y126" s="1" t="str">
        <f t="shared" si="99"/>
        <v/>
      </c>
      <c r="Z126" s="1" t="str">
        <f t="shared" si="100"/>
        <v/>
      </c>
      <c r="AB126" s="13">
        <f t="shared" ca="1" si="101"/>
        <v>46176</v>
      </c>
      <c r="AC126" s="1">
        <f t="shared" ca="1" si="102"/>
        <v>2026</v>
      </c>
      <c r="AD126" s="1" t="str">
        <f t="shared" ca="1" si="103"/>
        <v>6</v>
      </c>
      <c r="AE126" s="1">
        <f t="shared" si="104"/>
        <v>1</v>
      </c>
      <c r="AF126" s="1" t="str">
        <f t="shared" si="105"/>
        <v/>
      </c>
      <c r="AG126" s="1">
        <f t="shared" ca="1" si="106"/>
        <v>2026</v>
      </c>
      <c r="AH126" s="1">
        <f t="shared" si="107"/>
        <v>1</v>
      </c>
      <c r="AI126" s="1" t="str">
        <f t="shared" ca="1" si="108"/>
        <v>6</v>
      </c>
      <c r="AJ126" s="13" t="e">
        <f t="shared" ca="1" si="109"/>
        <v>#VALUE!</v>
      </c>
      <c r="AK126" s="1" t="e">
        <f>IF(ISBLANK(A126),"",IFERROR(MID(F126,SEARCH(", ",F126)+LEN(", "),SEARCH(" "&amp;'Exception Stores'!$A$2,F126)-SEARCH(", ",F126)-LEN(", ")),MID(F126,SEARCH(", ",F126)+LEN(", "),SEARCH(" "&amp;'Exception Stores'!$B$2,F126)-SEARCH(", ",F126)-LEN(", "))))</f>
        <v>#VALUE!</v>
      </c>
      <c r="AL126" s="1" t="e">
        <f t="shared" si="110"/>
        <v>#VALUE!</v>
      </c>
      <c r="AM126" s="15" t="e">
        <f t="shared" ca="1" si="111"/>
        <v>#VALUE!</v>
      </c>
      <c r="AN126" s="24" t="e">
        <f t="shared" ca="1" si="112"/>
        <v>#VALUE!</v>
      </c>
      <c r="AO126" s="1" t="e">
        <f t="shared" ca="1" si="113"/>
        <v>#VALUE!</v>
      </c>
      <c r="AP126" s="13" t="e">
        <f t="shared" ca="1" si="114"/>
        <v>#VALUE!</v>
      </c>
      <c r="AQ126" s="17" t="e">
        <f t="shared" ca="1" si="115"/>
        <v>#VALUE!</v>
      </c>
      <c r="AS126" s="15" t="e">
        <f t="shared" ca="1" si="116"/>
        <v>#VALUE!</v>
      </c>
      <c r="AT126" s="5">
        <f>'Exception Stores'!$D$2</f>
        <v>0.125</v>
      </c>
      <c r="AU126" s="15" t="e">
        <f t="shared" ca="1" si="117"/>
        <v>#VALUE!</v>
      </c>
      <c r="AV126" s="15" t="e">
        <f t="shared" ca="1" si="118"/>
        <v>#VALUE!</v>
      </c>
      <c r="AW126" s="15" t="e">
        <f t="shared" ca="1" si="119"/>
        <v>#VALUE!</v>
      </c>
      <c r="AX126" s="15" t="e">
        <f t="shared" ca="1" si="120"/>
        <v>#VALUE!</v>
      </c>
      <c r="AY126" s="15" t="e">
        <f t="shared" ca="1" si="121"/>
        <v>#VALUE!</v>
      </c>
      <c r="AZ126" s="1" t="e">
        <f t="shared" ca="1" si="122"/>
        <v>#VALUE!</v>
      </c>
      <c r="BA126" s="15" t="e">
        <f t="shared" ca="1" si="123"/>
        <v>#VALUE!</v>
      </c>
      <c r="BB126" s="15" t="e">
        <f t="shared" ca="1" si="124"/>
        <v>#VALUE!</v>
      </c>
      <c r="BC126" s="1" t="e">
        <f t="shared" ca="1" si="125"/>
        <v>#VALUE!</v>
      </c>
      <c r="BE126" s="15" t="str">
        <f>IF(ISBLANK('Exception Stores'!$A$6),"",'Exception Stores'!$A$6)</f>
        <v/>
      </c>
      <c r="BF126" s="15" t="str">
        <f>IF(ISBLANK('Exception Stores'!$B$6),"",'Exception Stores'!$B$6)</f>
        <v/>
      </c>
      <c r="BG126" s="1">
        <f>IF(ISBLANK('Exception Stores'!$A$6),0,IF($AN$2&gt;$BF$2,($AN$2-$BF$2)*24,0))</f>
        <v>0</v>
      </c>
      <c r="BH126" s="11">
        <f>IF(ISBLANK('Exception Stores'!$A$6),0,($BF$2-$BE$2)*24)</f>
        <v>0</v>
      </c>
      <c r="BI12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26" s="1">
        <f>IF(ISBLANK('Exception Stores'!$A$6),0,IF($AN$2&gt;$BF$2,0,IF(AND($AN$2&lt;$BF$2,$BT$2="B"),(($BF$2-$AN$2)*24)-$BS$2,($BF$2-$AN$2)*24)))</f>
        <v>0</v>
      </c>
      <c r="BL126" s="5"/>
      <c r="BM126" s="5"/>
      <c r="BN126" s="5"/>
      <c r="BO126" s="5"/>
      <c r="BP126" s="5"/>
      <c r="BV126" s="1" t="e">
        <f t="shared" ca="1" si="126"/>
        <v>#VALUE!</v>
      </c>
      <c r="BW126" s="1" t="e">
        <f t="shared" ca="1" si="127"/>
        <v>#VALUE!</v>
      </c>
      <c r="BX126" s="1" t="e">
        <f t="shared" ca="1" si="128"/>
        <v>#VALUE!</v>
      </c>
      <c r="BY126" s="1" t="e">
        <f t="shared" ca="1" si="129"/>
        <v>#VALUE!</v>
      </c>
      <c r="BZ126" s="1" t="e">
        <f t="shared" ca="1" si="130"/>
        <v>#VALUE!</v>
      </c>
      <c r="CB126" s="1" t="str">
        <f>IF(ISBLANK('Exception Stores'!$A$6),"",WEEKDAY($BF$2))</f>
        <v/>
      </c>
      <c r="CC126" s="1" t="str">
        <f>IF(ISBLANK('Exception Stores'!$A$6),"NO",IF('Exception Stores'!$A$6&lt;$AU$2,"YES","NO"))</f>
        <v>NO</v>
      </c>
      <c r="CD126" s="1" t="str">
        <f>IF(ISBLANK('Exception Stores'!$A$6),"NO",IF('Exception Stores'!$A$6&lt;$AV$2,"YES","NO"))</f>
        <v>NO</v>
      </c>
      <c r="CE126" s="1" t="str">
        <f>IF(ISBLANK('Exception Stores'!$A$6),"NO",IF('Exception Stores'!$A$6&lt;$AW$2,"YES","NO"))</f>
        <v>NO</v>
      </c>
      <c r="CF126" s="1" t="str">
        <f>IF(ISBLANK('Exception Stores'!$A$6),"NO",IF('Exception Stores'!$A$6&lt;$AX$2,"YES","NO"))</f>
        <v>NO</v>
      </c>
      <c r="CG126" s="1" t="str">
        <f>IF(ISBLANK('Exception Stores'!$A$6),"NO",IF('Exception Stores'!$A$6&lt;$AY$2,"YES","NO"))</f>
        <v>NO</v>
      </c>
      <c r="CI126" s="42" t="str">
        <f>IF(ISBLANK('Exception Stores'!$B$6),"NO",IF('Exception Stores'!$B$6&lt;=$AU$2,"YES","NO"))</f>
        <v>NO</v>
      </c>
      <c r="CJ126" s="42" t="str">
        <f>IF(ISBLANK('Exception Stores'!$B$6),"NO",IF('Exception Stores'!$B$6&lt;=$AV$2,"YES","NO"))</f>
        <v>NO</v>
      </c>
      <c r="CK126" s="1" t="str">
        <f>IF(ISBLANK('Exception Stores'!$B$6),"NO",IF('Exception Stores'!$B$6&lt;=$AW$2,"YES","NO"))</f>
        <v>NO</v>
      </c>
      <c r="CL126" s="1" t="str">
        <f>IF(ISBLANK('Exception Stores'!$B$6),"NO",IF('Exception Stores'!$B$6&lt;=$AX$2,"YES","NO"))</f>
        <v>NO</v>
      </c>
      <c r="CM126" s="1" t="str">
        <f>IF(ISBLANK('Exception Stores'!$B$6),"NO",IF('Exception Stores'!$B$6&lt;=$AY$2,"YES","NO"))</f>
        <v>NO</v>
      </c>
      <c r="CO126" s="1" t="e">
        <f ca="1">IF(AM126&lt;'Exception Stores'!$A$6,"YES","NO")</f>
        <v>#VALUE!</v>
      </c>
      <c r="CP126" s="1">
        <f t="shared" si="131"/>
        <v>0</v>
      </c>
      <c r="CQ126" s="1">
        <f t="shared" si="132"/>
        <v>0</v>
      </c>
      <c r="CR126" s="1">
        <f t="shared" si="133"/>
        <v>0</v>
      </c>
      <c r="CS126" s="1">
        <f t="shared" si="134"/>
        <v>0</v>
      </c>
      <c r="CT126" s="1">
        <f t="shared" si="135"/>
        <v>0</v>
      </c>
      <c r="CU126" s="1">
        <f t="shared" si="136"/>
        <v>0</v>
      </c>
      <c r="CW126" s="1" t="e">
        <f t="shared" ca="1" si="141"/>
        <v>#VALUE!</v>
      </c>
      <c r="CX126" s="1" t="e">
        <f t="shared" ca="1" si="142"/>
        <v>#VALUE!</v>
      </c>
      <c r="CY126" s="1" t="e">
        <f t="shared" ca="1" si="143"/>
        <v>#VALUE!</v>
      </c>
      <c r="CZ126" s="1" t="e">
        <f t="shared" ca="1" si="144"/>
        <v>#VALUE!</v>
      </c>
      <c r="DA126" s="1" t="e">
        <f t="shared" ca="1" si="145"/>
        <v>#VALUE!</v>
      </c>
      <c r="DB126" s="26" t="e">
        <f t="shared" ca="1" si="137"/>
        <v>#VALUE!</v>
      </c>
      <c r="DC126" s="1">
        <f t="shared" si="146"/>
        <v>0</v>
      </c>
      <c r="DD126" s="1">
        <f t="shared" si="147"/>
        <v>0</v>
      </c>
      <c r="DE126" s="1">
        <f t="shared" si="148"/>
        <v>0</v>
      </c>
      <c r="DF126" s="1">
        <f t="shared" si="149"/>
        <v>0</v>
      </c>
      <c r="DG126" s="1">
        <f t="shared" si="150"/>
        <v>0</v>
      </c>
      <c r="DH126" s="26">
        <f t="shared" si="138"/>
        <v>0</v>
      </c>
      <c r="DI126" s="1" t="e">
        <f t="shared" ca="1" si="139"/>
        <v>#VALUE!</v>
      </c>
      <c r="DK126" s="11" t="str">
        <f t="shared" si="151"/>
        <v/>
      </c>
      <c r="DL126" s="11" t="e">
        <f ca="1">IF(AND(NOT(ISBLANK('Exception Stores'!$A$6)),CO126="YES"),S126-$BH$2-(DI126*$BS$2)-(CU126*$BS$2),S126-(DB126*$BS$2))</f>
        <v>#VALUE!</v>
      </c>
      <c r="DM126" s="11" t="str">
        <f>IF(ISBLANK(A126),"",IF(COUNTIF(Remaps!$A$2:$A$200,B126)&gt;0,"YES",""))</f>
        <v>YES</v>
      </c>
      <c r="DN126" s="29">
        <f>IFERROR(INDEX(Remaps!$B$2:$B$200,MATCH(B126,Remaps!$A$2:$A$200,0),1),0)</f>
        <v>0</v>
      </c>
      <c r="DO126" s="11" t="e">
        <f t="shared" ca="1" si="152"/>
        <v>#VALUE!</v>
      </c>
      <c r="DP126" s="29" t="e">
        <f t="shared" si="153"/>
        <v>#VALUE!</v>
      </c>
      <c r="DQ126" s="11" t="e">
        <f ca="1">('Apollo Dock Status'!$Z$1-DP126)/DO126</f>
        <v>#VALUE!</v>
      </c>
      <c r="DR126" s="15" t="e">
        <f t="shared" ca="1" si="140"/>
        <v>#VALUE!</v>
      </c>
    </row>
    <row r="127" spans="1:122">
      <c r="A127" s="1" t="str">
        <f>IF(ISBLANK('Apollo Dock Status'!A127),"",'Apollo Dock Status'!A127)</f>
        <v/>
      </c>
      <c r="B127" s="1" t="str">
        <f>IF(ISBLANK('Apollo Dock Status'!B127),"",'Apollo Dock Status'!B127)</f>
        <v/>
      </c>
      <c r="C127" s="1" t="str">
        <f>IF(ISBLANK('Apollo Dock Status'!C127),"",'Apollo Dock Status'!C127)</f>
        <v/>
      </c>
      <c r="D127" s="1" t="str">
        <f>IF(ISBLANK('Apollo Dock Status'!D127),"",'Apollo Dock Status'!D127)</f>
        <v/>
      </c>
      <c r="E127" s="1" t="str">
        <f>IF(ISBLANK('Apollo Dock Status'!E127),"",'Apollo Dock Status'!E127)</f>
        <v/>
      </c>
      <c r="F127" s="1" t="str">
        <f>IF(ISBLANK('Apollo Dock Status'!F127),"",'Apollo Dock Status'!F127)</f>
        <v/>
      </c>
      <c r="G127" s="1" t="str">
        <f>IF(ISBLANK('Apollo Dock Status'!G127),"",'Apollo Dock Status'!G127)</f>
        <v/>
      </c>
      <c r="H127" s="1" t="str">
        <f>IF(ISBLANK('Apollo Dock Status'!H127),"",'Apollo Dock Status'!H127)</f>
        <v/>
      </c>
      <c r="I127" s="1" t="str">
        <f>IF(ISBLANK('Apollo Dock Status'!I127),"",'Apollo Dock Status'!I127)</f>
        <v/>
      </c>
      <c r="J127" s="1" t="str">
        <f>IF(ISBLANK('Apollo Dock Status'!J127),"",'Apollo Dock Status'!J127)</f>
        <v/>
      </c>
      <c r="K127" s="1" t="str">
        <f>IF(ISBLANK('Apollo Dock Status'!K127),"",'Apollo Dock Status'!K127)</f>
        <v/>
      </c>
      <c r="L127" s="1" t="str">
        <f>IF(ISBLANK('Apollo Dock Status'!L127),"",'Apollo Dock Status'!L127)</f>
        <v/>
      </c>
      <c r="M127" s="1" t="str">
        <f>IF(ISBLANK('Apollo Dock Status'!M127),"",'Apollo Dock Status'!M127)</f>
        <v/>
      </c>
      <c r="N127" s="1" t="str">
        <f>IF(ISBLANK('Apollo Dock Status'!N127),"",'Apollo Dock Status'!N127)</f>
        <v/>
      </c>
      <c r="O127" s="1" t="str">
        <f t="shared" si="90"/>
        <v/>
      </c>
      <c r="P127" s="1" t="str">
        <f t="shared" si="91"/>
        <v/>
      </c>
      <c r="Q127" s="1" t="str">
        <f t="shared" si="92"/>
        <v/>
      </c>
      <c r="R127" s="1" t="str">
        <f t="shared" si="93"/>
        <v/>
      </c>
      <c r="S127" s="11" t="str">
        <f t="shared" si="94"/>
        <v/>
      </c>
      <c r="T127" s="1" t="str">
        <f t="shared" si="95"/>
        <v/>
      </c>
      <c r="U127" s="11" t="str">
        <f t="shared" si="96"/>
        <v/>
      </c>
      <c r="V127" s="11" t="str">
        <f t="shared" si="97"/>
        <v/>
      </c>
      <c r="X127" s="1" t="str">
        <f t="shared" si="98"/>
        <v/>
      </c>
      <c r="Y127" s="1" t="str">
        <f t="shared" si="99"/>
        <v/>
      </c>
      <c r="Z127" s="1" t="str">
        <f t="shared" si="100"/>
        <v/>
      </c>
      <c r="AB127" s="13">
        <f t="shared" ca="1" si="101"/>
        <v>46176</v>
      </c>
      <c r="AC127" s="1">
        <f t="shared" ca="1" si="102"/>
        <v>2026</v>
      </c>
      <c r="AD127" s="1" t="str">
        <f t="shared" ca="1" si="103"/>
        <v>6</v>
      </c>
      <c r="AE127" s="1">
        <f t="shared" si="104"/>
        <v>1</v>
      </c>
      <c r="AF127" s="1" t="str">
        <f t="shared" si="105"/>
        <v/>
      </c>
      <c r="AG127" s="1">
        <f t="shared" ca="1" si="106"/>
        <v>2026</v>
      </c>
      <c r="AH127" s="1">
        <f t="shared" si="107"/>
        <v>1</v>
      </c>
      <c r="AI127" s="1" t="str">
        <f t="shared" ca="1" si="108"/>
        <v>6</v>
      </c>
      <c r="AJ127" s="13" t="e">
        <f t="shared" ca="1" si="109"/>
        <v>#VALUE!</v>
      </c>
      <c r="AK127" s="1" t="e">
        <f>IF(ISBLANK(A127),"",IFERROR(MID(F127,SEARCH(", ",F127)+LEN(", "),SEARCH(" "&amp;'Exception Stores'!$A$2,F127)-SEARCH(", ",F127)-LEN(", ")),MID(F127,SEARCH(", ",F127)+LEN(", "),SEARCH(" "&amp;'Exception Stores'!$B$2,F127)-SEARCH(", ",F127)-LEN(", "))))</f>
        <v>#VALUE!</v>
      </c>
      <c r="AL127" s="1" t="e">
        <f t="shared" si="110"/>
        <v>#VALUE!</v>
      </c>
      <c r="AM127" s="15" t="e">
        <f t="shared" ca="1" si="111"/>
        <v>#VALUE!</v>
      </c>
      <c r="AN127" s="24" t="e">
        <f t="shared" ca="1" si="112"/>
        <v>#VALUE!</v>
      </c>
      <c r="AO127" s="1" t="e">
        <f t="shared" ca="1" si="113"/>
        <v>#VALUE!</v>
      </c>
      <c r="AP127" s="13" t="e">
        <f t="shared" ca="1" si="114"/>
        <v>#VALUE!</v>
      </c>
      <c r="AQ127" s="17" t="e">
        <f t="shared" ca="1" si="115"/>
        <v>#VALUE!</v>
      </c>
      <c r="AS127" s="15" t="e">
        <f t="shared" ca="1" si="116"/>
        <v>#VALUE!</v>
      </c>
      <c r="AT127" s="5">
        <f>'Exception Stores'!$D$2</f>
        <v>0.125</v>
      </c>
      <c r="AU127" s="15" t="e">
        <f t="shared" ca="1" si="117"/>
        <v>#VALUE!</v>
      </c>
      <c r="AV127" s="15" t="e">
        <f t="shared" ca="1" si="118"/>
        <v>#VALUE!</v>
      </c>
      <c r="AW127" s="15" t="e">
        <f t="shared" ca="1" si="119"/>
        <v>#VALUE!</v>
      </c>
      <c r="AX127" s="15" t="e">
        <f t="shared" ca="1" si="120"/>
        <v>#VALUE!</v>
      </c>
      <c r="AY127" s="15" t="e">
        <f t="shared" ca="1" si="121"/>
        <v>#VALUE!</v>
      </c>
      <c r="AZ127" s="1" t="e">
        <f t="shared" ca="1" si="122"/>
        <v>#VALUE!</v>
      </c>
      <c r="BA127" s="15" t="e">
        <f t="shared" ca="1" si="123"/>
        <v>#VALUE!</v>
      </c>
      <c r="BB127" s="15" t="e">
        <f t="shared" ca="1" si="124"/>
        <v>#VALUE!</v>
      </c>
      <c r="BC127" s="1" t="e">
        <f t="shared" ca="1" si="125"/>
        <v>#VALUE!</v>
      </c>
      <c r="BE127" s="15" t="str">
        <f>IF(ISBLANK('Exception Stores'!$A$6),"",'Exception Stores'!$A$6)</f>
        <v/>
      </c>
      <c r="BF127" s="15" t="str">
        <f>IF(ISBLANK('Exception Stores'!$B$6),"",'Exception Stores'!$B$6)</f>
        <v/>
      </c>
      <c r="BG127" s="1">
        <f>IF(ISBLANK('Exception Stores'!$A$6),0,IF($AN$2&gt;$BF$2,($AN$2-$BF$2)*24,0))</f>
        <v>0</v>
      </c>
      <c r="BH127" s="11">
        <f>IF(ISBLANK('Exception Stores'!$A$6),0,($BF$2-$BE$2)*24)</f>
        <v>0</v>
      </c>
      <c r="BI12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27" s="1">
        <f>IF(ISBLANK('Exception Stores'!$A$6),0,IF($AN$2&gt;$BF$2,0,IF(AND($AN$2&lt;$BF$2,$BT$2="B"),(($BF$2-$AN$2)*24)-$BS$2,($BF$2-$AN$2)*24)))</f>
        <v>0</v>
      </c>
      <c r="BL127" s="5"/>
      <c r="BM127" s="5"/>
      <c r="BN127" s="5"/>
      <c r="BO127" s="5"/>
      <c r="BP127" s="5"/>
      <c r="BV127" s="1" t="e">
        <f t="shared" ca="1" si="126"/>
        <v>#VALUE!</v>
      </c>
      <c r="BW127" s="1" t="e">
        <f t="shared" ca="1" si="127"/>
        <v>#VALUE!</v>
      </c>
      <c r="BX127" s="1" t="e">
        <f t="shared" ca="1" si="128"/>
        <v>#VALUE!</v>
      </c>
      <c r="BY127" s="1" t="e">
        <f t="shared" ca="1" si="129"/>
        <v>#VALUE!</v>
      </c>
      <c r="BZ127" s="1" t="e">
        <f t="shared" ca="1" si="130"/>
        <v>#VALUE!</v>
      </c>
      <c r="CB127" s="1" t="str">
        <f>IF(ISBLANK('Exception Stores'!$A$6),"",WEEKDAY($BF$2))</f>
        <v/>
      </c>
      <c r="CC127" s="1" t="str">
        <f>IF(ISBLANK('Exception Stores'!$A$6),"NO",IF('Exception Stores'!$A$6&lt;$AU$2,"YES","NO"))</f>
        <v>NO</v>
      </c>
      <c r="CD127" s="1" t="str">
        <f>IF(ISBLANK('Exception Stores'!$A$6),"NO",IF('Exception Stores'!$A$6&lt;$AV$2,"YES","NO"))</f>
        <v>NO</v>
      </c>
      <c r="CE127" s="1" t="str">
        <f>IF(ISBLANK('Exception Stores'!$A$6),"NO",IF('Exception Stores'!$A$6&lt;$AW$2,"YES","NO"))</f>
        <v>NO</v>
      </c>
      <c r="CF127" s="1" t="str">
        <f>IF(ISBLANK('Exception Stores'!$A$6),"NO",IF('Exception Stores'!$A$6&lt;$AX$2,"YES","NO"))</f>
        <v>NO</v>
      </c>
      <c r="CG127" s="1" t="str">
        <f>IF(ISBLANK('Exception Stores'!$A$6),"NO",IF('Exception Stores'!$A$6&lt;$AY$2,"YES","NO"))</f>
        <v>NO</v>
      </c>
      <c r="CI127" s="42" t="str">
        <f>IF(ISBLANK('Exception Stores'!$B$6),"NO",IF('Exception Stores'!$B$6&lt;=$AU$2,"YES","NO"))</f>
        <v>NO</v>
      </c>
      <c r="CJ127" s="42" t="str">
        <f>IF(ISBLANK('Exception Stores'!$B$6),"NO",IF('Exception Stores'!$B$6&lt;=$AV$2,"YES","NO"))</f>
        <v>NO</v>
      </c>
      <c r="CK127" s="1" t="str">
        <f>IF(ISBLANK('Exception Stores'!$B$6),"NO",IF('Exception Stores'!$B$6&lt;=$AW$2,"YES","NO"))</f>
        <v>NO</v>
      </c>
      <c r="CL127" s="1" t="str">
        <f>IF(ISBLANK('Exception Stores'!$B$6),"NO",IF('Exception Stores'!$B$6&lt;=$AX$2,"YES","NO"))</f>
        <v>NO</v>
      </c>
      <c r="CM127" s="1" t="str">
        <f>IF(ISBLANK('Exception Stores'!$B$6),"NO",IF('Exception Stores'!$B$6&lt;=$AY$2,"YES","NO"))</f>
        <v>NO</v>
      </c>
      <c r="CO127" s="1" t="e">
        <f ca="1">IF(AM127&lt;'Exception Stores'!$A$6,"YES","NO")</f>
        <v>#VALUE!</v>
      </c>
      <c r="CP127" s="1">
        <f t="shared" si="131"/>
        <v>0</v>
      </c>
      <c r="CQ127" s="1">
        <f t="shared" si="132"/>
        <v>0</v>
      </c>
      <c r="CR127" s="1">
        <f t="shared" si="133"/>
        <v>0</v>
      </c>
      <c r="CS127" s="1">
        <f t="shared" si="134"/>
        <v>0</v>
      </c>
      <c r="CT127" s="1">
        <f t="shared" si="135"/>
        <v>0</v>
      </c>
      <c r="CU127" s="1">
        <f t="shared" si="136"/>
        <v>0</v>
      </c>
      <c r="CW127" s="1" t="e">
        <f t="shared" ca="1" si="141"/>
        <v>#VALUE!</v>
      </c>
      <c r="CX127" s="1" t="e">
        <f t="shared" ca="1" si="142"/>
        <v>#VALUE!</v>
      </c>
      <c r="CY127" s="1" t="e">
        <f t="shared" ca="1" si="143"/>
        <v>#VALUE!</v>
      </c>
      <c r="CZ127" s="1" t="e">
        <f t="shared" ca="1" si="144"/>
        <v>#VALUE!</v>
      </c>
      <c r="DA127" s="1" t="e">
        <f t="shared" ca="1" si="145"/>
        <v>#VALUE!</v>
      </c>
      <c r="DB127" s="26" t="e">
        <f t="shared" ca="1" si="137"/>
        <v>#VALUE!</v>
      </c>
      <c r="DC127" s="1">
        <f t="shared" si="146"/>
        <v>0</v>
      </c>
      <c r="DD127" s="1">
        <f t="shared" si="147"/>
        <v>0</v>
      </c>
      <c r="DE127" s="1">
        <f t="shared" si="148"/>
        <v>0</v>
      </c>
      <c r="DF127" s="1">
        <f t="shared" si="149"/>
        <v>0</v>
      </c>
      <c r="DG127" s="1">
        <f t="shared" si="150"/>
        <v>0</v>
      </c>
      <c r="DH127" s="26">
        <f t="shared" si="138"/>
        <v>0</v>
      </c>
      <c r="DI127" s="1" t="e">
        <f t="shared" ca="1" si="139"/>
        <v>#VALUE!</v>
      </c>
      <c r="DK127" s="11" t="str">
        <f t="shared" si="151"/>
        <v/>
      </c>
      <c r="DL127" s="11" t="e">
        <f ca="1">IF(AND(NOT(ISBLANK('Exception Stores'!$A$6)),CO127="YES"),S127-$BH$2-(DI127*$BS$2)-(CU127*$BS$2),S127-(DB127*$BS$2))</f>
        <v>#VALUE!</v>
      </c>
      <c r="DM127" s="11" t="str">
        <f>IF(ISBLANK(A127),"",IF(COUNTIF(Remaps!$A$2:$A$200,B127)&gt;0,"YES",""))</f>
        <v>YES</v>
      </c>
      <c r="DN127" s="29">
        <f>IFERROR(INDEX(Remaps!$B$2:$B$200,MATCH(B127,Remaps!$A$2:$A$200,0),1),0)</f>
        <v>0</v>
      </c>
      <c r="DO127" s="11" t="e">
        <f t="shared" ca="1" si="152"/>
        <v>#VALUE!</v>
      </c>
      <c r="DP127" s="29" t="e">
        <f t="shared" si="153"/>
        <v>#VALUE!</v>
      </c>
      <c r="DQ127" s="11" t="e">
        <f ca="1">('Apollo Dock Status'!$Z$1-DP127)/DO127</f>
        <v>#VALUE!</v>
      </c>
      <c r="DR127" s="15" t="e">
        <f t="shared" ca="1" si="140"/>
        <v>#VALUE!</v>
      </c>
    </row>
    <row r="128" spans="1:122">
      <c r="A128" s="1" t="str">
        <f>IF(ISBLANK('Apollo Dock Status'!A128),"",'Apollo Dock Status'!A128)</f>
        <v/>
      </c>
      <c r="B128" s="1" t="str">
        <f>IF(ISBLANK('Apollo Dock Status'!B128),"",'Apollo Dock Status'!B128)</f>
        <v/>
      </c>
      <c r="C128" s="1" t="str">
        <f>IF(ISBLANK('Apollo Dock Status'!C128),"",'Apollo Dock Status'!C128)</f>
        <v/>
      </c>
      <c r="D128" s="1" t="str">
        <f>IF(ISBLANK('Apollo Dock Status'!D128),"",'Apollo Dock Status'!D128)</f>
        <v/>
      </c>
      <c r="E128" s="1" t="str">
        <f>IF(ISBLANK('Apollo Dock Status'!E128),"",'Apollo Dock Status'!E128)</f>
        <v/>
      </c>
      <c r="F128" s="1" t="str">
        <f>IF(ISBLANK('Apollo Dock Status'!F128),"",'Apollo Dock Status'!F128)</f>
        <v/>
      </c>
      <c r="G128" s="1" t="str">
        <f>IF(ISBLANK('Apollo Dock Status'!G128),"",'Apollo Dock Status'!G128)</f>
        <v/>
      </c>
      <c r="H128" s="1" t="str">
        <f>IF(ISBLANK('Apollo Dock Status'!H128),"",'Apollo Dock Status'!H128)</f>
        <v/>
      </c>
      <c r="I128" s="1" t="str">
        <f>IF(ISBLANK('Apollo Dock Status'!I128),"",'Apollo Dock Status'!I128)</f>
        <v/>
      </c>
      <c r="J128" s="1" t="str">
        <f>IF(ISBLANK('Apollo Dock Status'!J128),"",'Apollo Dock Status'!J128)</f>
        <v/>
      </c>
      <c r="K128" s="1" t="str">
        <f>IF(ISBLANK('Apollo Dock Status'!K128),"",'Apollo Dock Status'!K128)</f>
        <v/>
      </c>
      <c r="L128" s="1" t="str">
        <f>IF(ISBLANK('Apollo Dock Status'!L128),"",'Apollo Dock Status'!L128)</f>
        <v/>
      </c>
      <c r="M128" s="1" t="str">
        <f>IF(ISBLANK('Apollo Dock Status'!M128),"",'Apollo Dock Status'!M128)</f>
        <v/>
      </c>
      <c r="N128" s="1" t="str">
        <f>IF(ISBLANK('Apollo Dock Status'!N128),"",'Apollo Dock Status'!N128)</f>
        <v/>
      </c>
      <c r="O128" s="1" t="str">
        <f t="shared" si="90"/>
        <v/>
      </c>
      <c r="P128" s="1" t="str">
        <f t="shared" si="91"/>
        <v/>
      </c>
      <c r="Q128" s="1" t="str">
        <f t="shared" si="92"/>
        <v/>
      </c>
      <c r="R128" s="1" t="str">
        <f t="shared" si="93"/>
        <v/>
      </c>
      <c r="S128" s="11" t="str">
        <f t="shared" si="94"/>
        <v/>
      </c>
      <c r="T128" s="1" t="str">
        <f t="shared" si="95"/>
        <v/>
      </c>
      <c r="U128" s="11" t="str">
        <f t="shared" si="96"/>
        <v/>
      </c>
      <c r="V128" s="11" t="str">
        <f t="shared" si="97"/>
        <v/>
      </c>
      <c r="X128" s="1" t="str">
        <f t="shared" si="98"/>
        <v/>
      </c>
      <c r="Y128" s="1" t="str">
        <f t="shared" si="99"/>
        <v/>
      </c>
      <c r="Z128" s="1" t="str">
        <f t="shared" si="100"/>
        <v/>
      </c>
      <c r="AB128" s="13">
        <f t="shared" ca="1" si="101"/>
        <v>46176</v>
      </c>
      <c r="AC128" s="1">
        <f t="shared" ca="1" si="102"/>
        <v>2026</v>
      </c>
      <c r="AD128" s="1" t="str">
        <f t="shared" ca="1" si="103"/>
        <v>6</v>
      </c>
      <c r="AE128" s="1">
        <f t="shared" si="104"/>
        <v>1</v>
      </c>
      <c r="AF128" s="1" t="str">
        <f t="shared" si="105"/>
        <v/>
      </c>
      <c r="AG128" s="1">
        <f t="shared" ca="1" si="106"/>
        <v>2026</v>
      </c>
      <c r="AH128" s="1">
        <f t="shared" si="107"/>
        <v>1</v>
      </c>
      <c r="AI128" s="1" t="str">
        <f t="shared" ca="1" si="108"/>
        <v>6</v>
      </c>
      <c r="AJ128" s="13" t="e">
        <f t="shared" ca="1" si="109"/>
        <v>#VALUE!</v>
      </c>
      <c r="AK128" s="1" t="e">
        <f>IF(ISBLANK(A128),"",IFERROR(MID(F128,SEARCH(", ",F128)+LEN(", "),SEARCH(" "&amp;'Exception Stores'!$A$2,F128)-SEARCH(", ",F128)-LEN(", ")),MID(F128,SEARCH(", ",F128)+LEN(", "),SEARCH(" "&amp;'Exception Stores'!$B$2,F128)-SEARCH(", ",F128)-LEN(", "))))</f>
        <v>#VALUE!</v>
      </c>
      <c r="AL128" s="1" t="e">
        <f t="shared" si="110"/>
        <v>#VALUE!</v>
      </c>
      <c r="AM128" s="15" t="e">
        <f t="shared" ca="1" si="111"/>
        <v>#VALUE!</v>
      </c>
      <c r="AN128" s="24" t="e">
        <f t="shared" ca="1" si="112"/>
        <v>#VALUE!</v>
      </c>
      <c r="AO128" s="1" t="e">
        <f t="shared" ca="1" si="113"/>
        <v>#VALUE!</v>
      </c>
      <c r="AP128" s="13" t="e">
        <f t="shared" ca="1" si="114"/>
        <v>#VALUE!</v>
      </c>
      <c r="AQ128" s="17" t="e">
        <f t="shared" ca="1" si="115"/>
        <v>#VALUE!</v>
      </c>
      <c r="AS128" s="15" t="e">
        <f t="shared" ca="1" si="116"/>
        <v>#VALUE!</v>
      </c>
      <c r="AT128" s="5">
        <f>'Exception Stores'!$D$2</f>
        <v>0.125</v>
      </c>
      <c r="AU128" s="15" t="e">
        <f t="shared" ca="1" si="117"/>
        <v>#VALUE!</v>
      </c>
      <c r="AV128" s="15" t="e">
        <f t="shared" ca="1" si="118"/>
        <v>#VALUE!</v>
      </c>
      <c r="AW128" s="15" t="e">
        <f t="shared" ca="1" si="119"/>
        <v>#VALUE!</v>
      </c>
      <c r="AX128" s="15" t="e">
        <f t="shared" ca="1" si="120"/>
        <v>#VALUE!</v>
      </c>
      <c r="AY128" s="15" t="e">
        <f t="shared" ca="1" si="121"/>
        <v>#VALUE!</v>
      </c>
      <c r="AZ128" s="1" t="e">
        <f t="shared" ca="1" si="122"/>
        <v>#VALUE!</v>
      </c>
      <c r="BA128" s="15" t="e">
        <f t="shared" ca="1" si="123"/>
        <v>#VALUE!</v>
      </c>
      <c r="BB128" s="15" t="e">
        <f t="shared" ca="1" si="124"/>
        <v>#VALUE!</v>
      </c>
      <c r="BC128" s="1" t="e">
        <f t="shared" ca="1" si="125"/>
        <v>#VALUE!</v>
      </c>
      <c r="BE128" s="15" t="str">
        <f>IF(ISBLANK('Exception Stores'!$A$6),"",'Exception Stores'!$A$6)</f>
        <v/>
      </c>
      <c r="BF128" s="15" t="str">
        <f>IF(ISBLANK('Exception Stores'!$B$6),"",'Exception Stores'!$B$6)</f>
        <v/>
      </c>
      <c r="BG128" s="1">
        <f>IF(ISBLANK('Exception Stores'!$A$6),0,IF($AN$2&gt;$BF$2,($AN$2-$BF$2)*24,0))</f>
        <v>0</v>
      </c>
      <c r="BH128" s="11">
        <f>IF(ISBLANK('Exception Stores'!$A$6),0,($BF$2-$BE$2)*24)</f>
        <v>0</v>
      </c>
      <c r="BI12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28" s="1">
        <f>IF(ISBLANK('Exception Stores'!$A$6),0,IF($AN$2&gt;$BF$2,0,IF(AND($AN$2&lt;$BF$2,$BT$2="B"),(($BF$2-$AN$2)*24)-$BS$2,($BF$2-$AN$2)*24)))</f>
        <v>0</v>
      </c>
      <c r="BL128" s="5"/>
      <c r="BM128" s="5"/>
      <c r="BN128" s="5"/>
      <c r="BO128" s="5"/>
      <c r="BP128" s="5"/>
      <c r="BV128" s="1" t="e">
        <f t="shared" ca="1" si="126"/>
        <v>#VALUE!</v>
      </c>
      <c r="BW128" s="1" t="e">
        <f t="shared" ca="1" si="127"/>
        <v>#VALUE!</v>
      </c>
      <c r="BX128" s="1" t="e">
        <f t="shared" ca="1" si="128"/>
        <v>#VALUE!</v>
      </c>
      <c r="BY128" s="1" t="e">
        <f t="shared" ca="1" si="129"/>
        <v>#VALUE!</v>
      </c>
      <c r="BZ128" s="1" t="e">
        <f t="shared" ca="1" si="130"/>
        <v>#VALUE!</v>
      </c>
      <c r="CB128" s="1" t="str">
        <f>IF(ISBLANK('Exception Stores'!$A$6),"",WEEKDAY($BF$2))</f>
        <v/>
      </c>
      <c r="CC128" s="1" t="str">
        <f>IF(ISBLANK('Exception Stores'!$A$6),"NO",IF('Exception Stores'!$A$6&lt;$AU$2,"YES","NO"))</f>
        <v>NO</v>
      </c>
      <c r="CD128" s="1" t="str">
        <f>IF(ISBLANK('Exception Stores'!$A$6),"NO",IF('Exception Stores'!$A$6&lt;$AV$2,"YES","NO"))</f>
        <v>NO</v>
      </c>
      <c r="CE128" s="1" t="str">
        <f>IF(ISBLANK('Exception Stores'!$A$6),"NO",IF('Exception Stores'!$A$6&lt;$AW$2,"YES","NO"))</f>
        <v>NO</v>
      </c>
      <c r="CF128" s="1" t="str">
        <f>IF(ISBLANK('Exception Stores'!$A$6),"NO",IF('Exception Stores'!$A$6&lt;$AX$2,"YES","NO"))</f>
        <v>NO</v>
      </c>
      <c r="CG128" s="1" t="str">
        <f>IF(ISBLANK('Exception Stores'!$A$6),"NO",IF('Exception Stores'!$A$6&lt;$AY$2,"YES","NO"))</f>
        <v>NO</v>
      </c>
      <c r="CI128" s="42" t="str">
        <f>IF(ISBLANK('Exception Stores'!$B$6),"NO",IF('Exception Stores'!$B$6&lt;=$AU$2,"YES","NO"))</f>
        <v>NO</v>
      </c>
      <c r="CJ128" s="42" t="str">
        <f>IF(ISBLANK('Exception Stores'!$B$6),"NO",IF('Exception Stores'!$B$6&lt;=$AV$2,"YES","NO"))</f>
        <v>NO</v>
      </c>
      <c r="CK128" s="1" t="str">
        <f>IF(ISBLANK('Exception Stores'!$B$6),"NO",IF('Exception Stores'!$B$6&lt;=$AW$2,"YES","NO"))</f>
        <v>NO</v>
      </c>
      <c r="CL128" s="1" t="str">
        <f>IF(ISBLANK('Exception Stores'!$B$6),"NO",IF('Exception Stores'!$B$6&lt;=$AX$2,"YES","NO"))</f>
        <v>NO</v>
      </c>
      <c r="CM128" s="1" t="str">
        <f>IF(ISBLANK('Exception Stores'!$B$6),"NO",IF('Exception Stores'!$B$6&lt;=$AY$2,"YES","NO"))</f>
        <v>NO</v>
      </c>
      <c r="CO128" s="1" t="e">
        <f ca="1">IF(AM128&lt;'Exception Stores'!$A$6,"YES","NO")</f>
        <v>#VALUE!</v>
      </c>
      <c r="CP128" s="1">
        <f t="shared" si="131"/>
        <v>0</v>
      </c>
      <c r="CQ128" s="1">
        <f t="shared" si="132"/>
        <v>0</v>
      </c>
      <c r="CR128" s="1">
        <f t="shared" si="133"/>
        <v>0</v>
      </c>
      <c r="CS128" s="1">
        <f t="shared" si="134"/>
        <v>0</v>
      </c>
      <c r="CT128" s="1">
        <f t="shared" si="135"/>
        <v>0</v>
      </c>
      <c r="CU128" s="1">
        <f t="shared" si="136"/>
        <v>0</v>
      </c>
      <c r="CW128" s="1" t="e">
        <f t="shared" ca="1" si="141"/>
        <v>#VALUE!</v>
      </c>
      <c r="CX128" s="1" t="e">
        <f t="shared" ca="1" si="142"/>
        <v>#VALUE!</v>
      </c>
      <c r="CY128" s="1" t="e">
        <f t="shared" ca="1" si="143"/>
        <v>#VALUE!</v>
      </c>
      <c r="CZ128" s="1" t="e">
        <f t="shared" ca="1" si="144"/>
        <v>#VALUE!</v>
      </c>
      <c r="DA128" s="1" t="e">
        <f t="shared" ca="1" si="145"/>
        <v>#VALUE!</v>
      </c>
      <c r="DB128" s="26" t="e">
        <f t="shared" ca="1" si="137"/>
        <v>#VALUE!</v>
      </c>
      <c r="DC128" s="1">
        <f t="shared" si="146"/>
        <v>0</v>
      </c>
      <c r="DD128" s="1">
        <f t="shared" si="147"/>
        <v>0</v>
      </c>
      <c r="DE128" s="1">
        <f t="shared" si="148"/>
        <v>0</v>
      </c>
      <c r="DF128" s="1">
        <f t="shared" si="149"/>
        <v>0</v>
      </c>
      <c r="DG128" s="1">
        <f t="shared" si="150"/>
        <v>0</v>
      </c>
      <c r="DH128" s="26">
        <f t="shared" si="138"/>
        <v>0</v>
      </c>
      <c r="DI128" s="1" t="e">
        <f t="shared" ca="1" si="139"/>
        <v>#VALUE!</v>
      </c>
      <c r="DK128" s="11" t="str">
        <f t="shared" si="151"/>
        <v/>
      </c>
      <c r="DL128" s="11" t="e">
        <f ca="1">IF(AND(NOT(ISBLANK('Exception Stores'!$A$6)),CO128="YES"),S128-$BH$2-(DI128*$BS$2)-(CU128*$BS$2),S128-(DB128*$BS$2))</f>
        <v>#VALUE!</v>
      </c>
      <c r="DM128" s="11" t="str">
        <f>IF(ISBLANK(A128),"",IF(COUNTIF(Remaps!$A$2:$A$200,B128)&gt;0,"YES",""))</f>
        <v>YES</v>
      </c>
      <c r="DN128" s="29">
        <f>IFERROR(INDEX(Remaps!$B$2:$B$200,MATCH(B128,Remaps!$A$2:$A$200,0),1),0)</f>
        <v>0</v>
      </c>
      <c r="DO128" s="11" t="e">
        <f t="shared" ca="1" si="152"/>
        <v>#VALUE!</v>
      </c>
      <c r="DP128" s="29" t="e">
        <f t="shared" si="153"/>
        <v>#VALUE!</v>
      </c>
      <c r="DQ128" s="11" t="e">
        <f ca="1">('Apollo Dock Status'!$Z$1-DP128)/DO128</f>
        <v>#VALUE!</v>
      </c>
      <c r="DR128" s="15" t="e">
        <f t="shared" ca="1" si="140"/>
        <v>#VALUE!</v>
      </c>
    </row>
    <row r="129" spans="1:122">
      <c r="A129" s="1" t="str">
        <f>IF(ISBLANK('Apollo Dock Status'!A129),"",'Apollo Dock Status'!A129)</f>
        <v/>
      </c>
      <c r="B129" s="1" t="str">
        <f>IF(ISBLANK('Apollo Dock Status'!B129),"",'Apollo Dock Status'!B129)</f>
        <v/>
      </c>
      <c r="C129" s="1" t="str">
        <f>IF(ISBLANK('Apollo Dock Status'!C129),"",'Apollo Dock Status'!C129)</f>
        <v/>
      </c>
      <c r="D129" s="1" t="str">
        <f>IF(ISBLANK('Apollo Dock Status'!D129),"",'Apollo Dock Status'!D129)</f>
        <v/>
      </c>
      <c r="E129" s="1" t="str">
        <f>IF(ISBLANK('Apollo Dock Status'!E129),"",'Apollo Dock Status'!E129)</f>
        <v/>
      </c>
      <c r="F129" s="1" t="str">
        <f>IF(ISBLANK('Apollo Dock Status'!F129),"",'Apollo Dock Status'!F129)</f>
        <v/>
      </c>
      <c r="G129" s="1" t="str">
        <f>IF(ISBLANK('Apollo Dock Status'!G129),"",'Apollo Dock Status'!G129)</f>
        <v/>
      </c>
      <c r="H129" s="1" t="str">
        <f>IF(ISBLANK('Apollo Dock Status'!H129),"",'Apollo Dock Status'!H129)</f>
        <v/>
      </c>
      <c r="I129" s="1" t="str">
        <f>IF(ISBLANK('Apollo Dock Status'!I129),"",'Apollo Dock Status'!I129)</f>
        <v/>
      </c>
      <c r="J129" s="1" t="str">
        <f>IF(ISBLANK('Apollo Dock Status'!J129),"",'Apollo Dock Status'!J129)</f>
        <v/>
      </c>
      <c r="K129" s="1" t="str">
        <f>IF(ISBLANK('Apollo Dock Status'!K129),"",'Apollo Dock Status'!K129)</f>
        <v/>
      </c>
      <c r="L129" s="1" t="str">
        <f>IF(ISBLANK('Apollo Dock Status'!L129),"",'Apollo Dock Status'!L129)</f>
        <v/>
      </c>
      <c r="M129" s="1" t="str">
        <f>IF(ISBLANK('Apollo Dock Status'!M129),"",'Apollo Dock Status'!M129)</f>
        <v/>
      </c>
      <c r="N129" s="1" t="str">
        <f>IF(ISBLANK('Apollo Dock Status'!N129),"",'Apollo Dock Status'!N129)</f>
        <v/>
      </c>
      <c r="O129" s="1" t="str">
        <f t="shared" si="90"/>
        <v/>
      </c>
      <c r="P129" s="1" t="str">
        <f t="shared" si="91"/>
        <v/>
      </c>
      <c r="Q129" s="1" t="str">
        <f t="shared" si="92"/>
        <v/>
      </c>
      <c r="R129" s="1" t="str">
        <f t="shared" si="93"/>
        <v/>
      </c>
      <c r="S129" s="11" t="str">
        <f t="shared" si="94"/>
        <v/>
      </c>
      <c r="T129" s="1" t="str">
        <f t="shared" si="95"/>
        <v/>
      </c>
      <c r="U129" s="11" t="str">
        <f t="shared" si="96"/>
        <v/>
      </c>
      <c r="V129" s="11" t="str">
        <f t="shared" si="97"/>
        <v/>
      </c>
      <c r="X129" s="1" t="str">
        <f t="shared" si="98"/>
        <v/>
      </c>
      <c r="Y129" s="1" t="str">
        <f t="shared" si="99"/>
        <v/>
      </c>
      <c r="Z129" s="1" t="str">
        <f t="shared" si="100"/>
        <v/>
      </c>
      <c r="AB129" s="13">
        <f t="shared" ca="1" si="101"/>
        <v>46176</v>
      </c>
      <c r="AC129" s="1">
        <f t="shared" ca="1" si="102"/>
        <v>2026</v>
      </c>
      <c r="AD129" s="1" t="str">
        <f t="shared" ca="1" si="103"/>
        <v>6</v>
      </c>
      <c r="AE129" s="1">
        <f t="shared" si="104"/>
        <v>1</v>
      </c>
      <c r="AF129" s="1" t="str">
        <f t="shared" si="105"/>
        <v/>
      </c>
      <c r="AG129" s="1">
        <f t="shared" ca="1" si="106"/>
        <v>2026</v>
      </c>
      <c r="AH129" s="1">
        <f t="shared" si="107"/>
        <v>1</v>
      </c>
      <c r="AI129" s="1" t="str">
        <f t="shared" ca="1" si="108"/>
        <v>6</v>
      </c>
      <c r="AJ129" s="13" t="e">
        <f t="shared" ca="1" si="109"/>
        <v>#VALUE!</v>
      </c>
      <c r="AK129" s="1" t="e">
        <f>IF(ISBLANK(A129),"",IFERROR(MID(F129,SEARCH(", ",F129)+LEN(", "),SEARCH(" "&amp;'Exception Stores'!$A$2,F129)-SEARCH(", ",F129)-LEN(", ")),MID(F129,SEARCH(", ",F129)+LEN(", "),SEARCH(" "&amp;'Exception Stores'!$B$2,F129)-SEARCH(", ",F129)-LEN(", "))))</f>
        <v>#VALUE!</v>
      </c>
      <c r="AL129" s="1" t="e">
        <f t="shared" si="110"/>
        <v>#VALUE!</v>
      </c>
      <c r="AM129" s="15" t="e">
        <f t="shared" ca="1" si="111"/>
        <v>#VALUE!</v>
      </c>
      <c r="AN129" s="24" t="e">
        <f t="shared" ca="1" si="112"/>
        <v>#VALUE!</v>
      </c>
      <c r="AO129" s="1" t="e">
        <f t="shared" ca="1" si="113"/>
        <v>#VALUE!</v>
      </c>
      <c r="AP129" s="13" t="e">
        <f t="shared" ca="1" si="114"/>
        <v>#VALUE!</v>
      </c>
      <c r="AQ129" s="17" t="e">
        <f t="shared" ca="1" si="115"/>
        <v>#VALUE!</v>
      </c>
      <c r="AS129" s="15" t="e">
        <f t="shared" ca="1" si="116"/>
        <v>#VALUE!</v>
      </c>
      <c r="AT129" s="5">
        <f>'Exception Stores'!$D$2</f>
        <v>0.125</v>
      </c>
      <c r="AU129" s="15" t="e">
        <f t="shared" ca="1" si="117"/>
        <v>#VALUE!</v>
      </c>
      <c r="AV129" s="15" t="e">
        <f t="shared" ca="1" si="118"/>
        <v>#VALUE!</v>
      </c>
      <c r="AW129" s="15" t="e">
        <f t="shared" ca="1" si="119"/>
        <v>#VALUE!</v>
      </c>
      <c r="AX129" s="15" t="e">
        <f t="shared" ca="1" si="120"/>
        <v>#VALUE!</v>
      </c>
      <c r="AY129" s="15" t="e">
        <f t="shared" ca="1" si="121"/>
        <v>#VALUE!</v>
      </c>
      <c r="AZ129" s="1" t="e">
        <f t="shared" ca="1" si="122"/>
        <v>#VALUE!</v>
      </c>
      <c r="BA129" s="15" t="e">
        <f t="shared" ca="1" si="123"/>
        <v>#VALUE!</v>
      </c>
      <c r="BB129" s="15" t="e">
        <f t="shared" ca="1" si="124"/>
        <v>#VALUE!</v>
      </c>
      <c r="BC129" s="1" t="e">
        <f t="shared" ca="1" si="125"/>
        <v>#VALUE!</v>
      </c>
      <c r="BE129" s="15" t="str">
        <f>IF(ISBLANK('Exception Stores'!$A$6),"",'Exception Stores'!$A$6)</f>
        <v/>
      </c>
      <c r="BF129" s="15" t="str">
        <f>IF(ISBLANK('Exception Stores'!$B$6),"",'Exception Stores'!$B$6)</f>
        <v/>
      </c>
      <c r="BG129" s="1">
        <f>IF(ISBLANK('Exception Stores'!$A$6),0,IF($AN$2&gt;$BF$2,($AN$2-$BF$2)*24,0))</f>
        <v>0</v>
      </c>
      <c r="BH129" s="11">
        <f>IF(ISBLANK('Exception Stores'!$A$6),0,($BF$2-$BE$2)*24)</f>
        <v>0</v>
      </c>
      <c r="BI12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29" s="1">
        <f>IF(ISBLANK('Exception Stores'!$A$6),0,IF($AN$2&gt;$BF$2,0,IF(AND($AN$2&lt;$BF$2,$BT$2="B"),(($BF$2-$AN$2)*24)-$BS$2,($BF$2-$AN$2)*24)))</f>
        <v>0</v>
      </c>
      <c r="BL129" s="5"/>
      <c r="BM129" s="5"/>
      <c r="BN129" s="5"/>
      <c r="BO129" s="5"/>
      <c r="BP129" s="5"/>
      <c r="BV129" s="1" t="e">
        <f t="shared" ca="1" si="126"/>
        <v>#VALUE!</v>
      </c>
      <c r="BW129" s="1" t="e">
        <f t="shared" ca="1" si="127"/>
        <v>#VALUE!</v>
      </c>
      <c r="BX129" s="1" t="e">
        <f t="shared" ca="1" si="128"/>
        <v>#VALUE!</v>
      </c>
      <c r="BY129" s="1" t="e">
        <f t="shared" ca="1" si="129"/>
        <v>#VALUE!</v>
      </c>
      <c r="BZ129" s="1" t="e">
        <f t="shared" ca="1" si="130"/>
        <v>#VALUE!</v>
      </c>
      <c r="CB129" s="1" t="str">
        <f>IF(ISBLANK('Exception Stores'!$A$6),"",WEEKDAY($BF$2))</f>
        <v/>
      </c>
      <c r="CC129" s="1" t="str">
        <f>IF(ISBLANK('Exception Stores'!$A$6),"NO",IF('Exception Stores'!$A$6&lt;$AU$2,"YES","NO"))</f>
        <v>NO</v>
      </c>
      <c r="CD129" s="1" t="str">
        <f>IF(ISBLANK('Exception Stores'!$A$6),"NO",IF('Exception Stores'!$A$6&lt;$AV$2,"YES","NO"))</f>
        <v>NO</v>
      </c>
      <c r="CE129" s="1" t="str">
        <f>IF(ISBLANK('Exception Stores'!$A$6),"NO",IF('Exception Stores'!$A$6&lt;$AW$2,"YES","NO"))</f>
        <v>NO</v>
      </c>
      <c r="CF129" s="1" t="str">
        <f>IF(ISBLANK('Exception Stores'!$A$6),"NO",IF('Exception Stores'!$A$6&lt;$AX$2,"YES","NO"))</f>
        <v>NO</v>
      </c>
      <c r="CG129" s="1" t="str">
        <f>IF(ISBLANK('Exception Stores'!$A$6),"NO",IF('Exception Stores'!$A$6&lt;$AY$2,"YES","NO"))</f>
        <v>NO</v>
      </c>
      <c r="CI129" s="42" t="str">
        <f>IF(ISBLANK('Exception Stores'!$B$6),"NO",IF('Exception Stores'!$B$6&lt;=$AU$2,"YES","NO"))</f>
        <v>NO</v>
      </c>
      <c r="CJ129" s="42" t="str">
        <f>IF(ISBLANK('Exception Stores'!$B$6),"NO",IF('Exception Stores'!$B$6&lt;=$AV$2,"YES","NO"))</f>
        <v>NO</v>
      </c>
      <c r="CK129" s="1" t="str">
        <f>IF(ISBLANK('Exception Stores'!$B$6),"NO",IF('Exception Stores'!$B$6&lt;=$AW$2,"YES","NO"))</f>
        <v>NO</v>
      </c>
      <c r="CL129" s="1" t="str">
        <f>IF(ISBLANK('Exception Stores'!$B$6),"NO",IF('Exception Stores'!$B$6&lt;=$AX$2,"YES","NO"))</f>
        <v>NO</v>
      </c>
      <c r="CM129" s="1" t="str">
        <f>IF(ISBLANK('Exception Stores'!$B$6),"NO",IF('Exception Stores'!$B$6&lt;=$AY$2,"YES","NO"))</f>
        <v>NO</v>
      </c>
      <c r="CO129" s="1" t="e">
        <f ca="1">IF(AM129&lt;'Exception Stores'!$A$6,"YES","NO")</f>
        <v>#VALUE!</v>
      </c>
      <c r="CP129" s="1">
        <f t="shared" si="131"/>
        <v>0</v>
      </c>
      <c r="CQ129" s="1">
        <f t="shared" si="132"/>
        <v>0</v>
      </c>
      <c r="CR129" s="1">
        <f t="shared" si="133"/>
        <v>0</v>
      </c>
      <c r="CS129" s="1">
        <f t="shared" si="134"/>
        <v>0</v>
      </c>
      <c r="CT129" s="1">
        <f t="shared" si="135"/>
        <v>0</v>
      </c>
      <c r="CU129" s="1">
        <f t="shared" si="136"/>
        <v>0</v>
      </c>
      <c r="CW129" s="1" t="e">
        <f t="shared" ca="1" si="141"/>
        <v>#VALUE!</v>
      </c>
      <c r="CX129" s="1" t="e">
        <f t="shared" ca="1" si="142"/>
        <v>#VALUE!</v>
      </c>
      <c r="CY129" s="1" t="e">
        <f t="shared" ca="1" si="143"/>
        <v>#VALUE!</v>
      </c>
      <c r="CZ129" s="1" t="e">
        <f t="shared" ca="1" si="144"/>
        <v>#VALUE!</v>
      </c>
      <c r="DA129" s="1" t="e">
        <f t="shared" ca="1" si="145"/>
        <v>#VALUE!</v>
      </c>
      <c r="DB129" s="26" t="e">
        <f t="shared" ca="1" si="137"/>
        <v>#VALUE!</v>
      </c>
      <c r="DC129" s="1">
        <f t="shared" si="146"/>
        <v>0</v>
      </c>
      <c r="DD129" s="1">
        <f t="shared" si="147"/>
        <v>0</v>
      </c>
      <c r="DE129" s="1">
        <f t="shared" si="148"/>
        <v>0</v>
      </c>
      <c r="DF129" s="1">
        <f t="shared" si="149"/>
        <v>0</v>
      </c>
      <c r="DG129" s="1">
        <f t="shared" si="150"/>
        <v>0</v>
      </c>
      <c r="DH129" s="26">
        <f t="shared" si="138"/>
        <v>0</v>
      </c>
      <c r="DI129" s="1" t="e">
        <f t="shared" ca="1" si="139"/>
        <v>#VALUE!</v>
      </c>
      <c r="DK129" s="11" t="str">
        <f t="shared" si="151"/>
        <v/>
      </c>
      <c r="DL129" s="11" t="e">
        <f ca="1">IF(AND(NOT(ISBLANK('Exception Stores'!$A$6)),CO129="YES"),S129-$BH$2-(DI129*$BS$2)-(CU129*$BS$2),S129-(DB129*$BS$2))</f>
        <v>#VALUE!</v>
      </c>
      <c r="DM129" s="11" t="str">
        <f>IF(ISBLANK(A129),"",IF(COUNTIF(Remaps!$A$2:$A$200,B129)&gt;0,"YES",""))</f>
        <v>YES</v>
      </c>
      <c r="DN129" s="29">
        <f>IFERROR(INDEX(Remaps!$B$2:$B$200,MATCH(B129,Remaps!$A$2:$A$200,0),1),0)</f>
        <v>0</v>
      </c>
      <c r="DO129" s="11" t="e">
        <f t="shared" ca="1" si="152"/>
        <v>#VALUE!</v>
      </c>
      <c r="DP129" s="29" t="e">
        <f t="shared" si="153"/>
        <v>#VALUE!</v>
      </c>
      <c r="DQ129" s="11" t="e">
        <f ca="1">('Apollo Dock Status'!$Z$1-DP129)/DO129</f>
        <v>#VALUE!</v>
      </c>
      <c r="DR129" s="15" t="e">
        <f t="shared" ca="1" si="140"/>
        <v>#VALUE!</v>
      </c>
    </row>
    <row r="130" spans="1:122">
      <c r="A130" s="1" t="str">
        <f>IF(ISBLANK('Apollo Dock Status'!A130),"",'Apollo Dock Status'!A130)</f>
        <v/>
      </c>
      <c r="B130" s="1" t="str">
        <f>IF(ISBLANK('Apollo Dock Status'!B130),"",'Apollo Dock Status'!B130)</f>
        <v/>
      </c>
      <c r="C130" s="1" t="str">
        <f>IF(ISBLANK('Apollo Dock Status'!C130),"",'Apollo Dock Status'!C130)</f>
        <v/>
      </c>
      <c r="D130" s="1" t="str">
        <f>IF(ISBLANK('Apollo Dock Status'!D130),"",'Apollo Dock Status'!D130)</f>
        <v/>
      </c>
      <c r="E130" s="1" t="str">
        <f>IF(ISBLANK('Apollo Dock Status'!E130),"",'Apollo Dock Status'!E130)</f>
        <v/>
      </c>
      <c r="F130" s="1" t="str">
        <f>IF(ISBLANK('Apollo Dock Status'!F130),"",'Apollo Dock Status'!F130)</f>
        <v/>
      </c>
      <c r="G130" s="1" t="str">
        <f>IF(ISBLANK('Apollo Dock Status'!G130),"",'Apollo Dock Status'!G130)</f>
        <v/>
      </c>
      <c r="H130" s="1" t="str">
        <f>IF(ISBLANK('Apollo Dock Status'!H130),"",'Apollo Dock Status'!H130)</f>
        <v/>
      </c>
      <c r="I130" s="1" t="str">
        <f>IF(ISBLANK('Apollo Dock Status'!I130),"",'Apollo Dock Status'!I130)</f>
        <v/>
      </c>
      <c r="J130" s="1" t="str">
        <f>IF(ISBLANK('Apollo Dock Status'!J130),"",'Apollo Dock Status'!J130)</f>
        <v/>
      </c>
      <c r="K130" s="1" t="str">
        <f>IF(ISBLANK('Apollo Dock Status'!K130),"",'Apollo Dock Status'!K130)</f>
        <v/>
      </c>
      <c r="L130" s="1" t="str">
        <f>IF(ISBLANK('Apollo Dock Status'!L130),"",'Apollo Dock Status'!L130)</f>
        <v/>
      </c>
      <c r="M130" s="1" t="str">
        <f>IF(ISBLANK('Apollo Dock Status'!M130),"",'Apollo Dock Status'!M130)</f>
        <v/>
      </c>
      <c r="N130" s="1" t="str">
        <f>IF(ISBLANK('Apollo Dock Status'!N130),"",'Apollo Dock Status'!N130)</f>
        <v/>
      </c>
      <c r="O130" s="1" t="str">
        <f t="shared" si="90"/>
        <v/>
      </c>
      <c r="P130" s="1" t="str">
        <f t="shared" si="91"/>
        <v/>
      </c>
      <c r="Q130" s="1" t="str">
        <f t="shared" si="92"/>
        <v/>
      </c>
      <c r="R130" s="1" t="str">
        <f t="shared" si="93"/>
        <v/>
      </c>
      <c r="S130" s="11" t="str">
        <f t="shared" si="94"/>
        <v/>
      </c>
      <c r="T130" s="1" t="str">
        <f t="shared" si="95"/>
        <v/>
      </c>
      <c r="U130" s="11" t="str">
        <f t="shared" si="96"/>
        <v/>
      </c>
      <c r="V130" s="11" t="str">
        <f t="shared" si="97"/>
        <v/>
      </c>
      <c r="X130" s="1" t="str">
        <f t="shared" si="98"/>
        <v/>
      </c>
      <c r="Y130" s="1" t="str">
        <f t="shared" si="99"/>
        <v/>
      </c>
      <c r="Z130" s="1" t="str">
        <f t="shared" si="100"/>
        <v/>
      </c>
      <c r="AB130" s="13">
        <f t="shared" ca="1" si="101"/>
        <v>46176</v>
      </c>
      <c r="AC130" s="1">
        <f t="shared" ca="1" si="102"/>
        <v>2026</v>
      </c>
      <c r="AD130" s="1" t="str">
        <f t="shared" ca="1" si="103"/>
        <v>6</v>
      </c>
      <c r="AE130" s="1">
        <f t="shared" si="104"/>
        <v>1</v>
      </c>
      <c r="AF130" s="1" t="str">
        <f t="shared" si="105"/>
        <v/>
      </c>
      <c r="AG130" s="1">
        <f t="shared" ca="1" si="106"/>
        <v>2026</v>
      </c>
      <c r="AH130" s="1">
        <f t="shared" si="107"/>
        <v>1</v>
      </c>
      <c r="AI130" s="1" t="str">
        <f t="shared" ca="1" si="108"/>
        <v>6</v>
      </c>
      <c r="AJ130" s="13" t="e">
        <f t="shared" ca="1" si="109"/>
        <v>#VALUE!</v>
      </c>
      <c r="AK130" s="1" t="e">
        <f>IF(ISBLANK(A130),"",IFERROR(MID(F130,SEARCH(", ",F130)+LEN(", "),SEARCH(" "&amp;'Exception Stores'!$A$2,F130)-SEARCH(", ",F130)-LEN(", ")),MID(F130,SEARCH(", ",F130)+LEN(", "),SEARCH(" "&amp;'Exception Stores'!$B$2,F130)-SEARCH(", ",F130)-LEN(", "))))</f>
        <v>#VALUE!</v>
      </c>
      <c r="AL130" s="1" t="e">
        <f t="shared" si="110"/>
        <v>#VALUE!</v>
      </c>
      <c r="AM130" s="15" t="e">
        <f t="shared" ca="1" si="111"/>
        <v>#VALUE!</v>
      </c>
      <c r="AN130" s="24" t="e">
        <f t="shared" ca="1" si="112"/>
        <v>#VALUE!</v>
      </c>
      <c r="AO130" s="1" t="e">
        <f t="shared" ca="1" si="113"/>
        <v>#VALUE!</v>
      </c>
      <c r="AP130" s="13" t="e">
        <f t="shared" ca="1" si="114"/>
        <v>#VALUE!</v>
      </c>
      <c r="AQ130" s="17" t="e">
        <f t="shared" ca="1" si="115"/>
        <v>#VALUE!</v>
      </c>
      <c r="AS130" s="15" t="e">
        <f t="shared" ca="1" si="116"/>
        <v>#VALUE!</v>
      </c>
      <c r="AT130" s="5">
        <f>'Exception Stores'!$D$2</f>
        <v>0.125</v>
      </c>
      <c r="AU130" s="15" t="e">
        <f t="shared" ca="1" si="117"/>
        <v>#VALUE!</v>
      </c>
      <c r="AV130" s="15" t="e">
        <f t="shared" ca="1" si="118"/>
        <v>#VALUE!</v>
      </c>
      <c r="AW130" s="15" t="e">
        <f t="shared" ca="1" si="119"/>
        <v>#VALUE!</v>
      </c>
      <c r="AX130" s="15" t="e">
        <f t="shared" ca="1" si="120"/>
        <v>#VALUE!</v>
      </c>
      <c r="AY130" s="15" t="e">
        <f t="shared" ca="1" si="121"/>
        <v>#VALUE!</v>
      </c>
      <c r="AZ130" s="1" t="e">
        <f t="shared" ca="1" si="122"/>
        <v>#VALUE!</v>
      </c>
      <c r="BA130" s="15" t="e">
        <f t="shared" ca="1" si="123"/>
        <v>#VALUE!</v>
      </c>
      <c r="BB130" s="15" t="e">
        <f t="shared" ca="1" si="124"/>
        <v>#VALUE!</v>
      </c>
      <c r="BC130" s="1" t="e">
        <f t="shared" ca="1" si="125"/>
        <v>#VALUE!</v>
      </c>
      <c r="BE130" s="15" t="str">
        <f>IF(ISBLANK('Exception Stores'!$A$6),"",'Exception Stores'!$A$6)</f>
        <v/>
      </c>
      <c r="BF130" s="15" t="str">
        <f>IF(ISBLANK('Exception Stores'!$B$6),"",'Exception Stores'!$B$6)</f>
        <v/>
      </c>
      <c r="BG130" s="1">
        <f>IF(ISBLANK('Exception Stores'!$A$6),0,IF($AN$2&gt;$BF$2,($AN$2-$BF$2)*24,0))</f>
        <v>0</v>
      </c>
      <c r="BH130" s="11">
        <f>IF(ISBLANK('Exception Stores'!$A$6),0,($BF$2-$BE$2)*24)</f>
        <v>0</v>
      </c>
      <c r="BI13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30" s="1">
        <f>IF(ISBLANK('Exception Stores'!$A$6),0,IF($AN$2&gt;$BF$2,0,IF(AND($AN$2&lt;$BF$2,$BT$2="B"),(($BF$2-$AN$2)*24)-$BS$2,($BF$2-$AN$2)*24)))</f>
        <v>0</v>
      </c>
      <c r="BL130" s="5"/>
      <c r="BM130" s="5"/>
      <c r="BN130" s="5"/>
      <c r="BO130" s="5"/>
      <c r="BP130" s="5"/>
      <c r="BV130" s="1" t="e">
        <f t="shared" ca="1" si="126"/>
        <v>#VALUE!</v>
      </c>
      <c r="BW130" s="1" t="e">
        <f t="shared" ca="1" si="127"/>
        <v>#VALUE!</v>
      </c>
      <c r="BX130" s="1" t="e">
        <f t="shared" ca="1" si="128"/>
        <v>#VALUE!</v>
      </c>
      <c r="BY130" s="1" t="e">
        <f t="shared" ca="1" si="129"/>
        <v>#VALUE!</v>
      </c>
      <c r="BZ130" s="1" t="e">
        <f t="shared" ca="1" si="130"/>
        <v>#VALUE!</v>
      </c>
      <c r="CB130" s="1" t="str">
        <f>IF(ISBLANK('Exception Stores'!$A$6),"",WEEKDAY($BF$2))</f>
        <v/>
      </c>
      <c r="CC130" s="1" t="str">
        <f>IF(ISBLANK('Exception Stores'!$A$6),"NO",IF('Exception Stores'!$A$6&lt;$AU$2,"YES","NO"))</f>
        <v>NO</v>
      </c>
      <c r="CD130" s="1" t="str">
        <f>IF(ISBLANK('Exception Stores'!$A$6),"NO",IF('Exception Stores'!$A$6&lt;$AV$2,"YES","NO"))</f>
        <v>NO</v>
      </c>
      <c r="CE130" s="1" t="str">
        <f>IF(ISBLANK('Exception Stores'!$A$6),"NO",IF('Exception Stores'!$A$6&lt;$AW$2,"YES","NO"))</f>
        <v>NO</v>
      </c>
      <c r="CF130" s="1" t="str">
        <f>IF(ISBLANK('Exception Stores'!$A$6),"NO",IF('Exception Stores'!$A$6&lt;$AX$2,"YES","NO"))</f>
        <v>NO</v>
      </c>
      <c r="CG130" s="1" t="str">
        <f>IF(ISBLANK('Exception Stores'!$A$6),"NO",IF('Exception Stores'!$A$6&lt;$AY$2,"YES","NO"))</f>
        <v>NO</v>
      </c>
      <c r="CI130" s="42" t="str">
        <f>IF(ISBLANK('Exception Stores'!$B$6),"NO",IF('Exception Stores'!$B$6&lt;=$AU$2,"YES","NO"))</f>
        <v>NO</v>
      </c>
      <c r="CJ130" s="42" t="str">
        <f>IF(ISBLANK('Exception Stores'!$B$6),"NO",IF('Exception Stores'!$B$6&lt;=$AV$2,"YES","NO"))</f>
        <v>NO</v>
      </c>
      <c r="CK130" s="1" t="str">
        <f>IF(ISBLANK('Exception Stores'!$B$6),"NO",IF('Exception Stores'!$B$6&lt;=$AW$2,"YES","NO"))</f>
        <v>NO</v>
      </c>
      <c r="CL130" s="1" t="str">
        <f>IF(ISBLANK('Exception Stores'!$B$6),"NO",IF('Exception Stores'!$B$6&lt;=$AX$2,"YES","NO"))</f>
        <v>NO</v>
      </c>
      <c r="CM130" s="1" t="str">
        <f>IF(ISBLANK('Exception Stores'!$B$6),"NO",IF('Exception Stores'!$B$6&lt;=$AY$2,"YES","NO"))</f>
        <v>NO</v>
      </c>
      <c r="CO130" s="1" t="e">
        <f ca="1">IF(AM130&lt;'Exception Stores'!$A$6,"YES","NO")</f>
        <v>#VALUE!</v>
      </c>
      <c r="CP130" s="1">
        <f t="shared" si="131"/>
        <v>0</v>
      </c>
      <c r="CQ130" s="1">
        <f t="shared" si="132"/>
        <v>0</v>
      </c>
      <c r="CR130" s="1">
        <f t="shared" si="133"/>
        <v>0</v>
      </c>
      <c r="CS130" s="1">
        <f t="shared" si="134"/>
        <v>0</v>
      </c>
      <c r="CT130" s="1">
        <f t="shared" si="135"/>
        <v>0</v>
      </c>
      <c r="CU130" s="1">
        <f t="shared" si="136"/>
        <v>0</v>
      </c>
      <c r="CW130" s="1" t="e">
        <f t="shared" ref="CW130:CW161" ca="1" si="154">IF(BV130="NO",0,1)</f>
        <v>#VALUE!</v>
      </c>
      <c r="CX130" s="1" t="e">
        <f t="shared" ref="CX130:CX161" ca="1" si="155">IF(BW130="NO",0,1)</f>
        <v>#VALUE!</v>
      </c>
      <c r="CY130" s="1" t="e">
        <f t="shared" ref="CY130:CY161" ca="1" si="156">IF(BX130="NO",0,1)</f>
        <v>#VALUE!</v>
      </c>
      <c r="CZ130" s="1" t="e">
        <f t="shared" ref="CZ130:CZ161" ca="1" si="157">IF(BY130="NO",0,1)</f>
        <v>#VALUE!</v>
      </c>
      <c r="DA130" s="1" t="e">
        <f t="shared" ref="DA130:DA161" ca="1" si="158">IF(BZ130="NO",0,1)</f>
        <v>#VALUE!</v>
      </c>
      <c r="DB130" s="26" t="e">
        <f t="shared" ca="1" si="137"/>
        <v>#VALUE!</v>
      </c>
      <c r="DC130" s="1">
        <f t="shared" ref="DC130:DC161" si="159">IF(CC130="NO",0,1)</f>
        <v>0</v>
      </c>
      <c r="DD130" s="1">
        <f t="shared" ref="DD130:DD161" si="160">IF(CD130="NO",0,1)</f>
        <v>0</v>
      </c>
      <c r="DE130" s="1">
        <f t="shared" ref="DE130:DE161" si="161">IF(CE130="NO",0,1)</f>
        <v>0</v>
      </c>
      <c r="DF130" s="1">
        <f t="shared" ref="DF130:DF161" si="162">IF(CF130="NO",0,1)</f>
        <v>0</v>
      </c>
      <c r="DG130" s="1">
        <f t="shared" ref="DG130:DG161" si="163">IF(CG130="NO",0,1)</f>
        <v>0</v>
      </c>
      <c r="DH130" s="26">
        <f t="shared" si="138"/>
        <v>0</v>
      </c>
      <c r="DI130" s="1" t="e">
        <f t="shared" ca="1" si="139"/>
        <v>#VALUE!</v>
      </c>
      <c r="DK130" s="11" t="str">
        <f t="shared" ref="DK130:DK161" si="164">S130</f>
        <v/>
      </c>
      <c r="DL130" s="11" t="e">
        <f ca="1">IF(AND(NOT(ISBLANK('Exception Stores'!$A$6)),CO130="YES"),S130-$BH$2-(DI130*$BS$2)-(CU130*$BS$2),S130-(DB130*$BS$2))</f>
        <v>#VALUE!</v>
      </c>
      <c r="DM130" s="11" t="str">
        <f>IF(ISBLANK(A130),"",IF(COUNTIF(Remaps!$A$2:$A$200,B130)&gt;0,"YES",""))</f>
        <v>YES</v>
      </c>
      <c r="DN130" s="29">
        <f>IFERROR(INDEX(Remaps!$B$2:$B$200,MATCH(B130,Remaps!$A$2:$A$200,0),1),0)</f>
        <v>0</v>
      </c>
      <c r="DO130" s="11" t="e">
        <f t="shared" ref="DO130:DO161" ca="1" si="165">K130/DL130</f>
        <v>#VALUE!</v>
      </c>
      <c r="DP130" s="29" t="e">
        <f t="shared" ref="DP130:DP161" si="166">DN130+K130</f>
        <v>#VALUE!</v>
      </c>
      <c r="DQ130" s="11" t="e">
        <f ca="1">('Apollo Dock Status'!$Z$1-DP130)/DO130</f>
        <v>#VALUE!</v>
      </c>
      <c r="DR130" s="15" t="e">
        <f t="shared" ca="1" si="140"/>
        <v>#VALUE!</v>
      </c>
    </row>
    <row r="131" spans="1:122">
      <c r="A131" s="1" t="str">
        <f>IF(ISBLANK('Apollo Dock Status'!A131),"",'Apollo Dock Status'!A131)</f>
        <v/>
      </c>
      <c r="B131" s="1" t="str">
        <f>IF(ISBLANK('Apollo Dock Status'!B131),"",'Apollo Dock Status'!B131)</f>
        <v/>
      </c>
      <c r="C131" s="1" t="str">
        <f>IF(ISBLANK('Apollo Dock Status'!C131),"",'Apollo Dock Status'!C131)</f>
        <v/>
      </c>
      <c r="D131" s="1" t="str">
        <f>IF(ISBLANK('Apollo Dock Status'!D131),"",'Apollo Dock Status'!D131)</f>
        <v/>
      </c>
      <c r="E131" s="1" t="str">
        <f>IF(ISBLANK('Apollo Dock Status'!E131),"",'Apollo Dock Status'!E131)</f>
        <v/>
      </c>
      <c r="F131" s="1" t="str">
        <f>IF(ISBLANK('Apollo Dock Status'!F131),"",'Apollo Dock Status'!F131)</f>
        <v/>
      </c>
      <c r="G131" s="1" t="str">
        <f>IF(ISBLANK('Apollo Dock Status'!G131),"",'Apollo Dock Status'!G131)</f>
        <v/>
      </c>
      <c r="H131" s="1" t="str">
        <f>IF(ISBLANK('Apollo Dock Status'!H131),"",'Apollo Dock Status'!H131)</f>
        <v/>
      </c>
      <c r="I131" s="1" t="str">
        <f>IF(ISBLANK('Apollo Dock Status'!I131),"",'Apollo Dock Status'!I131)</f>
        <v/>
      </c>
      <c r="J131" s="1" t="str">
        <f>IF(ISBLANK('Apollo Dock Status'!J131),"",'Apollo Dock Status'!J131)</f>
        <v/>
      </c>
      <c r="K131" s="1" t="str">
        <f>IF(ISBLANK('Apollo Dock Status'!K131),"",'Apollo Dock Status'!K131)</f>
        <v/>
      </c>
      <c r="L131" s="1" t="str">
        <f>IF(ISBLANK('Apollo Dock Status'!L131),"",'Apollo Dock Status'!L131)</f>
        <v/>
      </c>
      <c r="M131" s="1" t="str">
        <f>IF(ISBLANK('Apollo Dock Status'!M131),"",'Apollo Dock Status'!M131)</f>
        <v/>
      </c>
      <c r="N131" s="1" t="str">
        <f>IF(ISBLANK('Apollo Dock Status'!N131),"",'Apollo Dock Status'!N131)</f>
        <v/>
      </c>
      <c r="O131" s="1" t="str">
        <f t="shared" ref="O131:O194" si="167">IF(ISBLANK(A131),"",G131)</f>
        <v/>
      </c>
      <c r="P131" s="1" t="str">
        <f t="shared" ref="P131:P194" si="168">IFERROR(LEFT(O131,(FIND(" hr",O131, 1)-1)),"")</f>
        <v/>
      </c>
      <c r="Q131" s="1" t="str">
        <f t="shared" ref="Q131:Q194" si="169">RIGHT(O131, 6)</f>
        <v/>
      </c>
      <c r="R131" s="1" t="str">
        <f t="shared" ref="R131:R194" si="170">LEFT(Q131, 2)</f>
        <v/>
      </c>
      <c r="S131" s="11" t="str">
        <f t="shared" ref="S131:S194" si="171">IFERROR(P131+R131/60,"")</f>
        <v/>
      </c>
      <c r="T131" s="1" t="str">
        <f t="shared" ref="T131:T194" si="172">IF(ISBLANK(A131),"",K131)</f>
        <v/>
      </c>
      <c r="U131" s="11" t="str">
        <f t="shared" ref="U131:U194" si="173">IFERROR(T131/S131,"")</f>
        <v/>
      </c>
      <c r="V131" s="11" t="str">
        <f t="shared" ref="V131:V194" si="174">IFERROR(I131/S131,"")</f>
        <v/>
      </c>
      <c r="X131" s="1" t="str">
        <f t="shared" ref="X131:X194" si="175">IF(ISBLANK(A131),"",B131)</f>
        <v/>
      </c>
      <c r="Y131" s="1" t="str">
        <f t="shared" ref="Y131:Y194" si="176">IF(ISBLANK(A131),"",C131)</f>
        <v/>
      </c>
      <c r="Z131" s="1" t="str">
        <f t="shared" ref="Z131:Z194" si="177">IF(ISBLANK(A131),"",RIGHT(A131,3))</f>
        <v/>
      </c>
      <c r="AB131" s="13">
        <f t="shared" ref="AB131:AB194" ca="1" si="178">IF(ISBLANK(A131),"",TODAY())</f>
        <v>46176</v>
      </c>
      <c r="AC131" s="1">
        <f t="shared" ref="AC131:AC194" ca="1" si="179">IF(ISBLANK(A131),"",YEAR($AB$2))</f>
        <v>2026</v>
      </c>
      <c r="AD131" s="1" t="str">
        <f t="shared" ref="AD131:AD194" ca="1" si="180">TEXT(AB131,"m")</f>
        <v>6</v>
      </c>
      <c r="AE131" s="1">
        <f t="shared" ref="AE131:AE194" si="181">IF(ISBLANK(A131),"",MONTH(1&amp;LEFT(F131,3)))</f>
        <v>1</v>
      </c>
      <c r="AF131" s="1" t="str">
        <f t="shared" ref="AF131:AF194" si="182">IF(ISBLANK(A131),"",MID(F131,5,2))</f>
        <v/>
      </c>
      <c r="AG131" s="1">
        <f t="shared" ref="AG131:AG194" ca="1" si="183">IF(ISBLANK(A131),"",IF(AND(VALUE($AI131)=1,VALUE($AH131)=12),$AC131-1,$AC131))</f>
        <v>2026</v>
      </c>
      <c r="AH131" s="1">
        <f t="shared" ref="AH131:AH194" si="184">AE131</f>
        <v>1</v>
      </c>
      <c r="AI131" s="1" t="str">
        <f t="shared" ref="AI131:AI194" ca="1" si="185">AD131</f>
        <v>6</v>
      </c>
      <c r="AJ131" s="13" t="e">
        <f t="shared" ref="AJ131:AJ194" ca="1" si="186">IF(ISBLANK(A131),"",DATE(AG131,AE131,AF131))</f>
        <v>#VALUE!</v>
      </c>
      <c r="AK131" s="1" t="e">
        <f>IF(ISBLANK(A131),"",IFERROR(MID(F131,SEARCH(", ",F131)+LEN(", "),SEARCH(" "&amp;'Exception Stores'!$A$2,F131)-SEARCH(", ",F131)-LEN(", ")),MID(F131,SEARCH(", ",F131)+LEN(", "),SEARCH(" "&amp;'Exception Stores'!$B$2,F131)-SEARCH(", ",F131)-LEN(", "))))</f>
        <v>#VALUE!</v>
      </c>
      <c r="AL131" s="1" t="e">
        <f t="shared" ref="AL131:AL194" si="187">IF(ISBLANK(A131),"",TEXT(AK131,"[hh]:mm"))</f>
        <v>#VALUE!</v>
      </c>
      <c r="AM131" s="15" t="e">
        <f t="shared" ref="AM131:AM194" ca="1" si="188">IF(ISBLANK(A131),"",AJ131+AL131)</f>
        <v>#VALUE!</v>
      </c>
      <c r="AN131" s="24" t="e">
        <f t="shared" ref="AN131:AN194" ca="1" si="189">IF(ISBLANK(A131),"",AM131+S131/24)</f>
        <v>#VALUE!</v>
      </c>
      <c r="AO131" s="1" t="e">
        <f t="shared" ref="AO131:AO194" ca="1" si="190">IF(ISBLANK(A131),"",WEEKDAY($AN$2))</f>
        <v>#VALUE!</v>
      </c>
      <c r="AP131" s="13" t="e">
        <f t="shared" ref="AP131:AP194" ca="1" si="191">IF(ISBLANK(A131),"",INT($AN$2))</f>
        <v>#VALUE!</v>
      </c>
      <c r="AQ131" s="17" t="e">
        <f t="shared" ref="AQ131:AQ194" ca="1" si="192">IF(ISBLANK(A131),"",$AN$2-INT($AN$2))</f>
        <v>#VALUE!</v>
      </c>
      <c r="AS131" s="15" t="e">
        <f t="shared" ref="AS131:AS194" ca="1" si="193">IF(ISBLANK(A131),"",AM131)</f>
        <v>#VALUE!</v>
      </c>
      <c r="AT131" s="5">
        <f>'Exception Stores'!$D$2</f>
        <v>0.125</v>
      </c>
      <c r="AU131" s="15" t="e">
        <f t="shared" ref="AU131:AU194" ca="1" si="194">IF($AZ$2=1,$BA$2-4,IF($AZ$2=2,$BA$2-5,IF($AZ$2=3,$BA$2-6,$BA$2-7)))</f>
        <v>#VALUE!</v>
      </c>
      <c r="AV131" s="15" t="e">
        <f t="shared" ref="AV131:AV194" ca="1" si="195">IF(OR($AZ$2=1,$AZ$2=7),$BA$2-3,IF($AZ$2=2,$BA$2-4,IF($AZ$2=3,$BA$2-5,$BA$2-6)))</f>
        <v>#VALUE!</v>
      </c>
      <c r="AW131" s="15" t="e">
        <f t="shared" ref="AW131:AW194" ca="1" si="196">IF(OR($AZ$2=4,$AZ$2=5),$BA$2-5,IF($AZ$2=3,$BA$2-4,IF($AZ$2=2,$BA$2-3,$BA$2-2)))</f>
        <v>#VALUE!</v>
      </c>
      <c r="AX131" s="15" t="e">
        <f t="shared" ref="AX131:AX194" ca="1" si="197">IF($AZ$2=4,$BA$2-4,IF($AZ$2=3,$BA$2-3,IF($AZ$2=2,$BA$2-2,$BA$2-1)))</f>
        <v>#VALUE!</v>
      </c>
      <c r="AY131" s="15" t="e">
        <f t="shared" ref="AY131:AY194" ca="1" si="198">IF($AO$2=1,$AP$2-1+$AT$2,IF($AO$2=2,$AP$2-2+$AT$2,IF($AO$2=3,$AP$2-3+$AT$2,IF(AND($AQ$2&lt;$AT$2,$AO$2=4),$AP$2-4+$AT$2,IF(AND($AQ$2&lt;$AT$2,OR($AO$2=5,$AO$2=6,$AO$2=7)),$AP$2-1+$AT$2,$AP$2+$AT$2)))))</f>
        <v>#VALUE!</v>
      </c>
      <c r="AZ131" s="1" t="e">
        <f t="shared" ref="AZ131:AZ194" ca="1" si="199">WEEKDAY($BA$2)</f>
        <v>#VALUE!</v>
      </c>
      <c r="BA131" s="15" t="e">
        <f t="shared" ref="BA131:BA194" ca="1" si="200">IF($AO$2=1,$AP$2-1+$AT$2,IF($AO$2=2,$AP$2-2+$AT$2,IF($AO$2=3,$AP$2-3+$AT$2,IF(AND($AQ$2&lt;$AT$2,$AO$2=4),$AP$2-4+$AT$2,IF(AND($AQ$2&lt;$AT$2,OR($AO$2=5,$AO$2=6,$AO$2=7)),$AP$2-1+$AT$2,$AP$2+$AT$2)))))</f>
        <v>#VALUE!</v>
      </c>
      <c r="BB131" s="15" t="e">
        <f t="shared" ref="BB131:BB194" ca="1" si="201">IF(AND($AQ$2&lt;$AT$2,OR($AO$2=4,$AO$2=5,$AO$2=6,$AO$2=7)),$AP$2+$AT$2,IF(AND($AQ$2&gt;=$AT$2,OR($AO$2=3,$AO$2=4,$AO$2=5,$AO$2=6)),$AP$2+1+$AT$2,IF(AND($AO$2=7,$AQ$2&gt;=$AT$2),$AP$2+4+$AT$2,IF($AO$2=1,$AP$2+3+$AT$2,IF($AO$2=2,$AP$2+2+$AT$2,$AP$2+1+$AT$2)))))</f>
        <v>#VALUE!</v>
      </c>
      <c r="BC131" s="1" t="e">
        <f t="shared" ref="BC131:BC194" ca="1" si="202">IF(ISBLANK(A131),"",WEEKDAY(AM131))</f>
        <v>#VALUE!</v>
      </c>
      <c r="BE131" s="15" t="str">
        <f>IF(ISBLANK('Exception Stores'!$A$6),"",'Exception Stores'!$A$6)</f>
        <v/>
      </c>
      <c r="BF131" s="15" t="str">
        <f>IF(ISBLANK('Exception Stores'!$B$6),"",'Exception Stores'!$B$6)</f>
        <v/>
      </c>
      <c r="BG131" s="1">
        <f>IF(ISBLANK('Exception Stores'!$A$6),0,IF($AN$2&gt;$BF$2,($AN$2-$BF$2)*24,0))</f>
        <v>0</v>
      </c>
      <c r="BH131" s="11">
        <f>IF(ISBLANK('Exception Stores'!$A$6),0,($BF$2-$BE$2)*24)</f>
        <v>0</v>
      </c>
      <c r="BI13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31" s="1">
        <f>IF(ISBLANK('Exception Stores'!$A$6),0,IF($AN$2&gt;$BF$2,0,IF(AND($AN$2&lt;$BF$2,$BT$2="B"),(($BF$2-$AN$2)*24)-$BS$2,($BF$2-$AN$2)*24)))</f>
        <v>0</v>
      </c>
      <c r="BL131" s="5"/>
      <c r="BM131" s="5"/>
      <c r="BN131" s="5"/>
      <c r="BO131" s="5"/>
      <c r="BP131" s="5"/>
      <c r="BV131" s="1" t="e">
        <f t="shared" ref="BV131:BV194" ca="1" si="203">IF(ISBLANK(A131),"",IF(AM131&lt;$AU$2,"YES","NO"))</f>
        <v>#VALUE!</v>
      </c>
      <c r="BW131" s="1" t="e">
        <f t="shared" ref="BW131:BW194" ca="1" si="204">IF(ISBLANK(A131),"",IF(AM131&lt;$AV$2,"YES","NO"))</f>
        <v>#VALUE!</v>
      </c>
      <c r="BX131" s="1" t="e">
        <f t="shared" ref="BX131:BX194" ca="1" si="205">IF(ISBLANK(A131),"",IF(AM131&lt;$AW$2,"YES","NO"))</f>
        <v>#VALUE!</v>
      </c>
      <c r="BY131" s="1" t="e">
        <f t="shared" ref="BY131:BY194" ca="1" si="206">IF(ISBLANK(A131),"",IF(AM131&lt;$AX$2,"YES","NO"))</f>
        <v>#VALUE!</v>
      </c>
      <c r="BZ131" s="1" t="e">
        <f t="shared" ref="BZ131:BZ194" ca="1" si="207">IF(ISBLANK(A131),"",IF(AM131&lt;$BA$2,"YES","NO"))</f>
        <v>#VALUE!</v>
      </c>
      <c r="CB131" s="1" t="str">
        <f>IF(ISBLANK('Exception Stores'!$A$6),"",WEEKDAY($BF$2))</f>
        <v/>
      </c>
      <c r="CC131" s="1" t="str">
        <f>IF(ISBLANK('Exception Stores'!$A$6),"NO",IF('Exception Stores'!$A$6&lt;$AU$2,"YES","NO"))</f>
        <v>NO</v>
      </c>
      <c r="CD131" s="1" t="str">
        <f>IF(ISBLANK('Exception Stores'!$A$6),"NO",IF('Exception Stores'!$A$6&lt;$AV$2,"YES","NO"))</f>
        <v>NO</v>
      </c>
      <c r="CE131" s="1" t="str">
        <f>IF(ISBLANK('Exception Stores'!$A$6),"NO",IF('Exception Stores'!$A$6&lt;$AW$2,"YES","NO"))</f>
        <v>NO</v>
      </c>
      <c r="CF131" s="1" t="str">
        <f>IF(ISBLANK('Exception Stores'!$A$6),"NO",IF('Exception Stores'!$A$6&lt;$AX$2,"YES","NO"))</f>
        <v>NO</v>
      </c>
      <c r="CG131" s="1" t="str">
        <f>IF(ISBLANK('Exception Stores'!$A$6),"NO",IF('Exception Stores'!$A$6&lt;$AY$2,"YES","NO"))</f>
        <v>NO</v>
      </c>
      <c r="CI131" s="42" t="str">
        <f>IF(ISBLANK('Exception Stores'!$B$6),"NO",IF('Exception Stores'!$B$6&lt;=$AU$2,"YES","NO"))</f>
        <v>NO</v>
      </c>
      <c r="CJ131" s="42" t="str">
        <f>IF(ISBLANK('Exception Stores'!$B$6),"NO",IF('Exception Stores'!$B$6&lt;=$AV$2,"YES","NO"))</f>
        <v>NO</v>
      </c>
      <c r="CK131" s="1" t="str">
        <f>IF(ISBLANK('Exception Stores'!$B$6),"NO",IF('Exception Stores'!$B$6&lt;=$AW$2,"YES","NO"))</f>
        <v>NO</v>
      </c>
      <c r="CL131" s="1" t="str">
        <f>IF(ISBLANK('Exception Stores'!$B$6),"NO",IF('Exception Stores'!$B$6&lt;=$AX$2,"YES","NO"))</f>
        <v>NO</v>
      </c>
      <c r="CM131" s="1" t="str">
        <f>IF(ISBLANK('Exception Stores'!$B$6),"NO",IF('Exception Stores'!$B$6&lt;=$AY$2,"YES","NO"))</f>
        <v>NO</v>
      </c>
      <c r="CO131" s="1" t="e">
        <f ca="1">IF(AM131&lt;'Exception Stores'!$A$6,"YES","NO")</f>
        <v>#VALUE!</v>
      </c>
      <c r="CP131" s="1">
        <f t="shared" ref="CP131:CP194" si="208">IF(CI131="NO",0,1)</f>
        <v>0</v>
      </c>
      <c r="CQ131" s="1">
        <f t="shared" ref="CQ131:CQ194" si="209">IF(CJ131="NO",0,1)</f>
        <v>0</v>
      </c>
      <c r="CR131" s="1">
        <f t="shared" ref="CR131:CR194" si="210">IF(CK131="NO",0,1)</f>
        <v>0</v>
      </c>
      <c r="CS131" s="1">
        <f t="shared" ref="CS131:CS194" si="211">IF(CL131="NO",0,1)</f>
        <v>0</v>
      </c>
      <c r="CT131" s="1">
        <f t="shared" ref="CT131:CT194" si="212">IF(CM131="NO",0,1)</f>
        <v>0</v>
      </c>
      <c r="CU131" s="1">
        <f t="shared" ref="CU131:CU194" si="213">SUM(CP131:CT131)</f>
        <v>0</v>
      </c>
      <c r="CW131" s="1" t="e">
        <f t="shared" ca="1" si="154"/>
        <v>#VALUE!</v>
      </c>
      <c r="CX131" s="1" t="e">
        <f t="shared" ca="1" si="155"/>
        <v>#VALUE!</v>
      </c>
      <c r="CY131" s="1" t="e">
        <f t="shared" ca="1" si="156"/>
        <v>#VALUE!</v>
      </c>
      <c r="CZ131" s="1" t="e">
        <f t="shared" ca="1" si="157"/>
        <v>#VALUE!</v>
      </c>
      <c r="DA131" s="1" t="e">
        <f t="shared" ca="1" si="158"/>
        <v>#VALUE!</v>
      </c>
      <c r="DB131" s="26" t="e">
        <f t="shared" ref="DB131:DB194" ca="1" si="214">SUM(CW131:DA131)</f>
        <v>#VALUE!</v>
      </c>
      <c r="DC131" s="1">
        <f t="shared" si="159"/>
        <v>0</v>
      </c>
      <c r="DD131" s="1">
        <f t="shared" si="160"/>
        <v>0</v>
      </c>
      <c r="DE131" s="1">
        <f t="shared" si="161"/>
        <v>0</v>
      </c>
      <c r="DF131" s="1">
        <f t="shared" si="162"/>
        <v>0</v>
      </c>
      <c r="DG131" s="1">
        <f t="shared" si="163"/>
        <v>0</v>
      </c>
      <c r="DH131" s="26">
        <f t="shared" ref="DH131:DH194" si="215">SUM(DC131:DG131)</f>
        <v>0</v>
      </c>
      <c r="DI131" s="1" t="e">
        <f t="shared" ref="DI131:DI194" ca="1" si="216">IF(DB131&gt;DH131,DB131-DH131,0)</f>
        <v>#VALUE!</v>
      </c>
      <c r="DK131" s="11" t="str">
        <f t="shared" si="164"/>
        <v/>
      </c>
      <c r="DL131" s="11" t="e">
        <f ca="1">IF(AND(NOT(ISBLANK('Exception Stores'!$A$6)),CO131="YES"),S131-$BH$2-(DI131*$BS$2)-(CU131*$BS$2),S131-(DB131*$BS$2))</f>
        <v>#VALUE!</v>
      </c>
      <c r="DM131" s="11" t="str">
        <f>IF(ISBLANK(A131),"",IF(COUNTIF(Remaps!$A$2:$A$200,B131)&gt;0,"YES",""))</f>
        <v>YES</v>
      </c>
      <c r="DN131" s="29">
        <f>IFERROR(INDEX(Remaps!$B$2:$B$200,MATCH(B131,Remaps!$A$2:$A$200,0),1),0)</f>
        <v>0</v>
      </c>
      <c r="DO131" s="11" t="e">
        <f t="shared" ca="1" si="165"/>
        <v>#VALUE!</v>
      </c>
      <c r="DP131" s="29" t="e">
        <f t="shared" si="166"/>
        <v>#VALUE!</v>
      </c>
      <c r="DQ131" s="11" t="e">
        <f ca="1">('Apollo Dock Status'!$Z$1-DP131)/DO131</f>
        <v>#VALUE!</v>
      </c>
      <c r="DR131" s="15" t="e">
        <f t="shared" ref="DR131:DR194" ca="1" si="217">$AN$2+(DQ131/24)</f>
        <v>#VALUE!</v>
      </c>
    </row>
    <row r="132" spans="1:122">
      <c r="A132" s="1" t="str">
        <f>IF(ISBLANK('Apollo Dock Status'!A132),"",'Apollo Dock Status'!A132)</f>
        <v/>
      </c>
      <c r="B132" s="1" t="str">
        <f>IF(ISBLANK('Apollo Dock Status'!B132),"",'Apollo Dock Status'!B132)</f>
        <v/>
      </c>
      <c r="C132" s="1" t="str">
        <f>IF(ISBLANK('Apollo Dock Status'!C132),"",'Apollo Dock Status'!C132)</f>
        <v/>
      </c>
      <c r="D132" s="1" t="str">
        <f>IF(ISBLANK('Apollo Dock Status'!D132),"",'Apollo Dock Status'!D132)</f>
        <v/>
      </c>
      <c r="E132" s="1" t="str">
        <f>IF(ISBLANK('Apollo Dock Status'!E132),"",'Apollo Dock Status'!E132)</f>
        <v/>
      </c>
      <c r="F132" s="1" t="str">
        <f>IF(ISBLANK('Apollo Dock Status'!F132),"",'Apollo Dock Status'!F132)</f>
        <v/>
      </c>
      <c r="G132" s="1" t="str">
        <f>IF(ISBLANK('Apollo Dock Status'!G132),"",'Apollo Dock Status'!G132)</f>
        <v/>
      </c>
      <c r="H132" s="1" t="str">
        <f>IF(ISBLANK('Apollo Dock Status'!H132),"",'Apollo Dock Status'!H132)</f>
        <v/>
      </c>
      <c r="I132" s="1" t="str">
        <f>IF(ISBLANK('Apollo Dock Status'!I132),"",'Apollo Dock Status'!I132)</f>
        <v/>
      </c>
      <c r="J132" s="1" t="str">
        <f>IF(ISBLANK('Apollo Dock Status'!J132),"",'Apollo Dock Status'!J132)</f>
        <v/>
      </c>
      <c r="K132" s="1" t="str">
        <f>IF(ISBLANK('Apollo Dock Status'!K132),"",'Apollo Dock Status'!K132)</f>
        <v/>
      </c>
      <c r="L132" s="1" t="str">
        <f>IF(ISBLANK('Apollo Dock Status'!L132),"",'Apollo Dock Status'!L132)</f>
        <v/>
      </c>
      <c r="M132" s="1" t="str">
        <f>IF(ISBLANK('Apollo Dock Status'!M132),"",'Apollo Dock Status'!M132)</f>
        <v/>
      </c>
      <c r="N132" s="1" t="str">
        <f>IF(ISBLANK('Apollo Dock Status'!N132),"",'Apollo Dock Status'!N132)</f>
        <v/>
      </c>
      <c r="O132" s="1" t="str">
        <f t="shared" si="167"/>
        <v/>
      </c>
      <c r="P132" s="1" t="str">
        <f t="shared" si="168"/>
        <v/>
      </c>
      <c r="Q132" s="1" t="str">
        <f t="shared" si="169"/>
        <v/>
      </c>
      <c r="R132" s="1" t="str">
        <f t="shared" si="170"/>
        <v/>
      </c>
      <c r="S132" s="11" t="str">
        <f t="shared" si="171"/>
        <v/>
      </c>
      <c r="T132" s="1" t="str">
        <f t="shared" si="172"/>
        <v/>
      </c>
      <c r="U132" s="11" t="str">
        <f t="shared" si="173"/>
        <v/>
      </c>
      <c r="V132" s="11" t="str">
        <f t="shared" si="174"/>
        <v/>
      </c>
      <c r="X132" s="1" t="str">
        <f t="shared" si="175"/>
        <v/>
      </c>
      <c r="Y132" s="1" t="str">
        <f t="shared" si="176"/>
        <v/>
      </c>
      <c r="Z132" s="1" t="str">
        <f t="shared" si="177"/>
        <v/>
      </c>
      <c r="AB132" s="13">
        <f t="shared" ca="1" si="178"/>
        <v>46176</v>
      </c>
      <c r="AC132" s="1">
        <f t="shared" ca="1" si="179"/>
        <v>2026</v>
      </c>
      <c r="AD132" s="1" t="str">
        <f t="shared" ca="1" si="180"/>
        <v>6</v>
      </c>
      <c r="AE132" s="1">
        <f t="shared" si="181"/>
        <v>1</v>
      </c>
      <c r="AF132" s="1" t="str">
        <f t="shared" si="182"/>
        <v/>
      </c>
      <c r="AG132" s="1">
        <f t="shared" ca="1" si="183"/>
        <v>2026</v>
      </c>
      <c r="AH132" s="1">
        <f t="shared" si="184"/>
        <v>1</v>
      </c>
      <c r="AI132" s="1" t="str">
        <f t="shared" ca="1" si="185"/>
        <v>6</v>
      </c>
      <c r="AJ132" s="13" t="e">
        <f t="shared" ca="1" si="186"/>
        <v>#VALUE!</v>
      </c>
      <c r="AK132" s="1" t="e">
        <f>IF(ISBLANK(A132),"",IFERROR(MID(F132,SEARCH(", ",F132)+LEN(", "),SEARCH(" "&amp;'Exception Stores'!$A$2,F132)-SEARCH(", ",F132)-LEN(", ")),MID(F132,SEARCH(", ",F132)+LEN(", "),SEARCH(" "&amp;'Exception Stores'!$B$2,F132)-SEARCH(", ",F132)-LEN(", "))))</f>
        <v>#VALUE!</v>
      </c>
      <c r="AL132" s="1" t="e">
        <f t="shared" si="187"/>
        <v>#VALUE!</v>
      </c>
      <c r="AM132" s="15" t="e">
        <f t="shared" ca="1" si="188"/>
        <v>#VALUE!</v>
      </c>
      <c r="AN132" s="24" t="e">
        <f t="shared" ca="1" si="189"/>
        <v>#VALUE!</v>
      </c>
      <c r="AO132" s="1" t="e">
        <f t="shared" ca="1" si="190"/>
        <v>#VALUE!</v>
      </c>
      <c r="AP132" s="13" t="e">
        <f t="shared" ca="1" si="191"/>
        <v>#VALUE!</v>
      </c>
      <c r="AQ132" s="17" t="e">
        <f t="shared" ca="1" si="192"/>
        <v>#VALUE!</v>
      </c>
      <c r="AS132" s="15" t="e">
        <f t="shared" ca="1" si="193"/>
        <v>#VALUE!</v>
      </c>
      <c r="AT132" s="5">
        <f>'Exception Stores'!$D$2</f>
        <v>0.125</v>
      </c>
      <c r="AU132" s="15" t="e">
        <f t="shared" ca="1" si="194"/>
        <v>#VALUE!</v>
      </c>
      <c r="AV132" s="15" t="e">
        <f t="shared" ca="1" si="195"/>
        <v>#VALUE!</v>
      </c>
      <c r="AW132" s="15" t="e">
        <f t="shared" ca="1" si="196"/>
        <v>#VALUE!</v>
      </c>
      <c r="AX132" s="15" t="e">
        <f t="shared" ca="1" si="197"/>
        <v>#VALUE!</v>
      </c>
      <c r="AY132" s="15" t="e">
        <f t="shared" ca="1" si="198"/>
        <v>#VALUE!</v>
      </c>
      <c r="AZ132" s="1" t="e">
        <f t="shared" ca="1" si="199"/>
        <v>#VALUE!</v>
      </c>
      <c r="BA132" s="15" t="e">
        <f t="shared" ca="1" si="200"/>
        <v>#VALUE!</v>
      </c>
      <c r="BB132" s="15" t="e">
        <f t="shared" ca="1" si="201"/>
        <v>#VALUE!</v>
      </c>
      <c r="BC132" s="1" t="e">
        <f t="shared" ca="1" si="202"/>
        <v>#VALUE!</v>
      </c>
      <c r="BE132" s="15" t="str">
        <f>IF(ISBLANK('Exception Stores'!$A$6),"",'Exception Stores'!$A$6)</f>
        <v/>
      </c>
      <c r="BF132" s="15" t="str">
        <f>IF(ISBLANK('Exception Stores'!$B$6),"",'Exception Stores'!$B$6)</f>
        <v/>
      </c>
      <c r="BG132" s="1">
        <f>IF(ISBLANK('Exception Stores'!$A$6),0,IF($AN$2&gt;$BF$2,($AN$2-$BF$2)*24,0))</f>
        <v>0</v>
      </c>
      <c r="BH132" s="11">
        <f>IF(ISBLANK('Exception Stores'!$A$6),0,($BF$2-$BE$2)*24)</f>
        <v>0</v>
      </c>
      <c r="BI13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32" s="1">
        <f>IF(ISBLANK('Exception Stores'!$A$6),0,IF($AN$2&gt;$BF$2,0,IF(AND($AN$2&lt;$BF$2,$BT$2="B"),(($BF$2-$AN$2)*24)-$BS$2,($BF$2-$AN$2)*24)))</f>
        <v>0</v>
      </c>
      <c r="BL132" s="5"/>
      <c r="BM132" s="5"/>
      <c r="BN132" s="5"/>
      <c r="BO132" s="5"/>
      <c r="BP132" s="5"/>
      <c r="BV132" s="1" t="e">
        <f t="shared" ca="1" si="203"/>
        <v>#VALUE!</v>
      </c>
      <c r="BW132" s="1" t="e">
        <f t="shared" ca="1" si="204"/>
        <v>#VALUE!</v>
      </c>
      <c r="BX132" s="1" t="e">
        <f t="shared" ca="1" si="205"/>
        <v>#VALUE!</v>
      </c>
      <c r="BY132" s="1" t="e">
        <f t="shared" ca="1" si="206"/>
        <v>#VALUE!</v>
      </c>
      <c r="BZ132" s="1" t="e">
        <f t="shared" ca="1" si="207"/>
        <v>#VALUE!</v>
      </c>
      <c r="CB132" s="1" t="str">
        <f>IF(ISBLANK('Exception Stores'!$A$6),"",WEEKDAY($BF$2))</f>
        <v/>
      </c>
      <c r="CC132" s="1" t="str">
        <f>IF(ISBLANK('Exception Stores'!$A$6),"NO",IF('Exception Stores'!$A$6&lt;$AU$2,"YES","NO"))</f>
        <v>NO</v>
      </c>
      <c r="CD132" s="1" t="str">
        <f>IF(ISBLANK('Exception Stores'!$A$6),"NO",IF('Exception Stores'!$A$6&lt;$AV$2,"YES","NO"))</f>
        <v>NO</v>
      </c>
      <c r="CE132" s="1" t="str">
        <f>IF(ISBLANK('Exception Stores'!$A$6),"NO",IF('Exception Stores'!$A$6&lt;$AW$2,"YES","NO"))</f>
        <v>NO</v>
      </c>
      <c r="CF132" s="1" t="str">
        <f>IF(ISBLANK('Exception Stores'!$A$6),"NO",IF('Exception Stores'!$A$6&lt;$AX$2,"YES","NO"))</f>
        <v>NO</v>
      </c>
      <c r="CG132" s="1" t="str">
        <f>IF(ISBLANK('Exception Stores'!$A$6),"NO",IF('Exception Stores'!$A$6&lt;$AY$2,"YES","NO"))</f>
        <v>NO</v>
      </c>
      <c r="CI132" s="42" t="str">
        <f>IF(ISBLANK('Exception Stores'!$B$6),"NO",IF('Exception Stores'!$B$6&lt;=$AU$2,"YES","NO"))</f>
        <v>NO</v>
      </c>
      <c r="CJ132" s="42" t="str">
        <f>IF(ISBLANK('Exception Stores'!$B$6),"NO",IF('Exception Stores'!$B$6&lt;=$AV$2,"YES","NO"))</f>
        <v>NO</v>
      </c>
      <c r="CK132" s="1" t="str">
        <f>IF(ISBLANK('Exception Stores'!$B$6),"NO",IF('Exception Stores'!$B$6&lt;=$AW$2,"YES","NO"))</f>
        <v>NO</v>
      </c>
      <c r="CL132" s="1" t="str">
        <f>IF(ISBLANK('Exception Stores'!$B$6),"NO",IF('Exception Stores'!$B$6&lt;=$AX$2,"YES","NO"))</f>
        <v>NO</v>
      </c>
      <c r="CM132" s="1" t="str">
        <f>IF(ISBLANK('Exception Stores'!$B$6),"NO",IF('Exception Stores'!$B$6&lt;=$AY$2,"YES","NO"))</f>
        <v>NO</v>
      </c>
      <c r="CO132" s="1" t="e">
        <f ca="1">IF(AM132&lt;'Exception Stores'!$A$6,"YES","NO")</f>
        <v>#VALUE!</v>
      </c>
      <c r="CP132" s="1">
        <f t="shared" si="208"/>
        <v>0</v>
      </c>
      <c r="CQ132" s="1">
        <f t="shared" si="209"/>
        <v>0</v>
      </c>
      <c r="CR132" s="1">
        <f t="shared" si="210"/>
        <v>0</v>
      </c>
      <c r="CS132" s="1">
        <f t="shared" si="211"/>
        <v>0</v>
      </c>
      <c r="CT132" s="1">
        <f t="shared" si="212"/>
        <v>0</v>
      </c>
      <c r="CU132" s="1">
        <f t="shared" si="213"/>
        <v>0</v>
      </c>
      <c r="CW132" s="1" t="e">
        <f t="shared" ca="1" si="154"/>
        <v>#VALUE!</v>
      </c>
      <c r="CX132" s="1" t="e">
        <f t="shared" ca="1" si="155"/>
        <v>#VALUE!</v>
      </c>
      <c r="CY132" s="1" t="e">
        <f t="shared" ca="1" si="156"/>
        <v>#VALUE!</v>
      </c>
      <c r="CZ132" s="1" t="e">
        <f t="shared" ca="1" si="157"/>
        <v>#VALUE!</v>
      </c>
      <c r="DA132" s="1" t="e">
        <f t="shared" ca="1" si="158"/>
        <v>#VALUE!</v>
      </c>
      <c r="DB132" s="26" t="e">
        <f t="shared" ca="1" si="214"/>
        <v>#VALUE!</v>
      </c>
      <c r="DC132" s="1">
        <f t="shared" si="159"/>
        <v>0</v>
      </c>
      <c r="DD132" s="1">
        <f t="shared" si="160"/>
        <v>0</v>
      </c>
      <c r="DE132" s="1">
        <f t="shared" si="161"/>
        <v>0</v>
      </c>
      <c r="DF132" s="1">
        <f t="shared" si="162"/>
        <v>0</v>
      </c>
      <c r="DG132" s="1">
        <f t="shared" si="163"/>
        <v>0</v>
      </c>
      <c r="DH132" s="26">
        <f t="shared" si="215"/>
        <v>0</v>
      </c>
      <c r="DI132" s="1" t="e">
        <f t="shared" ca="1" si="216"/>
        <v>#VALUE!</v>
      </c>
      <c r="DK132" s="11" t="str">
        <f t="shared" si="164"/>
        <v/>
      </c>
      <c r="DL132" s="11" t="e">
        <f ca="1">IF(AND(NOT(ISBLANK('Exception Stores'!$A$6)),CO132="YES"),S132-$BH$2-(DI132*$BS$2)-(CU132*$BS$2),S132-(DB132*$BS$2))</f>
        <v>#VALUE!</v>
      </c>
      <c r="DM132" s="11" t="str">
        <f>IF(ISBLANK(A132),"",IF(COUNTIF(Remaps!$A$2:$A$200,B132)&gt;0,"YES",""))</f>
        <v>YES</v>
      </c>
      <c r="DN132" s="29">
        <f>IFERROR(INDEX(Remaps!$B$2:$B$200,MATCH(B132,Remaps!$A$2:$A$200,0),1),0)</f>
        <v>0</v>
      </c>
      <c r="DO132" s="11" t="e">
        <f t="shared" ca="1" si="165"/>
        <v>#VALUE!</v>
      </c>
      <c r="DP132" s="29" t="e">
        <f t="shared" si="166"/>
        <v>#VALUE!</v>
      </c>
      <c r="DQ132" s="11" t="e">
        <f ca="1">('Apollo Dock Status'!$Z$1-DP132)/DO132</f>
        <v>#VALUE!</v>
      </c>
      <c r="DR132" s="15" t="e">
        <f t="shared" ca="1" si="217"/>
        <v>#VALUE!</v>
      </c>
    </row>
    <row r="133" spans="1:122">
      <c r="A133" s="1" t="str">
        <f>IF(ISBLANK('Apollo Dock Status'!A133),"",'Apollo Dock Status'!A133)</f>
        <v/>
      </c>
      <c r="B133" s="1" t="str">
        <f>IF(ISBLANK('Apollo Dock Status'!B133),"",'Apollo Dock Status'!B133)</f>
        <v/>
      </c>
      <c r="C133" s="1" t="str">
        <f>IF(ISBLANK('Apollo Dock Status'!C133),"",'Apollo Dock Status'!C133)</f>
        <v/>
      </c>
      <c r="D133" s="1" t="str">
        <f>IF(ISBLANK('Apollo Dock Status'!D133),"",'Apollo Dock Status'!D133)</f>
        <v/>
      </c>
      <c r="E133" s="1" t="str">
        <f>IF(ISBLANK('Apollo Dock Status'!E133),"",'Apollo Dock Status'!E133)</f>
        <v/>
      </c>
      <c r="F133" s="1" t="str">
        <f>IF(ISBLANK('Apollo Dock Status'!F133),"",'Apollo Dock Status'!F133)</f>
        <v/>
      </c>
      <c r="G133" s="1" t="str">
        <f>IF(ISBLANK('Apollo Dock Status'!G133),"",'Apollo Dock Status'!G133)</f>
        <v/>
      </c>
      <c r="H133" s="1" t="str">
        <f>IF(ISBLANK('Apollo Dock Status'!H133),"",'Apollo Dock Status'!H133)</f>
        <v/>
      </c>
      <c r="I133" s="1" t="str">
        <f>IF(ISBLANK('Apollo Dock Status'!I133),"",'Apollo Dock Status'!I133)</f>
        <v/>
      </c>
      <c r="J133" s="1" t="str">
        <f>IF(ISBLANK('Apollo Dock Status'!J133),"",'Apollo Dock Status'!J133)</f>
        <v/>
      </c>
      <c r="K133" s="1" t="str">
        <f>IF(ISBLANK('Apollo Dock Status'!K133),"",'Apollo Dock Status'!K133)</f>
        <v/>
      </c>
      <c r="L133" s="1" t="str">
        <f>IF(ISBLANK('Apollo Dock Status'!L133),"",'Apollo Dock Status'!L133)</f>
        <v/>
      </c>
      <c r="M133" s="1" t="str">
        <f>IF(ISBLANK('Apollo Dock Status'!M133),"",'Apollo Dock Status'!M133)</f>
        <v/>
      </c>
      <c r="N133" s="1" t="str">
        <f>IF(ISBLANK('Apollo Dock Status'!N133),"",'Apollo Dock Status'!N133)</f>
        <v/>
      </c>
      <c r="O133" s="1" t="str">
        <f t="shared" si="167"/>
        <v/>
      </c>
      <c r="P133" s="1" t="str">
        <f t="shared" si="168"/>
        <v/>
      </c>
      <c r="Q133" s="1" t="str">
        <f t="shared" si="169"/>
        <v/>
      </c>
      <c r="R133" s="1" t="str">
        <f t="shared" si="170"/>
        <v/>
      </c>
      <c r="S133" s="11" t="str">
        <f t="shared" si="171"/>
        <v/>
      </c>
      <c r="T133" s="1" t="str">
        <f t="shared" si="172"/>
        <v/>
      </c>
      <c r="U133" s="11" t="str">
        <f t="shared" si="173"/>
        <v/>
      </c>
      <c r="V133" s="11" t="str">
        <f t="shared" si="174"/>
        <v/>
      </c>
      <c r="X133" s="1" t="str">
        <f t="shared" si="175"/>
        <v/>
      </c>
      <c r="Y133" s="1" t="str">
        <f t="shared" si="176"/>
        <v/>
      </c>
      <c r="Z133" s="1" t="str">
        <f t="shared" si="177"/>
        <v/>
      </c>
      <c r="AB133" s="13">
        <f t="shared" ca="1" si="178"/>
        <v>46176</v>
      </c>
      <c r="AC133" s="1">
        <f t="shared" ca="1" si="179"/>
        <v>2026</v>
      </c>
      <c r="AD133" s="1" t="str">
        <f t="shared" ca="1" si="180"/>
        <v>6</v>
      </c>
      <c r="AE133" s="1">
        <f t="shared" si="181"/>
        <v>1</v>
      </c>
      <c r="AF133" s="1" t="str">
        <f t="shared" si="182"/>
        <v/>
      </c>
      <c r="AG133" s="1">
        <f t="shared" ca="1" si="183"/>
        <v>2026</v>
      </c>
      <c r="AH133" s="1">
        <f t="shared" si="184"/>
        <v>1</v>
      </c>
      <c r="AI133" s="1" t="str">
        <f t="shared" ca="1" si="185"/>
        <v>6</v>
      </c>
      <c r="AJ133" s="13" t="e">
        <f t="shared" ca="1" si="186"/>
        <v>#VALUE!</v>
      </c>
      <c r="AK133" s="1" t="e">
        <f>IF(ISBLANK(A133),"",IFERROR(MID(F133,SEARCH(", ",F133)+LEN(", "),SEARCH(" "&amp;'Exception Stores'!$A$2,F133)-SEARCH(", ",F133)-LEN(", ")),MID(F133,SEARCH(", ",F133)+LEN(", "),SEARCH(" "&amp;'Exception Stores'!$B$2,F133)-SEARCH(", ",F133)-LEN(", "))))</f>
        <v>#VALUE!</v>
      </c>
      <c r="AL133" s="1" t="e">
        <f t="shared" si="187"/>
        <v>#VALUE!</v>
      </c>
      <c r="AM133" s="15" t="e">
        <f t="shared" ca="1" si="188"/>
        <v>#VALUE!</v>
      </c>
      <c r="AN133" s="24" t="e">
        <f t="shared" ca="1" si="189"/>
        <v>#VALUE!</v>
      </c>
      <c r="AO133" s="1" t="e">
        <f t="shared" ca="1" si="190"/>
        <v>#VALUE!</v>
      </c>
      <c r="AP133" s="13" t="e">
        <f t="shared" ca="1" si="191"/>
        <v>#VALUE!</v>
      </c>
      <c r="AQ133" s="17" t="e">
        <f t="shared" ca="1" si="192"/>
        <v>#VALUE!</v>
      </c>
      <c r="AS133" s="15" t="e">
        <f t="shared" ca="1" si="193"/>
        <v>#VALUE!</v>
      </c>
      <c r="AT133" s="5">
        <f>'Exception Stores'!$D$2</f>
        <v>0.125</v>
      </c>
      <c r="AU133" s="15" t="e">
        <f t="shared" ca="1" si="194"/>
        <v>#VALUE!</v>
      </c>
      <c r="AV133" s="15" t="e">
        <f t="shared" ca="1" si="195"/>
        <v>#VALUE!</v>
      </c>
      <c r="AW133" s="15" t="e">
        <f t="shared" ca="1" si="196"/>
        <v>#VALUE!</v>
      </c>
      <c r="AX133" s="15" t="e">
        <f t="shared" ca="1" si="197"/>
        <v>#VALUE!</v>
      </c>
      <c r="AY133" s="15" t="e">
        <f t="shared" ca="1" si="198"/>
        <v>#VALUE!</v>
      </c>
      <c r="AZ133" s="1" t="e">
        <f t="shared" ca="1" si="199"/>
        <v>#VALUE!</v>
      </c>
      <c r="BA133" s="15" t="e">
        <f t="shared" ca="1" si="200"/>
        <v>#VALUE!</v>
      </c>
      <c r="BB133" s="15" t="e">
        <f t="shared" ca="1" si="201"/>
        <v>#VALUE!</v>
      </c>
      <c r="BC133" s="1" t="e">
        <f t="shared" ca="1" si="202"/>
        <v>#VALUE!</v>
      </c>
      <c r="BE133" s="15" t="str">
        <f>IF(ISBLANK('Exception Stores'!$A$6),"",'Exception Stores'!$A$6)</f>
        <v/>
      </c>
      <c r="BF133" s="15" t="str">
        <f>IF(ISBLANK('Exception Stores'!$B$6),"",'Exception Stores'!$B$6)</f>
        <v/>
      </c>
      <c r="BG133" s="1">
        <f>IF(ISBLANK('Exception Stores'!$A$6),0,IF($AN$2&gt;$BF$2,($AN$2-$BF$2)*24,0))</f>
        <v>0</v>
      </c>
      <c r="BH133" s="11">
        <f>IF(ISBLANK('Exception Stores'!$A$6),0,($BF$2-$BE$2)*24)</f>
        <v>0</v>
      </c>
      <c r="BI13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33" s="1">
        <f>IF(ISBLANK('Exception Stores'!$A$6),0,IF($AN$2&gt;$BF$2,0,IF(AND($AN$2&lt;$BF$2,$BT$2="B"),(($BF$2-$AN$2)*24)-$BS$2,($BF$2-$AN$2)*24)))</f>
        <v>0</v>
      </c>
      <c r="BL133" s="5"/>
      <c r="BM133" s="5"/>
      <c r="BN133" s="5"/>
      <c r="BO133" s="5"/>
      <c r="BP133" s="5"/>
      <c r="BV133" s="1" t="e">
        <f t="shared" ca="1" si="203"/>
        <v>#VALUE!</v>
      </c>
      <c r="BW133" s="1" t="e">
        <f t="shared" ca="1" si="204"/>
        <v>#VALUE!</v>
      </c>
      <c r="BX133" s="1" t="e">
        <f t="shared" ca="1" si="205"/>
        <v>#VALUE!</v>
      </c>
      <c r="BY133" s="1" t="e">
        <f t="shared" ca="1" si="206"/>
        <v>#VALUE!</v>
      </c>
      <c r="BZ133" s="1" t="e">
        <f t="shared" ca="1" si="207"/>
        <v>#VALUE!</v>
      </c>
      <c r="CB133" s="1" t="str">
        <f>IF(ISBLANK('Exception Stores'!$A$6),"",WEEKDAY($BF$2))</f>
        <v/>
      </c>
      <c r="CC133" s="1" t="str">
        <f>IF(ISBLANK('Exception Stores'!$A$6),"NO",IF('Exception Stores'!$A$6&lt;$AU$2,"YES","NO"))</f>
        <v>NO</v>
      </c>
      <c r="CD133" s="1" t="str">
        <f>IF(ISBLANK('Exception Stores'!$A$6),"NO",IF('Exception Stores'!$A$6&lt;$AV$2,"YES","NO"))</f>
        <v>NO</v>
      </c>
      <c r="CE133" s="1" t="str">
        <f>IF(ISBLANK('Exception Stores'!$A$6),"NO",IF('Exception Stores'!$A$6&lt;$AW$2,"YES","NO"))</f>
        <v>NO</v>
      </c>
      <c r="CF133" s="1" t="str">
        <f>IF(ISBLANK('Exception Stores'!$A$6),"NO",IF('Exception Stores'!$A$6&lt;$AX$2,"YES","NO"))</f>
        <v>NO</v>
      </c>
      <c r="CG133" s="1" t="str">
        <f>IF(ISBLANK('Exception Stores'!$A$6),"NO",IF('Exception Stores'!$A$6&lt;$AY$2,"YES","NO"))</f>
        <v>NO</v>
      </c>
      <c r="CI133" s="42" t="str">
        <f>IF(ISBLANK('Exception Stores'!$B$6),"NO",IF('Exception Stores'!$B$6&lt;=$AU$2,"YES","NO"))</f>
        <v>NO</v>
      </c>
      <c r="CJ133" s="42" t="str">
        <f>IF(ISBLANK('Exception Stores'!$B$6),"NO",IF('Exception Stores'!$B$6&lt;=$AV$2,"YES","NO"))</f>
        <v>NO</v>
      </c>
      <c r="CK133" s="1" t="str">
        <f>IF(ISBLANK('Exception Stores'!$B$6),"NO",IF('Exception Stores'!$B$6&lt;=$AW$2,"YES","NO"))</f>
        <v>NO</v>
      </c>
      <c r="CL133" s="1" t="str">
        <f>IF(ISBLANK('Exception Stores'!$B$6),"NO",IF('Exception Stores'!$B$6&lt;=$AX$2,"YES","NO"))</f>
        <v>NO</v>
      </c>
      <c r="CM133" s="1" t="str">
        <f>IF(ISBLANK('Exception Stores'!$B$6),"NO",IF('Exception Stores'!$B$6&lt;=$AY$2,"YES","NO"))</f>
        <v>NO</v>
      </c>
      <c r="CO133" s="1" t="e">
        <f ca="1">IF(AM133&lt;'Exception Stores'!$A$6,"YES","NO")</f>
        <v>#VALUE!</v>
      </c>
      <c r="CP133" s="1">
        <f t="shared" si="208"/>
        <v>0</v>
      </c>
      <c r="CQ133" s="1">
        <f t="shared" si="209"/>
        <v>0</v>
      </c>
      <c r="CR133" s="1">
        <f t="shared" si="210"/>
        <v>0</v>
      </c>
      <c r="CS133" s="1">
        <f t="shared" si="211"/>
        <v>0</v>
      </c>
      <c r="CT133" s="1">
        <f t="shared" si="212"/>
        <v>0</v>
      </c>
      <c r="CU133" s="1">
        <f t="shared" si="213"/>
        <v>0</v>
      </c>
      <c r="CW133" s="1" t="e">
        <f t="shared" ca="1" si="154"/>
        <v>#VALUE!</v>
      </c>
      <c r="CX133" s="1" t="e">
        <f t="shared" ca="1" si="155"/>
        <v>#VALUE!</v>
      </c>
      <c r="CY133" s="1" t="e">
        <f t="shared" ca="1" si="156"/>
        <v>#VALUE!</v>
      </c>
      <c r="CZ133" s="1" t="e">
        <f t="shared" ca="1" si="157"/>
        <v>#VALUE!</v>
      </c>
      <c r="DA133" s="1" t="e">
        <f t="shared" ca="1" si="158"/>
        <v>#VALUE!</v>
      </c>
      <c r="DB133" s="26" t="e">
        <f t="shared" ca="1" si="214"/>
        <v>#VALUE!</v>
      </c>
      <c r="DC133" s="1">
        <f t="shared" si="159"/>
        <v>0</v>
      </c>
      <c r="DD133" s="1">
        <f t="shared" si="160"/>
        <v>0</v>
      </c>
      <c r="DE133" s="1">
        <f t="shared" si="161"/>
        <v>0</v>
      </c>
      <c r="DF133" s="1">
        <f t="shared" si="162"/>
        <v>0</v>
      </c>
      <c r="DG133" s="1">
        <f t="shared" si="163"/>
        <v>0</v>
      </c>
      <c r="DH133" s="26">
        <f t="shared" si="215"/>
        <v>0</v>
      </c>
      <c r="DI133" s="1" t="e">
        <f t="shared" ca="1" si="216"/>
        <v>#VALUE!</v>
      </c>
      <c r="DK133" s="11" t="str">
        <f t="shared" si="164"/>
        <v/>
      </c>
      <c r="DL133" s="11" t="e">
        <f ca="1">IF(AND(NOT(ISBLANK('Exception Stores'!$A$6)),CO133="YES"),S133-$BH$2-(DI133*$BS$2)-(CU133*$BS$2),S133-(DB133*$BS$2))</f>
        <v>#VALUE!</v>
      </c>
      <c r="DM133" s="11" t="str">
        <f>IF(ISBLANK(A133),"",IF(COUNTIF(Remaps!$A$2:$A$200,B133)&gt;0,"YES",""))</f>
        <v>YES</v>
      </c>
      <c r="DN133" s="29">
        <f>IFERROR(INDEX(Remaps!$B$2:$B$200,MATCH(B133,Remaps!$A$2:$A$200,0),1),0)</f>
        <v>0</v>
      </c>
      <c r="DO133" s="11" t="e">
        <f t="shared" ca="1" si="165"/>
        <v>#VALUE!</v>
      </c>
      <c r="DP133" s="29" t="e">
        <f t="shared" si="166"/>
        <v>#VALUE!</v>
      </c>
      <c r="DQ133" s="11" t="e">
        <f ca="1">('Apollo Dock Status'!$Z$1-DP133)/DO133</f>
        <v>#VALUE!</v>
      </c>
      <c r="DR133" s="15" t="e">
        <f t="shared" ca="1" si="217"/>
        <v>#VALUE!</v>
      </c>
    </row>
    <row r="134" spans="1:122">
      <c r="A134" s="1" t="str">
        <f>IF(ISBLANK('Apollo Dock Status'!A134),"",'Apollo Dock Status'!A134)</f>
        <v/>
      </c>
      <c r="B134" s="1" t="str">
        <f>IF(ISBLANK('Apollo Dock Status'!B134),"",'Apollo Dock Status'!B134)</f>
        <v/>
      </c>
      <c r="C134" s="1" t="str">
        <f>IF(ISBLANK('Apollo Dock Status'!C134),"",'Apollo Dock Status'!C134)</f>
        <v/>
      </c>
      <c r="D134" s="1" t="str">
        <f>IF(ISBLANK('Apollo Dock Status'!D134),"",'Apollo Dock Status'!D134)</f>
        <v/>
      </c>
      <c r="E134" s="1" t="str">
        <f>IF(ISBLANK('Apollo Dock Status'!E134),"",'Apollo Dock Status'!E134)</f>
        <v/>
      </c>
      <c r="F134" s="1" t="str">
        <f>IF(ISBLANK('Apollo Dock Status'!F134),"",'Apollo Dock Status'!F134)</f>
        <v/>
      </c>
      <c r="G134" s="1" t="str">
        <f>IF(ISBLANK('Apollo Dock Status'!G134),"",'Apollo Dock Status'!G134)</f>
        <v/>
      </c>
      <c r="H134" s="1" t="str">
        <f>IF(ISBLANK('Apollo Dock Status'!H134),"",'Apollo Dock Status'!H134)</f>
        <v/>
      </c>
      <c r="I134" s="1" t="str">
        <f>IF(ISBLANK('Apollo Dock Status'!I134),"",'Apollo Dock Status'!I134)</f>
        <v/>
      </c>
      <c r="J134" s="1" t="str">
        <f>IF(ISBLANK('Apollo Dock Status'!J134),"",'Apollo Dock Status'!J134)</f>
        <v/>
      </c>
      <c r="K134" s="1" t="str">
        <f>IF(ISBLANK('Apollo Dock Status'!K134),"",'Apollo Dock Status'!K134)</f>
        <v/>
      </c>
      <c r="L134" s="1" t="str">
        <f>IF(ISBLANK('Apollo Dock Status'!L134),"",'Apollo Dock Status'!L134)</f>
        <v/>
      </c>
      <c r="M134" s="1" t="str">
        <f>IF(ISBLANK('Apollo Dock Status'!M134),"",'Apollo Dock Status'!M134)</f>
        <v/>
      </c>
      <c r="N134" s="1" t="str">
        <f>IF(ISBLANK('Apollo Dock Status'!N134),"",'Apollo Dock Status'!N134)</f>
        <v/>
      </c>
      <c r="O134" s="1" t="str">
        <f t="shared" si="167"/>
        <v/>
      </c>
      <c r="P134" s="1" t="str">
        <f t="shared" si="168"/>
        <v/>
      </c>
      <c r="Q134" s="1" t="str">
        <f t="shared" si="169"/>
        <v/>
      </c>
      <c r="R134" s="1" t="str">
        <f t="shared" si="170"/>
        <v/>
      </c>
      <c r="S134" s="11" t="str">
        <f t="shared" si="171"/>
        <v/>
      </c>
      <c r="T134" s="1" t="str">
        <f t="shared" si="172"/>
        <v/>
      </c>
      <c r="U134" s="11" t="str">
        <f t="shared" si="173"/>
        <v/>
      </c>
      <c r="V134" s="11" t="str">
        <f t="shared" si="174"/>
        <v/>
      </c>
      <c r="X134" s="1" t="str">
        <f t="shared" si="175"/>
        <v/>
      </c>
      <c r="Y134" s="1" t="str">
        <f t="shared" si="176"/>
        <v/>
      </c>
      <c r="Z134" s="1" t="str">
        <f t="shared" si="177"/>
        <v/>
      </c>
      <c r="AB134" s="13">
        <f t="shared" ca="1" si="178"/>
        <v>46176</v>
      </c>
      <c r="AC134" s="1">
        <f t="shared" ca="1" si="179"/>
        <v>2026</v>
      </c>
      <c r="AD134" s="1" t="str">
        <f t="shared" ca="1" si="180"/>
        <v>6</v>
      </c>
      <c r="AE134" s="1">
        <f t="shared" si="181"/>
        <v>1</v>
      </c>
      <c r="AF134" s="1" t="str">
        <f t="shared" si="182"/>
        <v/>
      </c>
      <c r="AG134" s="1">
        <f t="shared" ca="1" si="183"/>
        <v>2026</v>
      </c>
      <c r="AH134" s="1">
        <f t="shared" si="184"/>
        <v>1</v>
      </c>
      <c r="AI134" s="1" t="str">
        <f t="shared" ca="1" si="185"/>
        <v>6</v>
      </c>
      <c r="AJ134" s="13" t="e">
        <f t="shared" ca="1" si="186"/>
        <v>#VALUE!</v>
      </c>
      <c r="AK134" s="1" t="e">
        <f>IF(ISBLANK(A134),"",IFERROR(MID(F134,SEARCH(", ",F134)+LEN(", "),SEARCH(" "&amp;'Exception Stores'!$A$2,F134)-SEARCH(", ",F134)-LEN(", ")),MID(F134,SEARCH(", ",F134)+LEN(", "),SEARCH(" "&amp;'Exception Stores'!$B$2,F134)-SEARCH(", ",F134)-LEN(", "))))</f>
        <v>#VALUE!</v>
      </c>
      <c r="AL134" s="1" t="e">
        <f t="shared" si="187"/>
        <v>#VALUE!</v>
      </c>
      <c r="AM134" s="15" t="e">
        <f t="shared" ca="1" si="188"/>
        <v>#VALUE!</v>
      </c>
      <c r="AN134" s="24" t="e">
        <f t="shared" ca="1" si="189"/>
        <v>#VALUE!</v>
      </c>
      <c r="AO134" s="1" t="e">
        <f t="shared" ca="1" si="190"/>
        <v>#VALUE!</v>
      </c>
      <c r="AP134" s="13" t="e">
        <f t="shared" ca="1" si="191"/>
        <v>#VALUE!</v>
      </c>
      <c r="AQ134" s="17" t="e">
        <f t="shared" ca="1" si="192"/>
        <v>#VALUE!</v>
      </c>
      <c r="AS134" s="15" t="e">
        <f t="shared" ca="1" si="193"/>
        <v>#VALUE!</v>
      </c>
      <c r="AT134" s="5">
        <f>'Exception Stores'!$D$2</f>
        <v>0.125</v>
      </c>
      <c r="AU134" s="15" t="e">
        <f t="shared" ca="1" si="194"/>
        <v>#VALUE!</v>
      </c>
      <c r="AV134" s="15" t="e">
        <f t="shared" ca="1" si="195"/>
        <v>#VALUE!</v>
      </c>
      <c r="AW134" s="15" t="e">
        <f t="shared" ca="1" si="196"/>
        <v>#VALUE!</v>
      </c>
      <c r="AX134" s="15" t="e">
        <f t="shared" ca="1" si="197"/>
        <v>#VALUE!</v>
      </c>
      <c r="AY134" s="15" t="e">
        <f t="shared" ca="1" si="198"/>
        <v>#VALUE!</v>
      </c>
      <c r="AZ134" s="1" t="e">
        <f t="shared" ca="1" si="199"/>
        <v>#VALUE!</v>
      </c>
      <c r="BA134" s="15" t="e">
        <f t="shared" ca="1" si="200"/>
        <v>#VALUE!</v>
      </c>
      <c r="BB134" s="15" t="e">
        <f t="shared" ca="1" si="201"/>
        <v>#VALUE!</v>
      </c>
      <c r="BC134" s="1" t="e">
        <f t="shared" ca="1" si="202"/>
        <v>#VALUE!</v>
      </c>
      <c r="BE134" s="15" t="str">
        <f>IF(ISBLANK('Exception Stores'!$A$6),"",'Exception Stores'!$A$6)</f>
        <v/>
      </c>
      <c r="BF134" s="15" t="str">
        <f>IF(ISBLANK('Exception Stores'!$B$6),"",'Exception Stores'!$B$6)</f>
        <v/>
      </c>
      <c r="BG134" s="1">
        <f>IF(ISBLANK('Exception Stores'!$A$6),0,IF($AN$2&gt;$BF$2,($AN$2-$BF$2)*24,0))</f>
        <v>0</v>
      </c>
      <c r="BH134" s="11">
        <f>IF(ISBLANK('Exception Stores'!$A$6),0,($BF$2-$BE$2)*24)</f>
        <v>0</v>
      </c>
      <c r="BI13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34" s="1">
        <f>IF(ISBLANK('Exception Stores'!$A$6),0,IF($AN$2&gt;$BF$2,0,IF(AND($AN$2&lt;$BF$2,$BT$2="B"),(($BF$2-$AN$2)*24)-$BS$2,($BF$2-$AN$2)*24)))</f>
        <v>0</v>
      </c>
      <c r="BL134" s="5"/>
      <c r="BM134" s="5"/>
      <c r="BN134" s="5"/>
      <c r="BO134" s="5"/>
      <c r="BP134" s="5"/>
      <c r="BV134" s="1" t="e">
        <f t="shared" ca="1" si="203"/>
        <v>#VALUE!</v>
      </c>
      <c r="BW134" s="1" t="e">
        <f t="shared" ca="1" si="204"/>
        <v>#VALUE!</v>
      </c>
      <c r="BX134" s="1" t="e">
        <f t="shared" ca="1" si="205"/>
        <v>#VALUE!</v>
      </c>
      <c r="BY134" s="1" t="e">
        <f t="shared" ca="1" si="206"/>
        <v>#VALUE!</v>
      </c>
      <c r="BZ134" s="1" t="e">
        <f t="shared" ca="1" si="207"/>
        <v>#VALUE!</v>
      </c>
      <c r="CB134" s="1" t="str">
        <f>IF(ISBLANK('Exception Stores'!$A$6),"",WEEKDAY($BF$2))</f>
        <v/>
      </c>
      <c r="CC134" s="1" t="str">
        <f>IF(ISBLANK('Exception Stores'!$A$6),"NO",IF('Exception Stores'!$A$6&lt;$AU$2,"YES","NO"))</f>
        <v>NO</v>
      </c>
      <c r="CD134" s="1" t="str">
        <f>IF(ISBLANK('Exception Stores'!$A$6),"NO",IF('Exception Stores'!$A$6&lt;$AV$2,"YES","NO"))</f>
        <v>NO</v>
      </c>
      <c r="CE134" s="1" t="str">
        <f>IF(ISBLANK('Exception Stores'!$A$6),"NO",IF('Exception Stores'!$A$6&lt;$AW$2,"YES","NO"))</f>
        <v>NO</v>
      </c>
      <c r="CF134" s="1" t="str">
        <f>IF(ISBLANK('Exception Stores'!$A$6),"NO",IF('Exception Stores'!$A$6&lt;$AX$2,"YES","NO"))</f>
        <v>NO</v>
      </c>
      <c r="CG134" s="1" t="str">
        <f>IF(ISBLANK('Exception Stores'!$A$6),"NO",IF('Exception Stores'!$A$6&lt;$AY$2,"YES","NO"))</f>
        <v>NO</v>
      </c>
      <c r="CI134" s="42" t="str">
        <f>IF(ISBLANK('Exception Stores'!$B$6),"NO",IF('Exception Stores'!$B$6&lt;=$AU$2,"YES","NO"))</f>
        <v>NO</v>
      </c>
      <c r="CJ134" s="42" t="str">
        <f>IF(ISBLANK('Exception Stores'!$B$6),"NO",IF('Exception Stores'!$B$6&lt;=$AV$2,"YES","NO"))</f>
        <v>NO</v>
      </c>
      <c r="CK134" s="1" t="str">
        <f>IF(ISBLANK('Exception Stores'!$B$6),"NO",IF('Exception Stores'!$B$6&lt;=$AW$2,"YES","NO"))</f>
        <v>NO</v>
      </c>
      <c r="CL134" s="1" t="str">
        <f>IF(ISBLANK('Exception Stores'!$B$6),"NO",IF('Exception Stores'!$B$6&lt;=$AX$2,"YES","NO"))</f>
        <v>NO</v>
      </c>
      <c r="CM134" s="1" t="str">
        <f>IF(ISBLANK('Exception Stores'!$B$6),"NO",IF('Exception Stores'!$B$6&lt;=$AY$2,"YES","NO"))</f>
        <v>NO</v>
      </c>
      <c r="CO134" s="1" t="e">
        <f ca="1">IF(AM134&lt;'Exception Stores'!$A$6,"YES","NO")</f>
        <v>#VALUE!</v>
      </c>
      <c r="CP134" s="1">
        <f t="shared" si="208"/>
        <v>0</v>
      </c>
      <c r="CQ134" s="1">
        <f t="shared" si="209"/>
        <v>0</v>
      </c>
      <c r="CR134" s="1">
        <f t="shared" si="210"/>
        <v>0</v>
      </c>
      <c r="CS134" s="1">
        <f t="shared" si="211"/>
        <v>0</v>
      </c>
      <c r="CT134" s="1">
        <f t="shared" si="212"/>
        <v>0</v>
      </c>
      <c r="CU134" s="1">
        <f t="shared" si="213"/>
        <v>0</v>
      </c>
      <c r="CW134" s="1" t="e">
        <f t="shared" ca="1" si="154"/>
        <v>#VALUE!</v>
      </c>
      <c r="CX134" s="1" t="e">
        <f t="shared" ca="1" si="155"/>
        <v>#VALUE!</v>
      </c>
      <c r="CY134" s="1" t="e">
        <f t="shared" ca="1" si="156"/>
        <v>#VALUE!</v>
      </c>
      <c r="CZ134" s="1" t="e">
        <f t="shared" ca="1" si="157"/>
        <v>#VALUE!</v>
      </c>
      <c r="DA134" s="1" t="e">
        <f t="shared" ca="1" si="158"/>
        <v>#VALUE!</v>
      </c>
      <c r="DB134" s="26" t="e">
        <f t="shared" ca="1" si="214"/>
        <v>#VALUE!</v>
      </c>
      <c r="DC134" s="1">
        <f t="shared" si="159"/>
        <v>0</v>
      </c>
      <c r="DD134" s="1">
        <f t="shared" si="160"/>
        <v>0</v>
      </c>
      <c r="DE134" s="1">
        <f t="shared" si="161"/>
        <v>0</v>
      </c>
      <c r="DF134" s="1">
        <f t="shared" si="162"/>
        <v>0</v>
      </c>
      <c r="DG134" s="1">
        <f t="shared" si="163"/>
        <v>0</v>
      </c>
      <c r="DH134" s="26">
        <f t="shared" si="215"/>
        <v>0</v>
      </c>
      <c r="DI134" s="1" t="e">
        <f t="shared" ca="1" si="216"/>
        <v>#VALUE!</v>
      </c>
      <c r="DK134" s="11" t="str">
        <f t="shared" si="164"/>
        <v/>
      </c>
      <c r="DL134" s="11" t="e">
        <f ca="1">IF(AND(NOT(ISBLANK('Exception Stores'!$A$6)),CO134="YES"),S134-$BH$2-(DI134*$BS$2)-(CU134*$BS$2),S134-(DB134*$BS$2))</f>
        <v>#VALUE!</v>
      </c>
      <c r="DM134" s="11" t="str">
        <f>IF(ISBLANK(A134),"",IF(COUNTIF(Remaps!$A$2:$A$200,B134)&gt;0,"YES",""))</f>
        <v>YES</v>
      </c>
      <c r="DN134" s="29">
        <f>IFERROR(INDEX(Remaps!$B$2:$B$200,MATCH(B134,Remaps!$A$2:$A$200,0),1),0)</f>
        <v>0</v>
      </c>
      <c r="DO134" s="11" t="e">
        <f t="shared" ca="1" si="165"/>
        <v>#VALUE!</v>
      </c>
      <c r="DP134" s="29" t="e">
        <f t="shared" si="166"/>
        <v>#VALUE!</v>
      </c>
      <c r="DQ134" s="11" t="e">
        <f ca="1">('Apollo Dock Status'!$Z$1-DP134)/DO134</f>
        <v>#VALUE!</v>
      </c>
      <c r="DR134" s="15" t="e">
        <f t="shared" ca="1" si="217"/>
        <v>#VALUE!</v>
      </c>
    </row>
    <row r="135" spans="1:122">
      <c r="A135" s="1" t="str">
        <f>IF(ISBLANK('Apollo Dock Status'!A135),"",'Apollo Dock Status'!A135)</f>
        <v/>
      </c>
      <c r="B135" s="1" t="str">
        <f>IF(ISBLANK('Apollo Dock Status'!B135),"",'Apollo Dock Status'!B135)</f>
        <v/>
      </c>
      <c r="C135" s="1" t="str">
        <f>IF(ISBLANK('Apollo Dock Status'!C135),"",'Apollo Dock Status'!C135)</f>
        <v/>
      </c>
      <c r="D135" s="1" t="str">
        <f>IF(ISBLANK('Apollo Dock Status'!D135),"",'Apollo Dock Status'!D135)</f>
        <v/>
      </c>
      <c r="E135" s="1" t="str">
        <f>IF(ISBLANK('Apollo Dock Status'!E135),"",'Apollo Dock Status'!E135)</f>
        <v/>
      </c>
      <c r="F135" s="1" t="str">
        <f>IF(ISBLANK('Apollo Dock Status'!F135),"",'Apollo Dock Status'!F135)</f>
        <v/>
      </c>
      <c r="G135" s="1" t="str">
        <f>IF(ISBLANK('Apollo Dock Status'!G135),"",'Apollo Dock Status'!G135)</f>
        <v/>
      </c>
      <c r="H135" s="1" t="str">
        <f>IF(ISBLANK('Apollo Dock Status'!H135),"",'Apollo Dock Status'!H135)</f>
        <v/>
      </c>
      <c r="I135" s="1" t="str">
        <f>IF(ISBLANK('Apollo Dock Status'!I135),"",'Apollo Dock Status'!I135)</f>
        <v/>
      </c>
      <c r="J135" s="1" t="str">
        <f>IF(ISBLANK('Apollo Dock Status'!J135),"",'Apollo Dock Status'!J135)</f>
        <v/>
      </c>
      <c r="K135" s="1" t="str">
        <f>IF(ISBLANK('Apollo Dock Status'!K135),"",'Apollo Dock Status'!K135)</f>
        <v/>
      </c>
      <c r="L135" s="1" t="str">
        <f>IF(ISBLANK('Apollo Dock Status'!L135),"",'Apollo Dock Status'!L135)</f>
        <v/>
      </c>
      <c r="M135" s="1" t="str">
        <f>IF(ISBLANK('Apollo Dock Status'!M135),"",'Apollo Dock Status'!M135)</f>
        <v/>
      </c>
      <c r="N135" s="1" t="str">
        <f>IF(ISBLANK('Apollo Dock Status'!N135),"",'Apollo Dock Status'!N135)</f>
        <v/>
      </c>
      <c r="O135" s="1" t="str">
        <f t="shared" si="167"/>
        <v/>
      </c>
      <c r="P135" s="1" t="str">
        <f t="shared" si="168"/>
        <v/>
      </c>
      <c r="Q135" s="1" t="str">
        <f t="shared" si="169"/>
        <v/>
      </c>
      <c r="R135" s="1" t="str">
        <f t="shared" si="170"/>
        <v/>
      </c>
      <c r="S135" s="11" t="str">
        <f t="shared" si="171"/>
        <v/>
      </c>
      <c r="T135" s="1" t="str">
        <f t="shared" si="172"/>
        <v/>
      </c>
      <c r="U135" s="11" t="str">
        <f t="shared" si="173"/>
        <v/>
      </c>
      <c r="V135" s="11" t="str">
        <f t="shared" si="174"/>
        <v/>
      </c>
      <c r="X135" s="1" t="str">
        <f t="shared" si="175"/>
        <v/>
      </c>
      <c r="Y135" s="1" t="str">
        <f t="shared" si="176"/>
        <v/>
      </c>
      <c r="Z135" s="1" t="str">
        <f t="shared" si="177"/>
        <v/>
      </c>
      <c r="AB135" s="13">
        <f t="shared" ca="1" si="178"/>
        <v>46176</v>
      </c>
      <c r="AC135" s="1">
        <f t="shared" ca="1" si="179"/>
        <v>2026</v>
      </c>
      <c r="AD135" s="1" t="str">
        <f t="shared" ca="1" si="180"/>
        <v>6</v>
      </c>
      <c r="AE135" s="1">
        <f t="shared" si="181"/>
        <v>1</v>
      </c>
      <c r="AF135" s="1" t="str">
        <f t="shared" si="182"/>
        <v/>
      </c>
      <c r="AG135" s="1">
        <f t="shared" ca="1" si="183"/>
        <v>2026</v>
      </c>
      <c r="AH135" s="1">
        <f t="shared" si="184"/>
        <v>1</v>
      </c>
      <c r="AI135" s="1" t="str">
        <f t="shared" ca="1" si="185"/>
        <v>6</v>
      </c>
      <c r="AJ135" s="13" t="e">
        <f t="shared" ca="1" si="186"/>
        <v>#VALUE!</v>
      </c>
      <c r="AK135" s="1" t="e">
        <f>IF(ISBLANK(A135),"",IFERROR(MID(F135,SEARCH(", ",F135)+LEN(", "),SEARCH(" "&amp;'Exception Stores'!$A$2,F135)-SEARCH(", ",F135)-LEN(", ")),MID(F135,SEARCH(", ",F135)+LEN(", "),SEARCH(" "&amp;'Exception Stores'!$B$2,F135)-SEARCH(", ",F135)-LEN(", "))))</f>
        <v>#VALUE!</v>
      </c>
      <c r="AL135" s="1" t="e">
        <f t="shared" si="187"/>
        <v>#VALUE!</v>
      </c>
      <c r="AM135" s="15" t="e">
        <f t="shared" ca="1" si="188"/>
        <v>#VALUE!</v>
      </c>
      <c r="AN135" s="24" t="e">
        <f t="shared" ca="1" si="189"/>
        <v>#VALUE!</v>
      </c>
      <c r="AO135" s="1" t="e">
        <f t="shared" ca="1" si="190"/>
        <v>#VALUE!</v>
      </c>
      <c r="AP135" s="13" t="e">
        <f t="shared" ca="1" si="191"/>
        <v>#VALUE!</v>
      </c>
      <c r="AQ135" s="17" t="e">
        <f t="shared" ca="1" si="192"/>
        <v>#VALUE!</v>
      </c>
      <c r="AS135" s="15" t="e">
        <f t="shared" ca="1" si="193"/>
        <v>#VALUE!</v>
      </c>
      <c r="AT135" s="5">
        <f>'Exception Stores'!$D$2</f>
        <v>0.125</v>
      </c>
      <c r="AU135" s="15" t="e">
        <f t="shared" ca="1" si="194"/>
        <v>#VALUE!</v>
      </c>
      <c r="AV135" s="15" t="e">
        <f t="shared" ca="1" si="195"/>
        <v>#VALUE!</v>
      </c>
      <c r="AW135" s="15" t="e">
        <f t="shared" ca="1" si="196"/>
        <v>#VALUE!</v>
      </c>
      <c r="AX135" s="15" t="e">
        <f t="shared" ca="1" si="197"/>
        <v>#VALUE!</v>
      </c>
      <c r="AY135" s="15" t="e">
        <f t="shared" ca="1" si="198"/>
        <v>#VALUE!</v>
      </c>
      <c r="AZ135" s="1" t="e">
        <f t="shared" ca="1" si="199"/>
        <v>#VALUE!</v>
      </c>
      <c r="BA135" s="15" t="e">
        <f t="shared" ca="1" si="200"/>
        <v>#VALUE!</v>
      </c>
      <c r="BB135" s="15" t="e">
        <f t="shared" ca="1" si="201"/>
        <v>#VALUE!</v>
      </c>
      <c r="BC135" s="1" t="e">
        <f t="shared" ca="1" si="202"/>
        <v>#VALUE!</v>
      </c>
      <c r="BE135" s="15" t="str">
        <f>IF(ISBLANK('Exception Stores'!$A$6),"",'Exception Stores'!$A$6)</f>
        <v/>
      </c>
      <c r="BF135" s="15" t="str">
        <f>IF(ISBLANK('Exception Stores'!$B$6),"",'Exception Stores'!$B$6)</f>
        <v/>
      </c>
      <c r="BG135" s="1">
        <f>IF(ISBLANK('Exception Stores'!$A$6),0,IF($AN$2&gt;$BF$2,($AN$2-$BF$2)*24,0))</f>
        <v>0</v>
      </c>
      <c r="BH135" s="11">
        <f>IF(ISBLANK('Exception Stores'!$A$6),0,($BF$2-$BE$2)*24)</f>
        <v>0</v>
      </c>
      <c r="BI13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35" s="1">
        <f>IF(ISBLANK('Exception Stores'!$A$6),0,IF($AN$2&gt;$BF$2,0,IF(AND($AN$2&lt;$BF$2,$BT$2="B"),(($BF$2-$AN$2)*24)-$BS$2,($BF$2-$AN$2)*24)))</f>
        <v>0</v>
      </c>
      <c r="BL135" s="5"/>
      <c r="BM135" s="5"/>
      <c r="BN135" s="5"/>
      <c r="BO135" s="5"/>
      <c r="BP135" s="5"/>
      <c r="BV135" s="1" t="e">
        <f t="shared" ca="1" si="203"/>
        <v>#VALUE!</v>
      </c>
      <c r="BW135" s="1" t="e">
        <f t="shared" ca="1" si="204"/>
        <v>#VALUE!</v>
      </c>
      <c r="BX135" s="1" t="e">
        <f t="shared" ca="1" si="205"/>
        <v>#VALUE!</v>
      </c>
      <c r="BY135" s="1" t="e">
        <f t="shared" ca="1" si="206"/>
        <v>#VALUE!</v>
      </c>
      <c r="BZ135" s="1" t="e">
        <f t="shared" ca="1" si="207"/>
        <v>#VALUE!</v>
      </c>
      <c r="CB135" s="1" t="str">
        <f>IF(ISBLANK('Exception Stores'!$A$6),"",WEEKDAY($BF$2))</f>
        <v/>
      </c>
      <c r="CC135" s="1" t="str">
        <f>IF(ISBLANK('Exception Stores'!$A$6),"NO",IF('Exception Stores'!$A$6&lt;$AU$2,"YES","NO"))</f>
        <v>NO</v>
      </c>
      <c r="CD135" s="1" t="str">
        <f>IF(ISBLANK('Exception Stores'!$A$6),"NO",IF('Exception Stores'!$A$6&lt;$AV$2,"YES","NO"))</f>
        <v>NO</v>
      </c>
      <c r="CE135" s="1" t="str">
        <f>IF(ISBLANK('Exception Stores'!$A$6),"NO",IF('Exception Stores'!$A$6&lt;$AW$2,"YES","NO"))</f>
        <v>NO</v>
      </c>
      <c r="CF135" s="1" t="str">
        <f>IF(ISBLANK('Exception Stores'!$A$6),"NO",IF('Exception Stores'!$A$6&lt;$AX$2,"YES","NO"))</f>
        <v>NO</v>
      </c>
      <c r="CG135" s="1" t="str">
        <f>IF(ISBLANK('Exception Stores'!$A$6),"NO",IF('Exception Stores'!$A$6&lt;$AY$2,"YES","NO"))</f>
        <v>NO</v>
      </c>
      <c r="CI135" s="42" t="str">
        <f>IF(ISBLANK('Exception Stores'!$B$6),"NO",IF('Exception Stores'!$B$6&lt;=$AU$2,"YES","NO"))</f>
        <v>NO</v>
      </c>
      <c r="CJ135" s="42" t="str">
        <f>IF(ISBLANK('Exception Stores'!$B$6),"NO",IF('Exception Stores'!$B$6&lt;=$AV$2,"YES","NO"))</f>
        <v>NO</v>
      </c>
      <c r="CK135" s="1" t="str">
        <f>IF(ISBLANK('Exception Stores'!$B$6),"NO",IF('Exception Stores'!$B$6&lt;=$AW$2,"YES","NO"))</f>
        <v>NO</v>
      </c>
      <c r="CL135" s="1" t="str">
        <f>IF(ISBLANK('Exception Stores'!$B$6),"NO",IF('Exception Stores'!$B$6&lt;=$AX$2,"YES","NO"))</f>
        <v>NO</v>
      </c>
      <c r="CM135" s="1" t="str">
        <f>IF(ISBLANK('Exception Stores'!$B$6),"NO",IF('Exception Stores'!$B$6&lt;=$AY$2,"YES","NO"))</f>
        <v>NO</v>
      </c>
      <c r="CO135" s="1" t="e">
        <f ca="1">IF(AM135&lt;'Exception Stores'!$A$6,"YES","NO")</f>
        <v>#VALUE!</v>
      </c>
      <c r="CP135" s="1">
        <f t="shared" si="208"/>
        <v>0</v>
      </c>
      <c r="CQ135" s="1">
        <f t="shared" si="209"/>
        <v>0</v>
      </c>
      <c r="CR135" s="1">
        <f t="shared" si="210"/>
        <v>0</v>
      </c>
      <c r="CS135" s="1">
        <f t="shared" si="211"/>
        <v>0</v>
      </c>
      <c r="CT135" s="1">
        <f t="shared" si="212"/>
        <v>0</v>
      </c>
      <c r="CU135" s="1">
        <f t="shared" si="213"/>
        <v>0</v>
      </c>
      <c r="CW135" s="1" t="e">
        <f t="shared" ca="1" si="154"/>
        <v>#VALUE!</v>
      </c>
      <c r="CX135" s="1" t="e">
        <f t="shared" ca="1" si="155"/>
        <v>#VALUE!</v>
      </c>
      <c r="CY135" s="1" t="e">
        <f t="shared" ca="1" si="156"/>
        <v>#VALUE!</v>
      </c>
      <c r="CZ135" s="1" t="e">
        <f t="shared" ca="1" si="157"/>
        <v>#VALUE!</v>
      </c>
      <c r="DA135" s="1" t="e">
        <f t="shared" ca="1" si="158"/>
        <v>#VALUE!</v>
      </c>
      <c r="DB135" s="26" t="e">
        <f t="shared" ca="1" si="214"/>
        <v>#VALUE!</v>
      </c>
      <c r="DC135" s="1">
        <f t="shared" si="159"/>
        <v>0</v>
      </c>
      <c r="DD135" s="1">
        <f t="shared" si="160"/>
        <v>0</v>
      </c>
      <c r="DE135" s="1">
        <f t="shared" si="161"/>
        <v>0</v>
      </c>
      <c r="DF135" s="1">
        <f t="shared" si="162"/>
        <v>0</v>
      </c>
      <c r="DG135" s="1">
        <f t="shared" si="163"/>
        <v>0</v>
      </c>
      <c r="DH135" s="26">
        <f t="shared" si="215"/>
        <v>0</v>
      </c>
      <c r="DI135" s="1" t="e">
        <f t="shared" ca="1" si="216"/>
        <v>#VALUE!</v>
      </c>
      <c r="DK135" s="11" t="str">
        <f t="shared" si="164"/>
        <v/>
      </c>
      <c r="DL135" s="11" t="e">
        <f ca="1">IF(AND(NOT(ISBLANK('Exception Stores'!$A$6)),CO135="YES"),S135-$BH$2-(DI135*$BS$2)-(CU135*$BS$2),S135-(DB135*$BS$2))</f>
        <v>#VALUE!</v>
      </c>
      <c r="DM135" s="11" t="str">
        <f>IF(ISBLANK(A135),"",IF(COUNTIF(Remaps!$A$2:$A$200,B135)&gt;0,"YES",""))</f>
        <v>YES</v>
      </c>
      <c r="DN135" s="29">
        <f>IFERROR(INDEX(Remaps!$B$2:$B$200,MATCH(B135,Remaps!$A$2:$A$200,0),1),0)</f>
        <v>0</v>
      </c>
      <c r="DO135" s="11" t="e">
        <f t="shared" ca="1" si="165"/>
        <v>#VALUE!</v>
      </c>
      <c r="DP135" s="29" t="e">
        <f t="shared" si="166"/>
        <v>#VALUE!</v>
      </c>
      <c r="DQ135" s="11" t="e">
        <f ca="1">('Apollo Dock Status'!$Z$1-DP135)/DO135</f>
        <v>#VALUE!</v>
      </c>
      <c r="DR135" s="15" t="e">
        <f t="shared" ca="1" si="217"/>
        <v>#VALUE!</v>
      </c>
    </row>
    <row r="136" spans="1:122">
      <c r="A136" s="1" t="str">
        <f>IF(ISBLANK('Apollo Dock Status'!A136),"",'Apollo Dock Status'!A136)</f>
        <v/>
      </c>
      <c r="B136" s="1" t="str">
        <f>IF(ISBLANK('Apollo Dock Status'!B136),"",'Apollo Dock Status'!B136)</f>
        <v/>
      </c>
      <c r="C136" s="1" t="str">
        <f>IF(ISBLANK('Apollo Dock Status'!C136),"",'Apollo Dock Status'!C136)</f>
        <v/>
      </c>
      <c r="D136" s="1" t="str">
        <f>IF(ISBLANK('Apollo Dock Status'!D136),"",'Apollo Dock Status'!D136)</f>
        <v/>
      </c>
      <c r="E136" s="1" t="str">
        <f>IF(ISBLANK('Apollo Dock Status'!E136),"",'Apollo Dock Status'!E136)</f>
        <v/>
      </c>
      <c r="F136" s="1" t="str">
        <f>IF(ISBLANK('Apollo Dock Status'!F136),"",'Apollo Dock Status'!F136)</f>
        <v/>
      </c>
      <c r="G136" s="1" t="str">
        <f>IF(ISBLANK('Apollo Dock Status'!G136),"",'Apollo Dock Status'!G136)</f>
        <v/>
      </c>
      <c r="H136" s="1" t="str">
        <f>IF(ISBLANK('Apollo Dock Status'!H136),"",'Apollo Dock Status'!H136)</f>
        <v/>
      </c>
      <c r="I136" s="1" t="str">
        <f>IF(ISBLANK('Apollo Dock Status'!I136),"",'Apollo Dock Status'!I136)</f>
        <v/>
      </c>
      <c r="J136" s="1" t="str">
        <f>IF(ISBLANK('Apollo Dock Status'!J136),"",'Apollo Dock Status'!J136)</f>
        <v/>
      </c>
      <c r="K136" s="1" t="str">
        <f>IF(ISBLANK('Apollo Dock Status'!K136),"",'Apollo Dock Status'!K136)</f>
        <v/>
      </c>
      <c r="L136" s="1" t="str">
        <f>IF(ISBLANK('Apollo Dock Status'!L136),"",'Apollo Dock Status'!L136)</f>
        <v/>
      </c>
      <c r="M136" s="1" t="str">
        <f>IF(ISBLANK('Apollo Dock Status'!M136),"",'Apollo Dock Status'!M136)</f>
        <v/>
      </c>
      <c r="N136" s="1" t="str">
        <f>IF(ISBLANK('Apollo Dock Status'!N136),"",'Apollo Dock Status'!N136)</f>
        <v/>
      </c>
      <c r="O136" s="1" t="str">
        <f t="shared" si="167"/>
        <v/>
      </c>
      <c r="P136" s="1" t="str">
        <f t="shared" si="168"/>
        <v/>
      </c>
      <c r="Q136" s="1" t="str">
        <f t="shared" si="169"/>
        <v/>
      </c>
      <c r="R136" s="1" t="str">
        <f t="shared" si="170"/>
        <v/>
      </c>
      <c r="S136" s="11" t="str">
        <f t="shared" si="171"/>
        <v/>
      </c>
      <c r="T136" s="1" t="str">
        <f t="shared" si="172"/>
        <v/>
      </c>
      <c r="U136" s="11" t="str">
        <f t="shared" si="173"/>
        <v/>
      </c>
      <c r="V136" s="11" t="str">
        <f t="shared" si="174"/>
        <v/>
      </c>
      <c r="X136" s="1" t="str">
        <f t="shared" si="175"/>
        <v/>
      </c>
      <c r="Y136" s="1" t="str">
        <f t="shared" si="176"/>
        <v/>
      </c>
      <c r="Z136" s="1" t="str">
        <f t="shared" si="177"/>
        <v/>
      </c>
      <c r="AB136" s="13">
        <f t="shared" ca="1" si="178"/>
        <v>46176</v>
      </c>
      <c r="AC136" s="1">
        <f t="shared" ca="1" si="179"/>
        <v>2026</v>
      </c>
      <c r="AD136" s="1" t="str">
        <f t="shared" ca="1" si="180"/>
        <v>6</v>
      </c>
      <c r="AE136" s="1">
        <f t="shared" si="181"/>
        <v>1</v>
      </c>
      <c r="AF136" s="1" t="str">
        <f t="shared" si="182"/>
        <v/>
      </c>
      <c r="AG136" s="1">
        <f t="shared" ca="1" si="183"/>
        <v>2026</v>
      </c>
      <c r="AH136" s="1">
        <f t="shared" si="184"/>
        <v>1</v>
      </c>
      <c r="AI136" s="1" t="str">
        <f t="shared" ca="1" si="185"/>
        <v>6</v>
      </c>
      <c r="AJ136" s="13" t="e">
        <f t="shared" ca="1" si="186"/>
        <v>#VALUE!</v>
      </c>
      <c r="AK136" s="1" t="e">
        <f>IF(ISBLANK(A136),"",IFERROR(MID(F136,SEARCH(", ",F136)+LEN(", "),SEARCH(" "&amp;'Exception Stores'!$A$2,F136)-SEARCH(", ",F136)-LEN(", ")),MID(F136,SEARCH(", ",F136)+LEN(", "),SEARCH(" "&amp;'Exception Stores'!$B$2,F136)-SEARCH(", ",F136)-LEN(", "))))</f>
        <v>#VALUE!</v>
      </c>
      <c r="AL136" s="1" t="e">
        <f t="shared" si="187"/>
        <v>#VALUE!</v>
      </c>
      <c r="AM136" s="15" t="e">
        <f t="shared" ca="1" si="188"/>
        <v>#VALUE!</v>
      </c>
      <c r="AN136" s="24" t="e">
        <f t="shared" ca="1" si="189"/>
        <v>#VALUE!</v>
      </c>
      <c r="AO136" s="1" t="e">
        <f t="shared" ca="1" si="190"/>
        <v>#VALUE!</v>
      </c>
      <c r="AP136" s="13" t="e">
        <f t="shared" ca="1" si="191"/>
        <v>#VALUE!</v>
      </c>
      <c r="AQ136" s="17" t="e">
        <f t="shared" ca="1" si="192"/>
        <v>#VALUE!</v>
      </c>
      <c r="AS136" s="15" t="e">
        <f t="shared" ca="1" si="193"/>
        <v>#VALUE!</v>
      </c>
      <c r="AT136" s="5">
        <f>'Exception Stores'!$D$2</f>
        <v>0.125</v>
      </c>
      <c r="AU136" s="15" t="e">
        <f t="shared" ca="1" si="194"/>
        <v>#VALUE!</v>
      </c>
      <c r="AV136" s="15" t="e">
        <f t="shared" ca="1" si="195"/>
        <v>#VALUE!</v>
      </c>
      <c r="AW136" s="15" t="e">
        <f t="shared" ca="1" si="196"/>
        <v>#VALUE!</v>
      </c>
      <c r="AX136" s="15" t="e">
        <f t="shared" ca="1" si="197"/>
        <v>#VALUE!</v>
      </c>
      <c r="AY136" s="15" t="e">
        <f t="shared" ca="1" si="198"/>
        <v>#VALUE!</v>
      </c>
      <c r="AZ136" s="1" t="e">
        <f t="shared" ca="1" si="199"/>
        <v>#VALUE!</v>
      </c>
      <c r="BA136" s="15" t="e">
        <f t="shared" ca="1" si="200"/>
        <v>#VALUE!</v>
      </c>
      <c r="BB136" s="15" t="e">
        <f t="shared" ca="1" si="201"/>
        <v>#VALUE!</v>
      </c>
      <c r="BC136" s="1" t="e">
        <f t="shared" ca="1" si="202"/>
        <v>#VALUE!</v>
      </c>
      <c r="BE136" s="15" t="str">
        <f>IF(ISBLANK('Exception Stores'!$A$6),"",'Exception Stores'!$A$6)</f>
        <v/>
      </c>
      <c r="BF136" s="15" t="str">
        <f>IF(ISBLANK('Exception Stores'!$B$6),"",'Exception Stores'!$B$6)</f>
        <v/>
      </c>
      <c r="BG136" s="1">
        <f>IF(ISBLANK('Exception Stores'!$A$6),0,IF($AN$2&gt;$BF$2,($AN$2-$BF$2)*24,0))</f>
        <v>0</v>
      </c>
      <c r="BH136" s="11">
        <f>IF(ISBLANK('Exception Stores'!$A$6),0,($BF$2-$BE$2)*24)</f>
        <v>0</v>
      </c>
      <c r="BI13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36" s="1">
        <f>IF(ISBLANK('Exception Stores'!$A$6),0,IF($AN$2&gt;$BF$2,0,IF(AND($AN$2&lt;$BF$2,$BT$2="B"),(($BF$2-$AN$2)*24)-$BS$2,($BF$2-$AN$2)*24)))</f>
        <v>0</v>
      </c>
      <c r="BL136" s="5"/>
      <c r="BM136" s="5"/>
      <c r="BN136" s="5"/>
      <c r="BO136" s="5"/>
      <c r="BP136" s="5"/>
      <c r="BV136" s="1" t="e">
        <f t="shared" ca="1" si="203"/>
        <v>#VALUE!</v>
      </c>
      <c r="BW136" s="1" t="e">
        <f t="shared" ca="1" si="204"/>
        <v>#VALUE!</v>
      </c>
      <c r="BX136" s="1" t="e">
        <f t="shared" ca="1" si="205"/>
        <v>#VALUE!</v>
      </c>
      <c r="BY136" s="1" t="e">
        <f t="shared" ca="1" si="206"/>
        <v>#VALUE!</v>
      </c>
      <c r="BZ136" s="1" t="e">
        <f t="shared" ca="1" si="207"/>
        <v>#VALUE!</v>
      </c>
      <c r="CB136" s="1" t="str">
        <f>IF(ISBLANK('Exception Stores'!$A$6),"",WEEKDAY($BF$2))</f>
        <v/>
      </c>
      <c r="CC136" s="1" t="str">
        <f>IF(ISBLANK('Exception Stores'!$A$6),"NO",IF('Exception Stores'!$A$6&lt;$AU$2,"YES","NO"))</f>
        <v>NO</v>
      </c>
      <c r="CD136" s="1" t="str">
        <f>IF(ISBLANK('Exception Stores'!$A$6),"NO",IF('Exception Stores'!$A$6&lt;$AV$2,"YES","NO"))</f>
        <v>NO</v>
      </c>
      <c r="CE136" s="1" t="str">
        <f>IF(ISBLANK('Exception Stores'!$A$6),"NO",IF('Exception Stores'!$A$6&lt;$AW$2,"YES","NO"))</f>
        <v>NO</v>
      </c>
      <c r="CF136" s="1" t="str">
        <f>IF(ISBLANK('Exception Stores'!$A$6),"NO",IF('Exception Stores'!$A$6&lt;$AX$2,"YES","NO"))</f>
        <v>NO</v>
      </c>
      <c r="CG136" s="1" t="str">
        <f>IF(ISBLANK('Exception Stores'!$A$6),"NO",IF('Exception Stores'!$A$6&lt;$AY$2,"YES","NO"))</f>
        <v>NO</v>
      </c>
      <c r="CI136" s="42" t="str">
        <f>IF(ISBLANK('Exception Stores'!$B$6),"NO",IF('Exception Stores'!$B$6&lt;=$AU$2,"YES","NO"))</f>
        <v>NO</v>
      </c>
      <c r="CJ136" s="42" t="str">
        <f>IF(ISBLANK('Exception Stores'!$B$6),"NO",IF('Exception Stores'!$B$6&lt;=$AV$2,"YES","NO"))</f>
        <v>NO</v>
      </c>
      <c r="CK136" s="1" t="str">
        <f>IF(ISBLANK('Exception Stores'!$B$6),"NO",IF('Exception Stores'!$B$6&lt;=$AW$2,"YES","NO"))</f>
        <v>NO</v>
      </c>
      <c r="CL136" s="1" t="str">
        <f>IF(ISBLANK('Exception Stores'!$B$6),"NO",IF('Exception Stores'!$B$6&lt;=$AX$2,"YES","NO"))</f>
        <v>NO</v>
      </c>
      <c r="CM136" s="1" t="str">
        <f>IF(ISBLANK('Exception Stores'!$B$6),"NO",IF('Exception Stores'!$B$6&lt;=$AY$2,"YES","NO"))</f>
        <v>NO</v>
      </c>
      <c r="CO136" s="1" t="e">
        <f ca="1">IF(AM136&lt;'Exception Stores'!$A$6,"YES","NO")</f>
        <v>#VALUE!</v>
      </c>
      <c r="CP136" s="1">
        <f t="shared" si="208"/>
        <v>0</v>
      </c>
      <c r="CQ136" s="1">
        <f t="shared" si="209"/>
        <v>0</v>
      </c>
      <c r="CR136" s="1">
        <f t="shared" si="210"/>
        <v>0</v>
      </c>
      <c r="CS136" s="1">
        <f t="shared" si="211"/>
        <v>0</v>
      </c>
      <c r="CT136" s="1">
        <f t="shared" si="212"/>
        <v>0</v>
      </c>
      <c r="CU136" s="1">
        <f t="shared" si="213"/>
        <v>0</v>
      </c>
      <c r="CW136" s="1" t="e">
        <f t="shared" ca="1" si="154"/>
        <v>#VALUE!</v>
      </c>
      <c r="CX136" s="1" t="e">
        <f t="shared" ca="1" si="155"/>
        <v>#VALUE!</v>
      </c>
      <c r="CY136" s="1" t="e">
        <f t="shared" ca="1" si="156"/>
        <v>#VALUE!</v>
      </c>
      <c r="CZ136" s="1" t="e">
        <f t="shared" ca="1" si="157"/>
        <v>#VALUE!</v>
      </c>
      <c r="DA136" s="1" t="e">
        <f t="shared" ca="1" si="158"/>
        <v>#VALUE!</v>
      </c>
      <c r="DB136" s="26" t="e">
        <f t="shared" ca="1" si="214"/>
        <v>#VALUE!</v>
      </c>
      <c r="DC136" s="1">
        <f t="shared" si="159"/>
        <v>0</v>
      </c>
      <c r="DD136" s="1">
        <f t="shared" si="160"/>
        <v>0</v>
      </c>
      <c r="DE136" s="1">
        <f t="shared" si="161"/>
        <v>0</v>
      </c>
      <c r="DF136" s="1">
        <f t="shared" si="162"/>
        <v>0</v>
      </c>
      <c r="DG136" s="1">
        <f t="shared" si="163"/>
        <v>0</v>
      </c>
      <c r="DH136" s="26">
        <f t="shared" si="215"/>
        <v>0</v>
      </c>
      <c r="DI136" s="1" t="e">
        <f t="shared" ca="1" si="216"/>
        <v>#VALUE!</v>
      </c>
      <c r="DK136" s="11" t="str">
        <f t="shared" si="164"/>
        <v/>
      </c>
      <c r="DL136" s="11" t="e">
        <f ca="1">IF(AND(NOT(ISBLANK('Exception Stores'!$A$6)),CO136="YES"),S136-$BH$2-(DI136*$BS$2)-(CU136*$BS$2),S136-(DB136*$BS$2))</f>
        <v>#VALUE!</v>
      </c>
      <c r="DM136" s="11" t="str">
        <f>IF(ISBLANK(A136),"",IF(COUNTIF(Remaps!$A$2:$A$200,B136)&gt;0,"YES",""))</f>
        <v>YES</v>
      </c>
      <c r="DN136" s="29">
        <f>IFERROR(INDEX(Remaps!$B$2:$B$200,MATCH(B136,Remaps!$A$2:$A$200,0),1),0)</f>
        <v>0</v>
      </c>
      <c r="DO136" s="11" t="e">
        <f t="shared" ca="1" si="165"/>
        <v>#VALUE!</v>
      </c>
      <c r="DP136" s="29" t="e">
        <f t="shared" si="166"/>
        <v>#VALUE!</v>
      </c>
      <c r="DQ136" s="11" t="e">
        <f ca="1">('Apollo Dock Status'!$Z$1-DP136)/DO136</f>
        <v>#VALUE!</v>
      </c>
      <c r="DR136" s="15" t="e">
        <f t="shared" ca="1" si="217"/>
        <v>#VALUE!</v>
      </c>
    </row>
    <row r="137" spans="1:122">
      <c r="A137" s="1" t="str">
        <f>IF(ISBLANK('Apollo Dock Status'!A137),"",'Apollo Dock Status'!A137)</f>
        <v/>
      </c>
      <c r="B137" s="1" t="str">
        <f>IF(ISBLANK('Apollo Dock Status'!B137),"",'Apollo Dock Status'!B137)</f>
        <v/>
      </c>
      <c r="C137" s="1" t="str">
        <f>IF(ISBLANK('Apollo Dock Status'!C137),"",'Apollo Dock Status'!C137)</f>
        <v/>
      </c>
      <c r="D137" s="1" t="str">
        <f>IF(ISBLANK('Apollo Dock Status'!D137),"",'Apollo Dock Status'!D137)</f>
        <v/>
      </c>
      <c r="E137" s="1" t="str">
        <f>IF(ISBLANK('Apollo Dock Status'!E137),"",'Apollo Dock Status'!E137)</f>
        <v/>
      </c>
      <c r="F137" s="1" t="str">
        <f>IF(ISBLANK('Apollo Dock Status'!F137),"",'Apollo Dock Status'!F137)</f>
        <v/>
      </c>
      <c r="G137" s="1" t="str">
        <f>IF(ISBLANK('Apollo Dock Status'!G137),"",'Apollo Dock Status'!G137)</f>
        <v/>
      </c>
      <c r="H137" s="1" t="str">
        <f>IF(ISBLANK('Apollo Dock Status'!H137),"",'Apollo Dock Status'!H137)</f>
        <v/>
      </c>
      <c r="I137" s="1" t="str">
        <f>IF(ISBLANK('Apollo Dock Status'!I137),"",'Apollo Dock Status'!I137)</f>
        <v/>
      </c>
      <c r="J137" s="1" t="str">
        <f>IF(ISBLANK('Apollo Dock Status'!J137),"",'Apollo Dock Status'!J137)</f>
        <v/>
      </c>
      <c r="K137" s="1" t="str">
        <f>IF(ISBLANK('Apollo Dock Status'!K137),"",'Apollo Dock Status'!K137)</f>
        <v/>
      </c>
      <c r="L137" s="1" t="str">
        <f>IF(ISBLANK('Apollo Dock Status'!L137),"",'Apollo Dock Status'!L137)</f>
        <v/>
      </c>
      <c r="M137" s="1" t="str">
        <f>IF(ISBLANK('Apollo Dock Status'!M137),"",'Apollo Dock Status'!M137)</f>
        <v/>
      </c>
      <c r="N137" s="1" t="str">
        <f>IF(ISBLANK('Apollo Dock Status'!N137),"",'Apollo Dock Status'!N137)</f>
        <v/>
      </c>
      <c r="O137" s="1" t="str">
        <f t="shared" si="167"/>
        <v/>
      </c>
      <c r="P137" s="1" t="str">
        <f t="shared" si="168"/>
        <v/>
      </c>
      <c r="Q137" s="1" t="str">
        <f t="shared" si="169"/>
        <v/>
      </c>
      <c r="R137" s="1" t="str">
        <f t="shared" si="170"/>
        <v/>
      </c>
      <c r="S137" s="11" t="str">
        <f t="shared" si="171"/>
        <v/>
      </c>
      <c r="T137" s="1" t="str">
        <f t="shared" si="172"/>
        <v/>
      </c>
      <c r="U137" s="11" t="str">
        <f t="shared" si="173"/>
        <v/>
      </c>
      <c r="V137" s="11" t="str">
        <f t="shared" si="174"/>
        <v/>
      </c>
      <c r="X137" s="1" t="str">
        <f t="shared" si="175"/>
        <v/>
      </c>
      <c r="Y137" s="1" t="str">
        <f t="shared" si="176"/>
        <v/>
      </c>
      <c r="Z137" s="1" t="str">
        <f t="shared" si="177"/>
        <v/>
      </c>
      <c r="AB137" s="13">
        <f t="shared" ca="1" si="178"/>
        <v>46176</v>
      </c>
      <c r="AC137" s="1">
        <f t="shared" ca="1" si="179"/>
        <v>2026</v>
      </c>
      <c r="AD137" s="1" t="str">
        <f t="shared" ca="1" si="180"/>
        <v>6</v>
      </c>
      <c r="AE137" s="1">
        <f t="shared" si="181"/>
        <v>1</v>
      </c>
      <c r="AF137" s="1" t="str">
        <f t="shared" si="182"/>
        <v/>
      </c>
      <c r="AG137" s="1">
        <f t="shared" ca="1" si="183"/>
        <v>2026</v>
      </c>
      <c r="AH137" s="1">
        <f t="shared" si="184"/>
        <v>1</v>
      </c>
      <c r="AI137" s="1" t="str">
        <f t="shared" ca="1" si="185"/>
        <v>6</v>
      </c>
      <c r="AJ137" s="13" t="e">
        <f t="shared" ca="1" si="186"/>
        <v>#VALUE!</v>
      </c>
      <c r="AK137" s="1" t="e">
        <f>IF(ISBLANK(A137),"",IFERROR(MID(F137,SEARCH(", ",F137)+LEN(", "),SEARCH(" "&amp;'Exception Stores'!$A$2,F137)-SEARCH(", ",F137)-LEN(", ")),MID(F137,SEARCH(", ",F137)+LEN(", "),SEARCH(" "&amp;'Exception Stores'!$B$2,F137)-SEARCH(", ",F137)-LEN(", "))))</f>
        <v>#VALUE!</v>
      </c>
      <c r="AL137" s="1" t="e">
        <f t="shared" si="187"/>
        <v>#VALUE!</v>
      </c>
      <c r="AM137" s="15" t="e">
        <f t="shared" ca="1" si="188"/>
        <v>#VALUE!</v>
      </c>
      <c r="AN137" s="24" t="e">
        <f t="shared" ca="1" si="189"/>
        <v>#VALUE!</v>
      </c>
      <c r="AO137" s="1" t="e">
        <f t="shared" ca="1" si="190"/>
        <v>#VALUE!</v>
      </c>
      <c r="AP137" s="13" t="e">
        <f t="shared" ca="1" si="191"/>
        <v>#VALUE!</v>
      </c>
      <c r="AQ137" s="17" t="e">
        <f t="shared" ca="1" si="192"/>
        <v>#VALUE!</v>
      </c>
      <c r="AS137" s="15" t="e">
        <f t="shared" ca="1" si="193"/>
        <v>#VALUE!</v>
      </c>
      <c r="AT137" s="5">
        <f>'Exception Stores'!$D$2</f>
        <v>0.125</v>
      </c>
      <c r="AU137" s="15" t="e">
        <f t="shared" ca="1" si="194"/>
        <v>#VALUE!</v>
      </c>
      <c r="AV137" s="15" t="e">
        <f t="shared" ca="1" si="195"/>
        <v>#VALUE!</v>
      </c>
      <c r="AW137" s="15" t="e">
        <f t="shared" ca="1" si="196"/>
        <v>#VALUE!</v>
      </c>
      <c r="AX137" s="15" t="e">
        <f t="shared" ca="1" si="197"/>
        <v>#VALUE!</v>
      </c>
      <c r="AY137" s="15" t="e">
        <f t="shared" ca="1" si="198"/>
        <v>#VALUE!</v>
      </c>
      <c r="AZ137" s="1" t="e">
        <f t="shared" ca="1" si="199"/>
        <v>#VALUE!</v>
      </c>
      <c r="BA137" s="15" t="e">
        <f t="shared" ca="1" si="200"/>
        <v>#VALUE!</v>
      </c>
      <c r="BB137" s="15" t="e">
        <f t="shared" ca="1" si="201"/>
        <v>#VALUE!</v>
      </c>
      <c r="BC137" s="1" t="e">
        <f t="shared" ca="1" si="202"/>
        <v>#VALUE!</v>
      </c>
      <c r="BE137" s="15" t="str">
        <f>IF(ISBLANK('Exception Stores'!$A$6),"",'Exception Stores'!$A$6)</f>
        <v/>
      </c>
      <c r="BF137" s="15" t="str">
        <f>IF(ISBLANK('Exception Stores'!$B$6),"",'Exception Stores'!$B$6)</f>
        <v/>
      </c>
      <c r="BG137" s="1">
        <f>IF(ISBLANK('Exception Stores'!$A$6),0,IF($AN$2&gt;$BF$2,($AN$2-$BF$2)*24,0))</f>
        <v>0</v>
      </c>
      <c r="BH137" s="11">
        <f>IF(ISBLANK('Exception Stores'!$A$6),0,($BF$2-$BE$2)*24)</f>
        <v>0</v>
      </c>
      <c r="BI13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37" s="1">
        <f>IF(ISBLANK('Exception Stores'!$A$6),0,IF($AN$2&gt;$BF$2,0,IF(AND($AN$2&lt;$BF$2,$BT$2="B"),(($BF$2-$AN$2)*24)-$BS$2,($BF$2-$AN$2)*24)))</f>
        <v>0</v>
      </c>
      <c r="BL137" s="5"/>
      <c r="BM137" s="5"/>
      <c r="BN137" s="5"/>
      <c r="BO137" s="5"/>
      <c r="BP137" s="5"/>
      <c r="BV137" s="1" t="e">
        <f t="shared" ca="1" si="203"/>
        <v>#VALUE!</v>
      </c>
      <c r="BW137" s="1" t="e">
        <f t="shared" ca="1" si="204"/>
        <v>#VALUE!</v>
      </c>
      <c r="BX137" s="1" t="e">
        <f t="shared" ca="1" si="205"/>
        <v>#VALUE!</v>
      </c>
      <c r="BY137" s="1" t="e">
        <f t="shared" ca="1" si="206"/>
        <v>#VALUE!</v>
      </c>
      <c r="BZ137" s="1" t="e">
        <f t="shared" ca="1" si="207"/>
        <v>#VALUE!</v>
      </c>
      <c r="CB137" s="1" t="str">
        <f>IF(ISBLANK('Exception Stores'!$A$6),"",WEEKDAY($BF$2))</f>
        <v/>
      </c>
      <c r="CC137" s="1" t="str">
        <f>IF(ISBLANK('Exception Stores'!$A$6),"NO",IF('Exception Stores'!$A$6&lt;$AU$2,"YES","NO"))</f>
        <v>NO</v>
      </c>
      <c r="CD137" s="1" t="str">
        <f>IF(ISBLANK('Exception Stores'!$A$6),"NO",IF('Exception Stores'!$A$6&lt;$AV$2,"YES","NO"))</f>
        <v>NO</v>
      </c>
      <c r="CE137" s="1" t="str">
        <f>IF(ISBLANK('Exception Stores'!$A$6),"NO",IF('Exception Stores'!$A$6&lt;$AW$2,"YES","NO"))</f>
        <v>NO</v>
      </c>
      <c r="CF137" s="1" t="str">
        <f>IF(ISBLANK('Exception Stores'!$A$6),"NO",IF('Exception Stores'!$A$6&lt;$AX$2,"YES","NO"))</f>
        <v>NO</v>
      </c>
      <c r="CG137" s="1" t="str">
        <f>IF(ISBLANK('Exception Stores'!$A$6),"NO",IF('Exception Stores'!$A$6&lt;$AY$2,"YES","NO"))</f>
        <v>NO</v>
      </c>
      <c r="CI137" s="42" t="str">
        <f>IF(ISBLANK('Exception Stores'!$B$6),"NO",IF('Exception Stores'!$B$6&lt;=$AU$2,"YES","NO"))</f>
        <v>NO</v>
      </c>
      <c r="CJ137" s="42" t="str">
        <f>IF(ISBLANK('Exception Stores'!$B$6),"NO",IF('Exception Stores'!$B$6&lt;=$AV$2,"YES","NO"))</f>
        <v>NO</v>
      </c>
      <c r="CK137" s="1" t="str">
        <f>IF(ISBLANK('Exception Stores'!$B$6),"NO",IF('Exception Stores'!$B$6&lt;=$AW$2,"YES","NO"))</f>
        <v>NO</v>
      </c>
      <c r="CL137" s="1" t="str">
        <f>IF(ISBLANK('Exception Stores'!$B$6),"NO",IF('Exception Stores'!$B$6&lt;=$AX$2,"YES","NO"))</f>
        <v>NO</v>
      </c>
      <c r="CM137" s="1" t="str">
        <f>IF(ISBLANK('Exception Stores'!$B$6),"NO",IF('Exception Stores'!$B$6&lt;=$AY$2,"YES","NO"))</f>
        <v>NO</v>
      </c>
      <c r="CO137" s="1" t="e">
        <f ca="1">IF(AM137&lt;'Exception Stores'!$A$6,"YES","NO")</f>
        <v>#VALUE!</v>
      </c>
      <c r="CP137" s="1">
        <f t="shared" si="208"/>
        <v>0</v>
      </c>
      <c r="CQ137" s="1">
        <f t="shared" si="209"/>
        <v>0</v>
      </c>
      <c r="CR137" s="1">
        <f t="shared" si="210"/>
        <v>0</v>
      </c>
      <c r="CS137" s="1">
        <f t="shared" si="211"/>
        <v>0</v>
      </c>
      <c r="CT137" s="1">
        <f t="shared" si="212"/>
        <v>0</v>
      </c>
      <c r="CU137" s="1">
        <f t="shared" si="213"/>
        <v>0</v>
      </c>
      <c r="CW137" s="1" t="e">
        <f t="shared" ca="1" si="154"/>
        <v>#VALUE!</v>
      </c>
      <c r="CX137" s="1" t="e">
        <f t="shared" ca="1" si="155"/>
        <v>#VALUE!</v>
      </c>
      <c r="CY137" s="1" t="e">
        <f t="shared" ca="1" si="156"/>
        <v>#VALUE!</v>
      </c>
      <c r="CZ137" s="1" t="e">
        <f t="shared" ca="1" si="157"/>
        <v>#VALUE!</v>
      </c>
      <c r="DA137" s="1" t="e">
        <f t="shared" ca="1" si="158"/>
        <v>#VALUE!</v>
      </c>
      <c r="DB137" s="26" t="e">
        <f t="shared" ca="1" si="214"/>
        <v>#VALUE!</v>
      </c>
      <c r="DC137" s="1">
        <f t="shared" si="159"/>
        <v>0</v>
      </c>
      <c r="DD137" s="1">
        <f t="shared" si="160"/>
        <v>0</v>
      </c>
      <c r="DE137" s="1">
        <f t="shared" si="161"/>
        <v>0</v>
      </c>
      <c r="DF137" s="1">
        <f t="shared" si="162"/>
        <v>0</v>
      </c>
      <c r="DG137" s="1">
        <f t="shared" si="163"/>
        <v>0</v>
      </c>
      <c r="DH137" s="26">
        <f t="shared" si="215"/>
        <v>0</v>
      </c>
      <c r="DI137" s="1" t="e">
        <f t="shared" ca="1" si="216"/>
        <v>#VALUE!</v>
      </c>
      <c r="DK137" s="11" t="str">
        <f t="shared" si="164"/>
        <v/>
      </c>
      <c r="DL137" s="11" t="e">
        <f ca="1">IF(AND(NOT(ISBLANK('Exception Stores'!$A$6)),CO137="YES"),S137-$BH$2-(DI137*$BS$2)-(CU137*$BS$2),S137-(DB137*$BS$2))</f>
        <v>#VALUE!</v>
      </c>
      <c r="DM137" s="11" t="str">
        <f>IF(ISBLANK(A137),"",IF(COUNTIF(Remaps!$A$2:$A$200,B137)&gt;0,"YES",""))</f>
        <v>YES</v>
      </c>
      <c r="DN137" s="29">
        <f>IFERROR(INDEX(Remaps!$B$2:$B$200,MATCH(B137,Remaps!$A$2:$A$200,0),1),0)</f>
        <v>0</v>
      </c>
      <c r="DO137" s="11" t="e">
        <f t="shared" ca="1" si="165"/>
        <v>#VALUE!</v>
      </c>
      <c r="DP137" s="29" t="e">
        <f t="shared" si="166"/>
        <v>#VALUE!</v>
      </c>
      <c r="DQ137" s="11" t="e">
        <f ca="1">('Apollo Dock Status'!$Z$1-DP137)/DO137</f>
        <v>#VALUE!</v>
      </c>
      <c r="DR137" s="15" t="e">
        <f t="shared" ca="1" si="217"/>
        <v>#VALUE!</v>
      </c>
    </row>
    <row r="138" spans="1:122">
      <c r="A138" s="1" t="str">
        <f>IF(ISBLANK('Apollo Dock Status'!A138),"",'Apollo Dock Status'!A138)</f>
        <v/>
      </c>
      <c r="B138" s="1" t="str">
        <f>IF(ISBLANK('Apollo Dock Status'!B138),"",'Apollo Dock Status'!B138)</f>
        <v/>
      </c>
      <c r="C138" s="1" t="str">
        <f>IF(ISBLANK('Apollo Dock Status'!C138),"",'Apollo Dock Status'!C138)</f>
        <v/>
      </c>
      <c r="D138" s="1" t="str">
        <f>IF(ISBLANK('Apollo Dock Status'!D138),"",'Apollo Dock Status'!D138)</f>
        <v/>
      </c>
      <c r="E138" s="1" t="str">
        <f>IF(ISBLANK('Apollo Dock Status'!E138),"",'Apollo Dock Status'!E138)</f>
        <v/>
      </c>
      <c r="F138" s="1" t="str">
        <f>IF(ISBLANK('Apollo Dock Status'!F138),"",'Apollo Dock Status'!F138)</f>
        <v/>
      </c>
      <c r="G138" s="1" t="str">
        <f>IF(ISBLANK('Apollo Dock Status'!G138),"",'Apollo Dock Status'!G138)</f>
        <v/>
      </c>
      <c r="H138" s="1" t="str">
        <f>IF(ISBLANK('Apollo Dock Status'!H138),"",'Apollo Dock Status'!H138)</f>
        <v/>
      </c>
      <c r="I138" s="1" t="str">
        <f>IF(ISBLANK('Apollo Dock Status'!I138),"",'Apollo Dock Status'!I138)</f>
        <v/>
      </c>
      <c r="J138" s="1" t="str">
        <f>IF(ISBLANK('Apollo Dock Status'!J138),"",'Apollo Dock Status'!J138)</f>
        <v/>
      </c>
      <c r="K138" s="1" t="str">
        <f>IF(ISBLANK('Apollo Dock Status'!K138),"",'Apollo Dock Status'!K138)</f>
        <v/>
      </c>
      <c r="L138" s="1" t="str">
        <f>IF(ISBLANK('Apollo Dock Status'!L138),"",'Apollo Dock Status'!L138)</f>
        <v/>
      </c>
      <c r="M138" s="1" t="str">
        <f>IF(ISBLANK('Apollo Dock Status'!M138),"",'Apollo Dock Status'!M138)</f>
        <v/>
      </c>
      <c r="N138" s="1" t="str">
        <f>IF(ISBLANK('Apollo Dock Status'!N138),"",'Apollo Dock Status'!N138)</f>
        <v/>
      </c>
      <c r="O138" s="1" t="str">
        <f t="shared" si="167"/>
        <v/>
      </c>
      <c r="P138" s="1" t="str">
        <f t="shared" si="168"/>
        <v/>
      </c>
      <c r="Q138" s="1" t="str">
        <f t="shared" si="169"/>
        <v/>
      </c>
      <c r="R138" s="1" t="str">
        <f t="shared" si="170"/>
        <v/>
      </c>
      <c r="S138" s="11" t="str">
        <f t="shared" si="171"/>
        <v/>
      </c>
      <c r="T138" s="1" t="str">
        <f t="shared" si="172"/>
        <v/>
      </c>
      <c r="U138" s="11" t="str">
        <f t="shared" si="173"/>
        <v/>
      </c>
      <c r="V138" s="11" t="str">
        <f t="shared" si="174"/>
        <v/>
      </c>
      <c r="X138" s="1" t="str">
        <f t="shared" si="175"/>
        <v/>
      </c>
      <c r="Y138" s="1" t="str">
        <f t="shared" si="176"/>
        <v/>
      </c>
      <c r="Z138" s="1" t="str">
        <f t="shared" si="177"/>
        <v/>
      </c>
      <c r="AB138" s="13">
        <f t="shared" ca="1" si="178"/>
        <v>46176</v>
      </c>
      <c r="AC138" s="1">
        <f t="shared" ca="1" si="179"/>
        <v>2026</v>
      </c>
      <c r="AD138" s="1" t="str">
        <f t="shared" ca="1" si="180"/>
        <v>6</v>
      </c>
      <c r="AE138" s="1">
        <f t="shared" si="181"/>
        <v>1</v>
      </c>
      <c r="AF138" s="1" t="str">
        <f t="shared" si="182"/>
        <v/>
      </c>
      <c r="AG138" s="1">
        <f t="shared" ca="1" si="183"/>
        <v>2026</v>
      </c>
      <c r="AH138" s="1">
        <f t="shared" si="184"/>
        <v>1</v>
      </c>
      <c r="AI138" s="1" t="str">
        <f t="shared" ca="1" si="185"/>
        <v>6</v>
      </c>
      <c r="AJ138" s="13" t="e">
        <f t="shared" ca="1" si="186"/>
        <v>#VALUE!</v>
      </c>
      <c r="AK138" s="1" t="e">
        <f>IF(ISBLANK(A138),"",IFERROR(MID(F138,SEARCH(", ",F138)+LEN(", "),SEARCH(" "&amp;'Exception Stores'!$A$2,F138)-SEARCH(", ",F138)-LEN(", ")),MID(F138,SEARCH(", ",F138)+LEN(", "),SEARCH(" "&amp;'Exception Stores'!$B$2,F138)-SEARCH(", ",F138)-LEN(", "))))</f>
        <v>#VALUE!</v>
      </c>
      <c r="AL138" s="1" t="e">
        <f t="shared" si="187"/>
        <v>#VALUE!</v>
      </c>
      <c r="AM138" s="15" t="e">
        <f t="shared" ca="1" si="188"/>
        <v>#VALUE!</v>
      </c>
      <c r="AN138" s="24" t="e">
        <f t="shared" ca="1" si="189"/>
        <v>#VALUE!</v>
      </c>
      <c r="AO138" s="1" t="e">
        <f t="shared" ca="1" si="190"/>
        <v>#VALUE!</v>
      </c>
      <c r="AP138" s="13" t="e">
        <f t="shared" ca="1" si="191"/>
        <v>#VALUE!</v>
      </c>
      <c r="AQ138" s="17" t="e">
        <f t="shared" ca="1" si="192"/>
        <v>#VALUE!</v>
      </c>
      <c r="AS138" s="15" t="e">
        <f t="shared" ca="1" si="193"/>
        <v>#VALUE!</v>
      </c>
      <c r="AT138" s="5">
        <f>'Exception Stores'!$D$2</f>
        <v>0.125</v>
      </c>
      <c r="AU138" s="15" t="e">
        <f t="shared" ca="1" si="194"/>
        <v>#VALUE!</v>
      </c>
      <c r="AV138" s="15" t="e">
        <f t="shared" ca="1" si="195"/>
        <v>#VALUE!</v>
      </c>
      <c r="AW138" s="15" t="e">
        <f t="shared" ca="1" si="196"/>
        <v>#VALUE!</v>
      </c>
      <c r="AX138" s="15" t="e">
        <f t="shared" ca="1" si="197"/>
        <v>#VALUE!</v>
      </c>
      <c r="AY138" s="15" t="e">
        <f t="shared" ca="1" si="198"/>
        <v>#VALUE!</v>
      </c>
      <c r="AZ138" s="1" t="e">
        <f t="shared" ca="1" si="199"/>
        <v>#VALUE!</v>
      </c>
      <c r="BA138" s="15" t="e">
        <f t="shared" ca="1" si="200"/>
        <v>#VALUE!</v>
      </c>
      <c r="BB138" s="15" t="e">
        <f t="shared" ca="1" si="201"/>
        <v>#VALUE!</v>
      </c>
      <c r="BC138" s="1" t="e">
        <f t="shared" ca="1" si="202"/>
        <v>#VALUE!</v>
      </c>
      <c r="BE138" s="15" t="str">
        <f>IF(ISBLANK('Exception Stores'!$A$6),"",'Exception Stores'!$A$6)</f>
        <v/>
      </c>
      <c r="BF138" s="15" t="str">
        <f>IF(ISBLANK('Exception Stores'!$B$6),"",'Exception Stores'!$B$6)</f>
        <v/>
      </c>
      <c r="BG138" s="1">
        <f>IF(ISBLANK('Exception Stores'!$A$6),0,IF($AN$2&gt;$BF$2,($AN$2-$BF$2)*24,0))</f>
        <v>0</v>
      </c>
      <c r="BH138" s="11">
        <f>IF(ISBLANK('Exception Stores'!$A$6),0,($BF$2-$BE$2)*24)</f>
        <v>0</v>
      </c>
      <c r="BI13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38" s="1">
        <f>IF(ISBLANK('Exception Stores'!$A$6),0,IF($AN$2&gt;$BF$2,0,IF(AND($AN$2&lt;$BF$2,$BT$2="B"),(($BF$2-$AN$2)*24)-$BS$2,($BF$2-$AN$2)*24)))</f>
        <v>0</v>
      </c>
      <c r="BL138" s="5"/>
      <c r="BM138" s="5"/>
      <c r="BN138" s="5"/>
      <c r="BO138" s="5"/>
      <c r="BP138" s="5"/>
      <c r="BV138" s="1" t="e">
        <f t="shared" ca="1" si="203"/>
        <v>#VALUE!</v>
      </c>
      <c r="BW138" s="1" t="e">
        <f t="shared" ca="1" si="204"/>
        <v>#VALUE!</v>
      </c>
      <c r="BX138" s="1" t="e">
        <f t="shared" ca="1" si="205"/>
        <v>#VALUE!</v>
      </c>
      <c r="BY138" s="1" t="e">
        <f t="shared" ca="1" si="206"/>
        <v>#VALUE!</v>
      </c>
      <c r="BZ138" s="1" t="e">
        <f t="shared" ca="1" si="207"/>
        <v>#VALUE!</v>
      </c>
      <c r="CB138" s="1" t="str">
        <f>IF(ISBLANK('Exception Stores'!$A$6),"",WEEKDAY($BF$2))</f>
        <v/>
      </c>
      <c r="CC138" s="1" t="str">
        <f>IF(ISBLANK('Exception Stores'!$A$6),"NO",IF('Exception Stores'!$A$6&lt;$AU$2,"YES","NO"))</f>
        <v>NO</v>
      </c>
      <c r="CD138" s="1" t="str">
        <f>IF(ISBLANK('Exception Stores'!$A$6),"NO",IF('Exception Stores'!$A$6&lt;$AV$2,"YES","NO"))</f>
        <v>NO</v>
      </c>
      <c r="CE138" s="1" t="str">
        <f>IF(ISBLANK('Exception Stores'!$A$6),"NO",IF('Exception Stores'!$A$6&lt;$AW$2,"YES","NO"))</f>
        <v>NO</v>
      </c>
      <c r="CF138" s="1" t="str">
        <f>IF(ISBLANK('Exception Stores'!$A$6),"NO",IF('Exception Stores'!$A$6&lt;$AX$2,"YES","NO"))</f>
        <v>NO</v>
      </c>
      <c r="CG138" s="1" t="str">
        <f>IF(ISBLANK('Exception Stores'!$A$6),"NO",IF('Exception Stores'!$A$6&lt;$AY$2,"YES","NO"))</f>
        <v>NO</v>
      </c>
      <c r="CI138" s="42" t="str">
        <f>IF(ISBLANK('Exception Stores'!$B$6),"NO",IF('Exception Stores'!$B$6&lt;=$AU$2,"YES","NO"))</f>
        <v>NO</v>
      </c>
      <c r="CJ138" s="42" t="str">
        <f>IF(ISBLANK('Exception Stores'!$B$6),"NO",IF('Exception Stores'!$B$6&lt;=$AV$2,"YES","NO"))</f>
        <v>NO</v>
      </c>
      <c r="CK138" s="1" t="str">
        <f>IF(ISBLANK('Exception Stores'!$B$6),"NO",IF('Exception Stores'!$B$6&lt;=$AW$2,"YES","NO"))</f>
        <v>NO</v>
      </c>
      <c r="CL138" s="1" t="str">
        <f>IF(ISBLANK('Exception Stores'!$B$6),"NO",IF('Exception Stores'!$B$6&lt;=$AX$2,"YES","NO"))</f>
        <v>NO</v>
      </c>
      <c r="CM138" s="1" t="str">
        <f>IF(ISBLANK('Exception Stores'!$B$6),"NO",IF('Exception Stores'!$B$6&lt;=$AY$2,"YES","NO"))</f>
        <v>NO</v>
      </c>
      <c r="CO138" s="1" t="e">
        <f ca="1">IF(AM138&lt;'Exception Stores'!$A$6,"YES","NO")</f>
        <v>#VALUE!</v>
      </c>
      <c r="CP138" s="1">
        <f t="shared" si="208"/>
        <v>0</v>
      </c>
      <c r="CQ138" s="1">
        <f t="shared" si="209"/>
        <v>0</v>
      </c>
      <c r="CR138" s="1">
        <f t="shared" si="210"/>
        <v>0</v>
      </c>
      <c r="CS138" s="1">
        <f t="shared" si="211"/>
        <v>0</v>
      </c>
      <c r="CT138" s="1">
        <f t="shared" si="212"/>
        <v>0</v>
      </c>
      <c r="CU138" s="1">
        <f t="shared" si="213"/>
        <v>0</v>
      </c>
      <c r="CW138" s="1" t="e">
        <f t="shared" ca="1" si="154"/>
        <v>#VALUE!</v>
      </c>
      <c r="CX138" s="1" t="e">
        <f t="shared" ca="1" si="155"/>
        <v>#VALUE!</v>
      </c>
      <c r="CY138" s="1" t="e">
        <f t="shared" ca="1" si="156"/>
        <v>#VALUE!</v>
      </c>
      <c r="CZ138" s="1" t="e">
        <f t="shared" ca="1" si="157"/>
        <v>#VALUE!</v>
      </c>
      <c r="DA138" s="1" t="e">
        <f t="shared" ca="1" si="158"/>
        <v>#VALUE!</v>
      </c>
      <c r="DB138" s="26" t="e">
        <f t="shared" ca="1" si="214"/>
        <v>#VALUE!</v>
      </c>
      <c r="DC138" s="1">
        <f t="shared" si="159"/>
        <v>0</v>
      </c>
      <c r="DD138" s="1">
        <f t="shared" si="160"/>
        <v>0</v>
      </c>
      <c r="DE138" s="1">
        <f t="shared" si="161"/>
        <v>0</v>
      </c>
      <c r="DF138" s="1">
        <f t="shared" si="162"/>
        <v>0</v>
      </c>
      <c r="DG138" s="1">
        <f t="shared" si="163"/>
        <v>0</v>
      </c>
      <c r="DH138" s="26">
        <f t="shared" si="215"/>
        <v>0</v>
      </c>
      <c r="DI138" s="1" t="e">
        <f t="shared" ca="1" si="216"/>
        <v>#VALUE!</v>
      </c>
      <c r="DK138" s="11" t="str">
        <f t="shared" si="164"/>
        <v/>
      </c>
      <c r="DL138" s="11" t="e">
        <f ca="1">IF(AND(NOT(ISBLANK('Exception Stores'!$A$6)),CO138="YES"),S138-$BH$2-(DI138*$BS$2)-(CU138*$BS$2),S138-(DB138*$BS$2))</f>
        <v>#VALUE!</v>
      </c>
      <c r="DM138" s="11" t="str">
        <f>IF(ISBLANK(A138),"",IF(COUNTIF(Remaps!$A$2:$A$200,B138)&gt;0,"YES",""))</f>
        <v>YES</v>
      </c>
      <c r="DN138" s="29">
        <f>IFERROR(INDEX(Remaps!$B$2:$B$200,MATCH(B138,Remaps!$A$2:$A$200,0),1),0)</f>
        <v>0</v>
      </c>
      <c r="DO138" s="11" t="e">
        <f t="shared" ca="1" si="165"/>
        <v>#VALUE!</v>
      </c>
      <c r="DP138" s="29" t="e">
        <f t="shared" si="166"/>
        <v>#VALUE!</v>
      </c>
      <c r="DQ138" s="11" t="e">
        <f ca="1">('Apollo Dock Status'!$Z$1-DP138)/DO138</f>
        <v>#VALUE!</v>
      </c>
      <c r="DR138" s="15" t="e">
        <f t="shared" ca="1" si="217"/>
        <v>#VALUE!</v>
      </c>
    </row>
    <row r="139" spans="1:122">
      <c r="A139" s="1" t="str">
        <f>IF(ISBLANK('Apollo Dock Status'!A139),"",'Apollo Dock Status'!A139)</f>
        <v/>
      </c>
      <c r="B139" s="1" t="str">
        <f>IF(ISBLANK('Apollo Dock Status'!B139),"",'Apollo Dock Status'!B139)</f>
        <v/>
      </c>
      <c r="C139" s="1" t="str">
        <f>IF(ISBLANK('Apollo Dock Status'!C139),"",'Apollo Dock Status'!C139)</f>
        <v/>
      </c>
      <c r="D139" s="1" t="str">
        <f>IF(ISBLANK('Apollo Dock Status'!D139),"",'Apollo Dock Status'!D139)</f>
        <v/>
      </c>
      <c r="E139" s="1" t="str">
        <f>IF(ISBLANK('Apollo Dock Status'!E139),"",'Apollo Dock Status'!E139)</f>
        <v/>
      </c>
      <c r="F139" s="1" t="str">
        <f>IF(ISBLANK('Apollo Dock Status'!F139),"",'Apollo Dock Status'!F139)</f>
        <v/>
      </c>
      <c r="G139" s="1" t="str">
        <f>IF(ISBLANK('Apollo Dock Status'!G139),"",'Apollo Dock Status'!G139)</f>
        <v/>
      </c>
      <c r="H139" s="1" t="str">
        <f>IF(ISBLANK('Apollo Dock Status'!H139),"",'Apollo Dock Status'!H139)</f>
        <v/>
      </c>
      <c r="I139" s="1" t="str">
        <f>IF(ISBLANK('Apollo Dock Status'!I139),"",'Apollo Dock Status'!I139)</f>
        <v/>
      </c>
      <c r="J139" s="1" t="str">
        <f>IF(ISBLANK('Apollo Dock Status'!J139),"",'Apollo Dock Status'!J139)</f>
        <v/>
      </c>
      <c r="K139" s="1" t="str">
        <f>IF(ISBLANK('Apollo Dock Status'!K139),"",'Apollo Dock Status'!K139)</f>
        <v/>
      </c>
      <c r="L139" s="1" t="str">
        <f>IF(ISBLANK('Apollo Dock Status'!L139),"",'Apollo Dock Status'!L139)</f>
        <v/>
      </c>
      <c r="M139" s="1" t="str">
        <f>IF(ISBLANK('Apollo Dock Status'!M139),"",'Apollo Dock Status'!M139)</f>
        <v/>
      </c>
      <c r="N139" s="1" t="str">
        <f>IF(ISBLANK('Apollo Dock Status'!N139),"",'Apollo Dock Status'!N139)</f>
        <v/>
      </c>
      <c r="O139" s="1" t="str">
        <f t="shared" si="167"/>
        <v/>
      </c>
      <c r="P139" s="1" t="str">
        <f t="shared" si="168"/>
        <v/>
      </c>
      <c r="Q139" s="1" t="str">
        <f t="shared" si="169"/>
        <v/>
      </c>
      <c r="R139" s="1" t="str">
        <f t="shared" si="170"/>
        <v/>
      </c>
      <c r="S139" s="11" t="str">
        <f t="shared" si="171"/>
        <v/>
      </c>
      <c r="T139" s="1" t="str">
        <f t="shared" si="172"/>
        <v/>
      </c>
      <c r="U139" s="11" t="str">
        <f t="shared" si="173"/>
        <v/>
      </c>
      <c r="V139" s="11" t="str">
        <f t="shared" si="174"/>
        <v/>
      </c>
      <c r="X139" s="1" t="str">
        <f t="shared" si="175"/>
        <v/>
      </c>
      <c r="Y139" s="1" t="str">
        <f t="shared" si="176"/>
        <v/>
      </c>
      <c r="Z139" s="1" t="str">
        <f t="shared" si="177"/>
        <v/>
      </c>
      <c r="AB139" s="13">
        <f t="shared" ca="1" si="178"/>
        <v>46176</v>
      </c>
      <c r="AC139" s="1">
        <f t="shared" ca="1" si="179"/>
        <v>2026</v>
      </c>
      <c r="AD139" s="1" t="str">
        <f t="shared" ca="1" si="180"/>
        <v>6</v>
      </c>
      <c r="AE139" s="1">
        <f t="shared" si="181"/>
        <v>1</v>
      </c>
      <c r="AF139" s="1" t="str">
        <f t="shared" si="182"/>
        <v/>
      </c>
      <c r="AG139" s="1">
        <f t="shared" ca="1" si="183"/>
        <v>2026</v>
      </c>
      <c r="AH139" s="1">
        <f t="shared" si="184"/>
        <v>1</v>
      </c>
      <c r="AI139" s="1" t="str">
        <f t="shared" ca="1" si="185"/>
        <v>6</v>
      </c>
      <c r="AJ139" s="13" t="e">
        <f t="shared" ca="1" si="186"/>
        <v>#VALUE!</v>
      </c>
      <c r="AK139" s="1" t="e">
        <f>IF(ISBLANK(A139),"",IFERROR(MID(F139,SEARCH(", ",F139)+LEN(", "),SEARCH(" "&amp;'Exception Stores'!$A$2,F139)-SEARCH(", ",F139)-LEN(", ")),MID(F139,SEARCH(", ",F139)+LEN(", "),SEARCH(" "&amp;'Exception Stores'!$B$2,F139)-SEARCH(", ",F139)-LEN(", "))))</f>
        <v>#VALUE!</v>
      </c>
      <c r="AL139" s="1" t="e">
        <f t="shared" si="187"/>
        <v>#VALUE!</v>
      </c>
      <c r="AM139" s="15" t="e">
        <f t="shared" ca="1" si="188"/>
        <v>#VALUE!</v>
      </c>
      <c r="AN139" s="24" t="e">
        <f t="shared" ca="1" si="189"/>
        <v>#VALUE!</v>
      </c>
      <c r="AO139" s="1" t="e">
        <f t="shared" ca="1" si="190"/>
        <v>#VALUE!</v>
      </c>
      <c r="AP139" s="13" t="e">
        <f t="shared" ca="1" si="191"/>
        <v>#VALUE!</v>
      </c>
      <c r="AQ139" s="17" t="e">
        <f t="shared" ca="1" si="192"/>
        <v>#VALUE!</v>
      </c>
      <c r="AS139" s="15" t="e">
        <f t="shared" ca="1" si="193"/>
        <v>#VALUE!</v>
      </c>
      <c r="AT139" s="5">
        <f>'Exception Stores'!$D$2</f>
        <v>0.125</v>
      </c>
      <c r="AU139" s="15" t="e">
        <f t="shared" ca="1" si="194"/>
        <v>#VALUE!</v>
      </c>
      <c r="AV139" s="15" t="e">
        <f t="shared" ca="1" si="195"/>
        <v>#VALUE!</v>
      </c>
      <c r="AW139" s="15" t="e">
        <f t="shared" ca="1" si="196"/>
        <v>#VALUE!</v>
      </c>
      <c r="AX139" s="15" t="e">
        <f t="shared" ca="1" si="197"/>
        <v>#VALUE!</v>
      </c>
      <c r="AY139" s="15" t="e">
        <f t="shared" ca="1" si="198"/>
        <v>#VALUE!</v>
      </c>
      <c r="AZ139" s="1" t="e">
        <f t="shared" ca="1" si="199"/>
        <v>#VALUE!</v>
      </c>
      <c r="BA139" s="15" t="e">
        <f t="shared" ca="1" si="200"/>
        <v>#VALUE!</v>
      </c>
      <c r="BB139" s="15" t="e">
        <f t="shared" ca="1" si="201"/>
        <v>#VALUE!</v>
      </c>
      <c r="BC139" s="1" t="e">
        <f t="shared" ca="1" si="202"/>
        <v>#VALUE!</v>
      </c>
      <c r="BE139" s="15" t="str">
        <f>IF(ISBLANK('Exception Stores'!$A$6),"",'Exception Stores'!$A$6)</f>
        <v/>
      </c>
      <c r="BF139" s="15" t="str">
        <f>IF(ISBLANK('Exception Stores'!$B$6),"",'Exception Stores'!$B$6)</f>
        <v/>
      </c>
      <c r="BG139" s="1">
        <f>IF(ISBLANK('Exception Stores'!$A$6),0,IF($AN$2&gt;$BF$2,($AN$2-$BF$2)*24,0))</f>
        <v>0</v>
      </c>
      <c r="BH139" s="11">
        <f>IF(ISBLANK('Exception Stores'!$A$6),0,($BF$2-$BE$2)*24)</f>
        <v>0</v>
      </c>
      <c r="BI13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39" s="1">
        <f>IF(ISBLANK('Exception Stores'!$A$6),0,IF($AN$2&gt;$BF$2,0,IF(AND($AN$2&lt;$BF$2,$BT$2="B"),(($BF$2-$AN$2)*24)-$BS$2,($BF$2-$AN$2)*24)))</f>
        <v>0</v>
      </c>
      <c r="BL139" s="5"/>
      <c r="BM139" s="5"/>
      <c r="BN139" s="5"/>
      <c r="BO139" s="5"/>
      <c r="BP139" s="5"/>
      <c r="BV139" s="1" t="e">
        <f t="shared" ca="1" si="203"/>
        <v>#VALUE!</v>
      </c>
      <c r="BW139" s="1" t="e">
        <f t="shared" ca="1" si="204"/>
        <v>#VALUE!</v>
      </c>
      <c r="BX139" s="1" t="e">
        <f t="shared" ca="1" si="205"/>
        <v>#VALUE!</v>
      </c>
      <c r="BY139" s="1" t="e">
        <f t="shared" ca="1" si="206"/>
        <v>#VALUE!</v>
      </c>
      <c r="BZ139" s="1" t="e">
        <f t="shared" ca="1" si="207"/>
        <v>#VALUE!</v>
      </c>
      <c r="CB139" s="1" t="str">
        <f>IF(ISBLANK('Exception Stores'!$A$6),"",WEEKDAY($BF$2))</f>
        <v/>
      </c>
      <c r="CC139" s="1" t="str">
        <f>IF(ISBLANK('Exception Stores'!$A$6),"NO",IF('Exception Stores'!$A$6&lt;$AU$2,"YES","NO"))</f>
        <v>NO</v>
      </c>
      <c r="CD139" s="1" t="str">
        <f>IF(ISBLANK('Exception Stores'!$A$6),"NO",IF('Exception Stores'!$A$6&lt;$AV$2,"YES","NO"))</f>
        <v>NO</v>
      </c>
      <c r="CE139" s="1" t="str">
        <f>IF(ISBLANK('Exception Stores'!$A$6),"NO",IF('Exception Stores'!$A$6&lt;$AW$2,"YES","NO"))</f>
        <v>NO</v>
      </c>
      <c r="CF139" s="1" t="str">
        <f>IF(ISBLANK('Exception Stores'!$A$6),"NO",IF('Exception Stores'!$A$6&lt;$AX$2,"YES","NO"))</f>
        <v>NO</v>
      </c>
      <c r="CG139" s="1" t="str">
        <f>IF(ISBLANK('Exception Stores'!$A$6),"NO",IF('Exception Stores'!$A$6&lt;$AY$2,"YES","NO"))</f>
        <v>NO</v>
      </c>
      <c r="CI139" s="42" t="str">
        <f>IF(ISBLANK('Exception Stores'!$B$6),"NO",IF('Exception Stores'!$B$6&lt;=$AU$2,"YES","NO"))</f>
        <v>NO</v>
      </c>
      <c r="CJ139" s="42" t="str">
        <f>IF(ISBLANK('Exception Stores'!$B$6),"NO",IF('Exception Stores'!$B$6&lt;=$AV$2,"YES","NO"))</f>
        <v>NO</v>
      </c>
      <c r="CK139" s="1" t="str">
        <f>IF(ISBLANK('Exception Stores'!$B$6),"NO",IF('Exception Stores'!$B$6&lt;=$AW$2,"YES","NO"))</f>
        <v>NO</v>
      </c>
      <c r="CL139" s="1" t="str">
        <f>IF(ISBLANK('Exception Stores'!$B$6),"NO",IF('Exception Stores'!$B$6&lt;=$AX$2,"YES","NO"))</f>
        <v>NO</v>
      </c>
      <c r="CM139" s="1" t="str">
        <f>IF(ISBLANK('Exception Stores'!$B$6),"NO",IF('Exception Stores'!$B$6&lt;=$AY$2,"YES","NO"))</f>
        <v>NO</v>
      </c>
      <c r="CO139" s="1" t="e">
        <f ca="1">IF(AM139&lt;'Exception Stores'!$A$6,"YES","NO")</f>
        <v>#VALUE!</v>
      </c>
      <c r="CP139" s="1">
        <f t="shared" si="208"/>
        <v>0</v>
      </c>
      <c r="CQ139" s="1">
        <f t="shared" si="209"/>
        <v>0</v>
      </c>
      <c r="CR139" s="1">
        <f t="shared" si="210"/>
        <v>0</v>
      </c>
      <c r="CS139" s="1">
        <f t="shared" si="211"/>
        <v>0</v>
      </c>
      <c r="CT139" s="1">
        <f t="shared" si="212"/>
        <v>0</v>
      </c>
      <c r="CU139" s="1">
        <f t="shared" si="213"/>
        <v>0</v>
      </c>
      <c r="CW139" s="1" t="e">
        <f t="shared" ca="1" si="154"/>
        <v>#VALUE!</v>
      </c>
      <c r="CX139" s="1" t="e">
        <f t="shared" ca="1" si="155"/>
        <v>#VALUE!</v>
      </c>
      <c r="CY139" s="1" t="e">
        <f t="shared" ca="1" si="156"/>
        <v>#VALUE!</v>
      </c>
      <c r="CZ139" s="1" t="e">
        <f t="shared" ca="1" si="157"/>
        <v>#VALUE!</v>
      </c>
      <c r="DA139" s="1" t="e">
        <f t="shared" ca="1" si="158"/>
        <v>#VALUE!</v>
      </c>
      <c r="DB139" s="26" t="e">
        <f t="shared" ca="1" si="214"/>
        <v>#VALUE!</v>
      </c>
      <c r="DC139" s="1">
        <f t="shared" si="159"/>
        <v>0</v>
      </c>
      <c r="DD139" s="1">
        <f t="shared" si="160"/>
        <v>0</v>
      </c>
      <c r="DE139" s="1">
        <f t="shared" si="161"/>
        <v>0</v>
      </c>
      <c r="DF139" s="1">
        <f t="shared" si="162"/>
        <v>0</v>
      </c>
      <c r="DG139" s="1">
        <f t="shared" si="163"/>
        <v>0</v>
      </c>
      <c r="DH139" s="26">
        <f t="shared" si="215"/>
        <v>0</v>
      </c>
      <c r="DI139" s="1" t="e">
        <f t="shared" ca="1" si="216"/>
        <v>#VALUE!</v>
      </c>
      <c r="DK139" s="11" t="str">
        <f t="shared" si="164"/>
        <v/>
      </c>
      <c r="DL139" s="11" t="e">
        <f ca="1">IF(AND(NOT(ISBLANK('Exception Stores'!$A$6)),CO139="YES"),S139-$BH$2-(DI139*$BS$2)-(CU139*$BS$2),S139-(DB139*$BS$2))</f>
        <v>#VALUE!</v>
      </c>
      <c r="DM139" s="11" t="str">
        <f>IF(ISBLANK(A139),"",IF(COUNTIF(Remaps!$A$2:$A$200,B139)&gt;0,"YES",""))</f>
        <v>YES</v>
      </c>
      <c r="DN139" s="29">
        <f>IFERROR(INDEX(Remaps!$B$2:$B$200,MATCH(B139,Remaps!$A$2:$A$200,0),1),0)</f>
        <v>0</v>
      </c>
      <c r="DO139" s="11" t="e">
        <f t="shared" ca="1" si="165"/>
        <v>#VALUE!</v>
      </c>
      <c r="DP139" s="29" t="e">
        <f t="shared" si="166"/>
        <v>#VALUE!</v>
      </c>
      <c r="DQ139" s="11" t="e">
        <f ca="1">('Apollo Dock Status'!$Z$1-DP139)/DO139</f>
        <v>#VALUE!</v>
      </c>
      <c r="DR139" s="15" t="e">
        <f t="shared" ca="1" si="217"/>
        <v>#VALUE!</v>
      </c>
    </row>
    <row r="140" spans="1:122">
      <c r="A140" s="1" t="str">
        <f>IF(ISBLANK('Apollo Dock Status'!A140),"",'Apollo Dock Status'!A140)</f>
        <v/>
      </c>
      <c r="B140" s="1" t="str">
        <f>IF(ISBLANK('Apollo Dock Status'!B140),"",'Apollo Dock Status'!B140)</f>
        <v/>
      </c>
      <c r="C140" s="1" t="str">
        <f>IF(ISBLANK('Apollo Dock Status'!C140),"",'Apollo Dock Status'!C140)</f>
        <v/>
      </c>
      <c r="D140" s="1" t="str">
        <f>IF(ISBLANK('Apollo Dock Status'!D140),"",'Apollo Dock Status'!D140)</f>
        <v/>
      </c>
      <c r="E140" s="1" t="str">
        <f>IF(ISBLANK('Apollo Dock Status'!E140),"",'Apollo Dock Status'!E140)</f>
        <v/>
      </c>
      <c r="F140" s="1" t="str">
        <f>IF(ISBLANK('Apollo Dock Status'!F140),"",'Apollo Dock Status'!F140)</f>
        <v/>
      </c>
      <c r="G140" s="1" t="str">
        <f>IF(ISBLANK('Apollo Dock Status'!G140),"",'Apollo Dock Status'!G140)</f>
        <v/>
      </c>
      <c r="H140" s="1" t="str">
        <f>IF(ISBLANK('Apollo Dock Status'!H140),"",'Apollo Dock Status'!H140)</f>
        <v/>
      </c>
      <c r="I140" s="1" t="str">
        <f>IF(ISBLANK('Apollo Dock Status'!I140),"",'Apollo Dock Status'!I140)</f>
        <v/>
      </c>
      <c r="J140" s="1" t="str">
        <f>IF(ISBLANK('Apollo Dock Status'!J140),"",'Apollo Dock Status'!J140)</f>
        <v/>
      </c>
      <c r="K140" s="1" t="str">
        <f>IF(ISBLANK('Apollo Dock Status'!K140),"",'Apollo Dock Status'!K140)</f>
        <v/>
      </c>
      <c r="L140" s="1" t="str">
        <f>IF(ISBLANK('Apollo Dock Status'!L140),"",'Apollo Dock Status'!L140)</f>
        <v/>
      </c>
      <c r="M140" s="1" t="str">
        <f>IF(ISBLANK('Apollo Dock Status'!M140),"",'Apollo Dock Status'!M140)</f>
        <v/>
      </c>
      <c r="N140" s="1" t="str">
        <f>IF(ISBLANK('Apollo Dock Status'!N140),"",'Apollo Dock Status'!N140)</f>
        <v/>
      </c>
      <c r="O140" s="1" t="str">
        <f t="shared" si="167"/>
        <v/>
      </c>
      <c r="P140" s="1" t="str">
        <f t="shared" si="168"/>
        <v/>
      </c>
      <c r="Q140" s="1" t="str">
        <f t="shared" si="169"/>
        <v/>
      </c>
      <c r="R140" s="1" t="str">
        <f t="shared" si="170"/>
        <v/>
      </c>
      <c r="S140" s="11" t="str">
        <f t="shared" si="171"/>
        <v/>
      </c>
      <c r="T140" s="1" t="str">
        <f t="shared" si="172"/>
        <v/>
      </c>
      <c r="U140" s="11" t="str">
        <f t="shared" si="173"/>
        <v/>
      </c>
      <c r="V140" s="11" t="str">
        <f t="shared" si="174"/>
        <v/>
      </c>
      <c r="X140" s="1" t="str">
        <f t="shared" si="175"/>
        <v/>
      </c>
      <c r="Y140" s="1" t="str">
        <f t="shared" si="176"/>
        <v/>
      </c>
      <c r="Z140" s="1" t="str">
        <f t="shared" si="177"/>
        <v/>
      </c>
      <c r="AB140" s="13">
        <f t="shared" ca="1" si="178"/>
        <v>46176</v>
      </c>
      <c r="AC140" s="1">
        <f t="shared" ca="1" si="179"/>
        <v>2026</v>
      </c>
      <c r="AD140" s="1" t="str">
        <f t="shared" ca="1" si="180"/>
        <v>6</v>
      </c>
      <c r="AE140" s="1">
        <f t="shared" si="181"/>
        <v>1</v>
      </c>
      <c r="AF140" s="1" t="str">
        <f t="shared" si="182"/>
        <v/>
      </c>
      <c r="AG140" s="1">
        <f t="shared" ca="1" si="183"/>
        <v>2026</v>
      </c>
      <c r="AH140" s="1">
        <f t="shared" si="184"/>
        <v>1</v>
      </c>
      <c r="AI140" s="1" t="str">
        <f t="shared" ca="1" si="185"/>
        <v>6</v>
      </c>
      <c r="AJ140" s="13" t="e">
        <f t="shared" ca="1" si="186"/>
        <v>#VALUE!</v>
      </c>
      <c r="AK140" s="1" t="e">
        <f>IF(ISBLANK(A140),"",IFERROR(MID(F140,SEARCH(", ",F140)+LEN(", "),SEARCH(" "&amp;'Exception Stores'!$A$2,F140)-SEARCH(", ",F140)-LEN(", ")),MID(F140,SEARCH(", ",F140)+LEN(", "),SEARCH(" "&amp;'Exception Stores'!$B$2,F140)-SEARCH(", ",F140)-LEN(", "))))</f>
        <v>#VALUE!</v>
      </c>
      <c r="AL140" s="1" t="e">
        <f t="shared" si="187"/>
        <v>#VALUE!</v>
      </c>
      <c r="AM140" s="15" t="e">
        <f t="shared" ca="1" si="188"/>
        <v>#VALUE!</v>
      </c>
      <c r="AN140" s="24" t="e">
        <f t="shared" ca="1" si="189"/>
        <v>#VALUE!</v>
      </c>
      <c r="AO140" s="1" t="e">
        <f t="shared" ca="1" si="190"/>
        <v>#VALUE!</v>
      </c>
      <c r="AP140" s="13" t="e">
        <f t="shared" ca="1" si="191"/>
        <v>#VALUE!</v>
      </c>
      <c r="AQ140" s="17" t="e">
        <f t="shared" ca="1" si="192"/>
        <v>#VALUE!</v>
      </c>
      <c r="AS140" s="15" t="e">
        <f t="shared" ca="1" si="193"/>
        <v>#VALUE!</v>
      </c>
      <c r="AT140" s="5">
        <f>'Exception Stores'!$D$2</f>
        <v>0.125</v>
      </c>
      <c r="AU140" s="15" t="e">
        <f t="shared" ca="1" si="194"/>
        <v>#VALUE!</v>
      </c>
      <c r="AV140" s="15" t="e">
        <f t="shared" ca="1" si="195"/>
        <v>#VALUE!</v>
      </c>
      <c r="AW140" s="15" t="e">
        <f t="shared" ca="1" si="196"/>
        <v>#VALUE!</v>
      </c>
      <c r="AX140" s="15" t="e">
        <f t="shared" ca="1" si="197"/>
        <v>#VALUE!</v>
      </c>
      <c r="AY140" s="15" t="e">
        <f t="shared" ca="1" si="198"/>
        <v>#VALUE!</v>
      </c>
      <c r="AZ140" s="1" t="e">
        <f t="shared" ca="1" si="199"/>
        <v>#VALUE!</v>
      </c>
      <c r="BA140" s="15" t="e">
        <f t="shared" ca="1" si="200"/>
        <v>#VALUE!</v>
      </c>
      <c r="BB140" s="15" t="e">
        <f t="shared" ca="1" si="201"/>
        <v>#VALUE!</v>
      </c>
      <c r="BC140" s="1" t="e">
        <f t="shared" ca="1" si="202"/>
        <v>#VALUE!</v>
      </c>
      <c r="BE140" s="15" t="str">
        <f>IF(ISBLANK('Exception Stores'!$A$6),"",'Exception Stores'!$A$6)</f>
        <v/>
      </c>
      <c r="BF140" s="15" t="str">
        <f>IF(ISBLANK('Exception Stores'!$B$6),"",'Exception Stores'!$B$6)</f>
        <v/>
      </c>
      <c r="BG140" s="1">
        <f>IF(ISBLANK('Exception Stores'!$A$6),0,IF($AN$2&gt;$BF$2,($AN$2-$BF$2)*24,0))</f>
        <v>0</v>
      </c>
      <c r="BH140" s="11">
        <f>IF(ISBLANK('Exception Stores'!$A$6),0,($BF$2-$BE$2)*24)</f>
        <v>0</v>
      </c>
      <c r="BI14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40" s="1">
        <f>IF(ISBLANK('Exception Stores'!$A$6),0,IF($AN$2&gt;$BF$2,0,IF(AND($AN$2&lt;$BF$2,$BT$2="B"),(($BF$2-$AN$2)*24)-$BS$2,($BF$2-$AN$2)*24)))</f>
        <v>0</v>
      </c>
      <c r="BL140" s="5"/>
      <c r="BM140" s="5"/>
      <c r="BN140" s="5"/>
      <c r="BO140" s="5"/>
      <c r="BP140" s="5"/>
      <c r="BV140" s="1" t="e">
        <f t="shared" ca="1" si="203"/>
        <v>#VALUE!</v>
      </c>
      <c r="BW140" s="1" t="e">
        <f t="shared" ca="1" si="204"/>
        <v>#VALUE!</v>
      </c>
      <c r="BX140" s="1" t="e">
        <f t="shared" ca="1" si="205"/>
        <v>#VALUE!</v>
      </c>
      <c r="BY140" s="1" t="e">
        <f t="shared" ca="1" si="206"/>
        <v>#VALUE!</v>
      </c>
      <c r="BZ140" s="1" t="e">
        <f t="shared" ca="1" si="207"/>
        <v>#VALUE!</v>
      </c>
      <c r="CB140" s="1" t="str">
        <f>IF(ISBLANK('Exception Stores'!$A$6),"",WEEKDAY($BF$2))</f>
        <v/>
      </c>
      <c r="CC140" s="1" t="str">
        <f>IF(ISBLANK('Exception Stores'!$A$6),"NO",IF('Exception Stores'!$A$6&lt;$AU$2,"YES","NO"))</f>
        <v>NO</v>
      </c>
      <c r="CD140" s="1" t="str">
        <f>IF(ISBLANK('Exception Stores'!$A$6),"NO",IF('Exception Stores'!$A$6&lt;$AV$2,"YES","NO"))</f>
        <v>NO</v>
      </c>
      <c r="CE140" s="1" t="str">
        <f>IF(ISBLANK('Exception Stores'!$A$6),"NO",IF('Exception Stores'!$A$6&lt;$AW$2,"YES","NO"))</f>
        <v>NO</v>
      </c>
      <c r="CF140" s="1" t="str">
        <f>IF(ISBLANK('Exception Stores'!$A$6),"NO",IF('Exception Stores'!$A$6&lt;$AX$2,"YES","NO"))</f>
        <v>NO</v>
      </c>
      <c r="CG140" s="1" t="str">
        <f>IF(ISBLANK('Exception Stores'!$A$6),"NO",IF('Exception Stores'!$A$6&lt;$AY$2,"YES","NO"))</f>
        <v>NO</v>
      </c>
      <c r="CI140" s="42" t="str">
        <f>IF(ISBLANK('Exception Stores'!$B$6),"NO",IF('Exception Stores'!$B$6&lt;=$AU$2,"YES","NO"))</f>
        <v>NO</v>
      </c>
      <c r="CJ140" s="42" t="str">
        <f>IF(ISBLANK('Exception Stores'!$B$6),"NO",IF('Exception Stores'!$B$6&lt;=$AV$2,"YES","NO"))</f>
        <v>NO</v>
      </c>
      <c r="CK140" s="1" t="str">
        <f>IF(ISBLANK('Exception Stores'!$B$6),"NO",IF('Exception Stores'!$B$6&lt;=$AW$2,"YES","NO"))</f>
        <v>NO</v>
      </c>
      <c r="CL140" s="1" t="str">
        <f>IF(ISBLANK('Exception Stores'!$B$6),"NO",IF('Exception Stores'!$B$6&lt;=$AX$2,"YES","NO"))</f>
        <v>NO</v>
      </c>
      <c r="CM140" s="1" t="str">
        <f>IF(ISBLANK('Exception Stores'!$B$6),"NO",IF('Exception Stores'!$B$6&lt;=$AY$2,"YES","NO"))</f>
        <v>NO</v>
      </c>
      <c r="CO140" s="1" t="e">
        <f ca="1">IF(AM140&lt;'Exception Stores'!$A$6,"YES","NO")</f>
        <v>#VALUE!</v>
      </c>
      <c r="CP140" s="1">
        <f t="shared" si="208"/>
        <v>0</v>
      </c>
      <c r="CQ140" s="1">
        <f t="shared" si="209"/>
        <v>0</v>
      </c>
      <c r="CR140" s="1">
        <f t="shared" si="210"/>
        <v>0</v>
      </c>
      <c r="CS140" s="1">
        <f t="shared" si="211"/>
        <v>0</v>
      </c>
      <c r="CT140" s="1">
        <f t="shared" si="212"/>
        <v>0</v>
      </c>
      <c r="CU140" s="1">
        <f t="shared" si="213"/>
        <v>0</v>
      </c>
      <c r="CW140" s="1" t="e">
        <f t="shared" ca="1" si="154"/>
        <v>#VALUE!</v>
      </c>
      <c r="CX140" s="1" t="e">
        <f t="shared" ca="1" si="155"/>
        <v>#VALUE!</v>
      </c>
      <c r="CY140" s="1" t="e">
        <f t="shared" ca="1" si="156"/>
        <v>#VALUE!</v>
      </c>
      <c r="CZ140" s="1" t="e">
        <f t="shared" ca="1" si="157"/>
        <v>#VALUE!</v>
      </c>
      <c r="DA140" s="1" t="e">
        <f t="shared" ca="1" si="158"/>
        <v>#VALUE!</v>
      </c>
      <c r="DB140" s="26" t="e">
        <f t="shared" ca="1" si="214"/>
        <v>#VALUE!</v>
      </c>
      <c r="DC140" s="1">
        <f t="shared" si="159"/>
        <v>0</v>
      </c>
      <c r="DD140" s="1">
        <f t="shared" si="160"/>
        <v>0</v>
      </c>
      <c r="DE140" s="1">
        <f t="shared" si="161"/>
        <v>0</v>
      </c>
      <c r="DF140" s="1">
        <f t="shared" si="162"/>
        <v>0</v>
      </c>
      <c r="DG140" s="1">
        <f t="shared" si="163"/>
        <v>0</v>
      </c>
      <c r="DH140" s="26">
        <f t="shared" si="215"/>
        <v>0</v>
      </c>
      <c r="DI140" s="1" t="e">
        <f t="shared" ca="1" si="216"/>
        <v>#VALUE!</v>
      </c>
      <c r="DK140" s="11" t="str">
        <f t="shared" si="164"/>
        <v/>
      </c>
      <c r="DL140" s="11" t="e">
        <f ca="1">IF(AND(NOT(ISBLANK('Exception Stores'!$A$6)),CO140="YES"),S140-$BH$2-(DI140*$BS$2)-(CU140*$BS$2),S140-(DB140*$BS$2))</f>
        <v>#VALUE!</v>
      </c>
      <c r="DM140" s="11" t="str">
        <f>IF(ISBLANK(A140),"",IF(COUNTIF(Remaps!$A$2:$A$200,B140)&gt;0,"YES",""))</f>
        <v>YES</v>
      </c>
      <c r="DN140" s="29">
        <f>IFERROR(INDEX(Remaps!$B$2:$B$200,MATCH(B140,Remaps!$A$2:$A$200,0),1),0)</f>
        <v>0</v>
      </c>
      <c r="DO140" s="11" t="e">
        <f t="shared" ca="1" si="165"/>
        <v>#VALUE!</v>
      </c>
      <c r="DP140" s="29" t="e">
        <f t="shared" si="166"/>
        <v>#VALUE!</v>
      </c>
      <c r="DQ140" s="11" t="e">
        <f ca="1">('Apollo Dock Status'!$Z$1-DP140)/DO140</f>
        <v>#VALUE!</v>
      </c>
      <c r="DR140" s="15" t="e">
        <f t="shared" ca="1" si="217"/>
        <v>#VALUE!</v>
      </c>
    </row>
    <row r="141" spans="1:122">
      <c r="A141" s="1" t="str">
        <f>IF(ISBLANK('Apollo Dock Status'!A141),"",'Apollo Dock Status'!A141)</f>
        <v/>
      </c>
      <c r="B141" s="1" t="str">
        <f>IF(ISBLANK('Apollo Dock Status'!B141),"",'Apollo Dock Status'!B141)</f>
        <v/>
      </c>
      <c r="C141" s="1" t="str">
        <f>IF(ISBLANK('Apollo Dock Status'!C141),"",'Apollo Dock Status'!C141)</f>
        <v/>
      </c>
      <c r="D141" s="1" t="str">
        <f>IF(ISBLANK('Apollo Dock Status'!D141),"",'Apollo Dock Status'!D141)</f>
        <v/>
      </c>
      <c r="E141" s="1" t="str">
        <f>IF(ISBLANK('Apollo Dock Status'!E141),"",'Apollo Dock Status'!E141)</f>
        <v/>
      </c>
      <c r="F141" s="1" t="str">
        <f>IF(ISBLANK('Apollo Dock Status'!F141),"",'Apollo Dock Status'!F141)</f>
        <v/>
      </c>
      <c r="G141" s="1" t="str">
        <f>IF(ISBLANK('Apollo Dock Status'!G141),"",'Apollo Dock Status'!G141)</f>
        <v/>
      </c>
      <c r="H141" s="1" t="str">
        <f>IF(ISBLANK('Apollo Dock Status'!H141),"",'Apollo Dock Status'!H141)</f>
        <v/>
      </c>
      <c r="I141" s="1" t="str">
        <f>IF(ISBLANK('Apollo Dock Status'!I141),"",'Apollo Dock Status'!I141)</f>
        <v/>
      </c>
      <c r="J141" s="1" t="str">
        <f>IF(ISBLANK('Apollo Dock Status'!J141),"",'Apollo Dock Status'!J141)</f>
        <v/>
      </c>
      <c r="K141" s="1" t="str">
        <f>IF(ISBLANK('Apollo Dock Status'!K141),"",'Apollo Dock Status'!K141)</f>
        <v/>
      </c>
      <c r="L141" s="1" t="str">
        <f>IF(ISBLANK('Apollo Dock Status'!L141),"",'Apollo Dock Status'!L141)</f>
        <v/>
      </c>
      <c r="M141" s="1" t="str">
        <f>IF(ISBLANK('Apollo Dock Status'!M141),"",'Apollo Dock Status'!M141)</f>
        <v/>
      </c>
      <c r="N141" s="1" t="str">
        <f>IF(ISBLANK('Apollo Dock Status'!N141),"",'Apollo Dock Status'!N141)</f>
        <v/>
      </c>
      <c r="O141" s="1" t="str">
        <f t="shared" si="167"/>
        <v/>
      </c>
      <c r="P141" s="1" t="str">
        <f t="shared" si="168"/>
        <v/>
      </c>
      <c r="Q141" s="1" t="str">
        <f t="shared" si="169"/>
        <v/>
      </c>
      <c r="R141" s="1" t="str">
        <f t="shared" si="170"/>
        <v/>
      </c>
      <c r="S141" s="11" t="str">
        <f t="shared" si="171"/>
        <v/>
      </c>
      <c r="T141" s="1" t="str">
        <f t="shared" si="172"/>
        <v/>
      </c>
      <c r="U141" s="11" t="str">
        <f t="shared" si="173"/>
        <v/>
      </c>
      <c r="V141" s="11" t="str">
        <f t="shared" si="174"/>
        <v/>
      </c>
      <c r="X141" s="1" t="str">
        <f t="shared" si="175"/>
        <v/>
      </c>
      <c r="Y141" s="1" t="str">
        <f t="shared" si="176"/>
        <v/>
      </c>
      <c r="Z141" s="1" t="str">
        <f t="shared" si="177"/>
        <v/>
      </c>
      <c r="AB141" s="13">
        <f t="shared" ca="1" si="178"/>
        <v>46176</v>
      </c>
      <c r="AC141" s="1">
        <f t="shared" ca="1" si="179"/>
        <v>2026</v>
      </c>
      <c r="AD141" s="1" t="str">
        <f t="shared" ca="1" si="180"/>
        <v>6</v>
      </c>
      <c r="AE141" s="1">
        <f t="shared" si="181"/>
        <v>1</v>
      </c>
      <c r="AF141" s="1" t="str">
        <f t="shared" si="182"/>
        <v/>
      </c>
      <c r="AG141" s="1">
        <f t="shared" ca="1" si="183"/>
        <v>2026</v>
      </c>
      <c r="AH141" s="1">
        <f t="shared" si="184"/>
        <v>1</v>
      </c>
      <c r="AI141" s="1" t="str">
        <f t="shared" ca="1" si="185"/>
        <v>6</v>
      </c>
      <c r="AJ141" s="13" t="e">
        <f t="shared" ca="1" si="186"/>
        <v>#VALUE!</v>
      </c>
      <c r="AK141" s="1" t="e">
        <f>IF(ISBLANK(A141),"",IFERROR(MID(F141,SEARCH(", ",F141)+LEN(", "),SEARCH(" "&amp;'Exception Stores'!$A$2,F141)-SEARCH(", ",F141)-LEN(", ")),MID(F141,SEARCH(", ",F141)+LEN(", "),SEARCH(" "&amp;'Exception Stores'!$B$2,F141)-SEARCH(", ",F141)-LEN(", "))))</f>
        <v>#VALUE!</v>
      </c>
      <c r="AL141" s="1" t="e">
        <f t="shared" si="187"/>
        <v>#VALUE!</v>
      </c>
      <c r="AM141" s="15" t="e">
        <f t="shared" ca="1" si="188"/>
        <v>#VALUE!</v>
      </c>
      <c r="AN141" s="24" t="e">
        <f t="shared" ca="1" si="189"/>
        <v>#VALUE!</v>
      </c>
      <c r="AO141" s="1" t="e">
        <f t="shared" ca="1" si="190"/>
        <v>#VALUE!</v>
      </c>
      <c r="AP141" s="13" t="e">
        <f t="shared" ca="1" si="191"/>
        <v>#VALUE!</v>
      </c>
      <c r="AQ141" s="17" t="e">
        <f t="shared" ca="1" si="192"/>
        <v>#VALUE!</v>
      </c>
      <c r="AS141" s="15" t="e">
        <f t="shared" ca="1" si="193"/>
        <v>#VALUE!</v>
      </c>
      <c r="AT141" s="5">
        <f>'Exception Stores'!$D$2</f>
        <v>0.125</v>
      </c>
      <c r="AU141" s="15" t="e">
        <f t="shared" ca="1" si="194"/>
        <v>#VALUE!</v>
      </c>
      <c r="AV141" s="15" t="e">
        <f t="shared" ca="1" si="195"/>
        <v>#VALUE!</v>
      </c>
      <c r="AW141" s="15" t="e">
        <f t="shared" ca="1" si="196"/>
        <v>#VALUE!</v>
      </c>
      <c r="AX141" s="15" t="e">
        <f t="shared" ca="1" si="197"/>
        <v>#VALUE!</v>
      </c>
      <c r="AY141" s="15" t="e">
        <f t="shared" ca="1" si="198"/>
        <v>#VALUE!</v>
      </c>
      <c r="AZ141" s="1" t="e">
        <f t="shared" ca="1" si="199"/>
        <v>#VALUE!</v>
      </c>
      <c r="BA141" s="15" t="e">
        <f t="shared" ca="1" si="200"/>
        <v>#VALUE!</v>
      </c>
      <c r="BB141" s="15" t="e">
        <f t="shared" ca="1" si="201"/>
        <v>#VALUE!</v>
      </c>
      <c r="BC141" s="1" t="e">
        <f t="shared" ca="1" si="202"/>
        <v>#VALUE!</v>
      </c>
      <c r="BE141" s="15" t="str">
        <f>IF(ISBLANK('Exception Stores'!$A$6),"",'Exception Stores'!$A$6)</f>
        <v/>
      </c>
      <c r="BF141" s="15" t="str">
        <f>IF(ISBLANK('Exception Stores'!$B$6),"",'Exception Stores'!$B$6)</f>
        <v/>
      </c>
      <c r="BG141" s="1">
        <f>IF(ISBLANK('Exception Stores'!$A$6),0,IF($AN$2&gt;$BF$2,($AN$2-$BF$2)*24,0))</f>
        <v>0</v>
      </c>
      <c r="BH141" s="11">
        <f>IF(ISBLANK('Exception Stores'!$A$6),0,($BF$2-$BE$2)*24)</f>
        <v>0</v>
      </c>
      <c r="BI14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41" s="1">
        <f>IF(ISBLANK('Exception Stores'!$A$6),0,IF($AN$2&gt;$BF$2,0,IF(AND($AN$2&lt;$BF$2,$BT$2="B"),(($BF$2-$AN$2)*24)-$BS$2,($BF$2-$AN$2)*24)))</f>
        <v>0</v>
      </c>
      <c r="BL141" s="5"/>
      <c r="BM141" s="5"/>
      <c r="BN141" s="5"/>
      <c r="BO141" s="5"/>
      <c r="BP141" s="5"/>
      <c r="BV141" s="1" t="e">
        <f t="shared" ca="1" si="203"/>
        <v>#VALUE!</v>
      </c>
      <c r="BW141" s="1" t="e">
        <f t="shared" ca="1" si="204"/>
        <v>#VALUE!</v>
      </c>
      <c r="BX141" s="1" t="e">
        <f t="shared" ca="1" si="205"/>
        <v>#VALUE!</v>
      </c>
      <c r="BY141" s="1" t="e">
        <f t="shared" ca="1" si="206"/>
        <v>#VALUE!</v>
      </c>
      <c r="BZ141" s="1" t="e">
        <f t="shared" ca="1" si="207"/>
        <v>#VALUE!</v>
      </c>
      <c r="CB141" s="1" t="str">
        <f>IF(ISBLANK('Exception Stores'!$A$6),"",WEEKDAY($BF$2))</f>
        <v/>
      </c>
      <c r="CC141" s="1" t="str">
        <f>IF(ISBLANK('Exception Stores'!$A$6),"NO",IF('Exception Stores'!$A$6&lt;$AU$2,"YES","NO"))</f>
        <v>NO</v>
      </c>
      <c r="CD141" s="1" t="str">
        <f>IF(ISBLANK('Exception Stores'!$A$6),"NO",IF('Exception Stores'!$A$6&lt;$AV$2,"YES","NO"))</f>
        <v>NO</v>
      </c>
      <c r="CE141" s="1" t="str">
        <f>IF(ISBLANK('Exception Stores'!$A$6),"NO",IF('Exception Stores'!$A$6&lt;$AW$2,"YES","NO"))</f>
        <v>NO</v>
      </c>
      <c r="CF141" s="1" t="str">
        <f>IF(ISBLANK('Exception Stores'!$A$6),"NO",IF('Exception Stores'!$A$6&lt;$AX$2,"YES","NO"))</f>
        <v>NO</v>
      </c>
      <c r="CG141" s="1" t="str">
        <f>IF(ISBLANK('Exception Stores'!$A$6),"NO",IF('Exception Stores'!$A$6&lt;$AY$2,"YES","NO"))</f>
        <v>NO</v>
      </c>
      <c r="CI141" s="42" t="str">
        <f>IF(ISBLANK('Exception Stores'!$B$6),"NO",IF('Exception Stores'!$B$6&lt;=$AU$2,"YES","NO"))</f>
        <v>NO</v>
      </c>
      <c r="CJ141" s="42" t="str">
        <f>IF(ISBLANK('Exception Stores'!$B$6),"NO",IF('Exception Stores'!$B$6&lt;=$AV$2,"YES","NO"))</f>
        <v>NO</v>
      </c>
      <c r="CK141" s="1" t="str">
        <f>IF(ISBLANK('Exception Stores'!$B$6),"NO",IF('Exception Stores'!$B$6&lt;=$AW$2,"YES","NO"))</f>
        <v>NO</v>
      </c>
      <c r="CL141" s="1" t="str">
        <f>IF(ISBLANK('Exception Stores'!$B$6),"NO",IF('Exception Stores'!$B$6&lt;=$AX$2,"YES","NO"))</f>
        <v>NO</v>
      </c>
      <c r="CM141" s="1" t="str">
        <f>IF(ISBLANK('Exception Stores'!$B$6),"NO",IF('Exception Stores'!$B$6&lt;=$AY$2,"YES","NO"))</f>
        <v>NO</v>
      </c>
      <c r="CO141" s="1" t="e">
        <f ca="1">IF(AM141&lt;'Exception Stores'!$A$6,"YES","NO")</f>
        <v>#VALUE!</v>
      </c>
      <c r="CP141" s="1">
        <f t="shared" si="208"/>
        <v>0</v>
      </c>
      <c r="CQ141" s="1">
        <f t="shared" si="209"/>
        <v>0</v>
      </c>
      <c r="CR141" s="1">
        <f t="shared" si="210"/>
        <v>0</v>
      </c>
      <c r="CS141" s="1">
        <f t="shared" si="211"/>
        <v>0</v>
      </c>
      <c r="CT141" s="1">
        <f t="shared" si="212"/>
        <v>0</v>
      </c>
      <c r="CU141" s="1">
        <f t="shared" si="213"/>
        <v>0</v>
      </c>
      <c r="CW141" s="1" t="e">
        <f t="shared" ca="1" si="154"/>
        <v>#VALUE!</v>
      </c>
      <c r="CX141" s="1" t="e">
        <f t="shared" ca="1" si="155"/>
        <v>#VALUE!</v>
      </c>
      <c r="CY141" s="1" t="e">
        <f t="shared" ca="1" si="156"/>
        <v>#VALUE!</v>
      </c>
      <c r="CZ141" s="1" t="e">
        <f t="shared" ca="1" si="157"/>
        <v>#VALUE!</v>
      </c>
      <c r="DA141" s="1" t="e">
        <f t="shared" ca="1" si="158"/>
        <v>#VALUE!</v>
      </c>
      <c r="DB141" s="26" t="e">
        <f t="shared" ca="1" si="214"/>
        <v>#VALUE!</v>
      </c>
      <c r="DC141" s="1">
        <f t="shared" si="159"/>
        <v>0</v>
      </c>
      <c r="DD141" s="1">
        <f t="shared" si="160"/>
        <v>0</v>
      </c>
      <c r="DE141" s="1">
        <f t="shared" si="161"/>
        <v>0</v>
      </c>
      <c r="DF141" s="1">
        <f t="shared" si="162"/>
        <v>0</v>
      </c>
      <c r="DG141" s="1">
        <f t="shared" si="163"/>
        <v>0</v>
      </c>
      <c r="DH141" s="26">
        <f t="shared" si="215"/>
        <v>0</v>
      </c>
      <c r="DI141" s="1" t="e">
        <f t="shared" ca="1" si="216"/>
        <v>#VALUE!</v>
      </c>
      <c r="DK141" s="11" t="str">
        <f t="shared" si="164"/>
        <v/>
      </c>
      <c r="DL141" s="11" t="e">
        <f ca="1">IF(AND(NOT(ISBLANK('Exception Stores'!$A$6)),CO141="YES"),S141-$BH$2-(DI141*$BS$2)-(CU141*$BS$2),S141-(DB141*$BS$2))</f>
        <v>#VALUE!</v>
      </c>
      <c r="DM141" s="11" t="str">
        <f>IF(ISBLANK(A141),"",IF(COUNTIF(Remaps!$A$2:$A$200,B141)&gt;0,"YES",""))</f>
        <v>YES</v>
      </c>
      <c r="DN141" s="29">
        <f>IFERROR(INDEX(Remaps!$B$2:$B$200,MATCH(B141,Remaps!$A$2:$A$200,0),1),0)</f>
        <v>0</v>
      </c>
      <c r="DO141" s="11" t="e">
        <f t="shared" ca="1" si="165"/>
        <v>#VALUE!</v>
      </c>
      <c r="DP141" s="29" t="e">
        <f t="shared" si="166"/>
        <v>#VALUE!</v>
      </c>
      <c r="DQ141" s="11" t="e">
        <f ca="1">('Apollo Dock Status'!$Z$1-DP141)/DO141</f>
        <v>#VALUE!</v>
      </c>
      <c r="DR141" s="15" t="e">
        <f t="shared" ca="1" si="217"/>
        <v>#VALUE!</v>
      </c>
    </row>
    <row r="142" spans="1:122">
      <c r="A142" s="1" t="str">
        <f>IF(ISBLANK('Apollo Dock Status'!A142),"",'Apollo Dock Status'!A142)</f>
        <v/>
      </c>
      <c r="B142" s="1" t="str">
        <f>IF(ISBLANK('Apollo Dock Status'!B142),"",'Apollo Dock Status'!B142)</f>
        <v/>
      </c>
      <c r="C142" s="1" t="str">
        <f>IF(ISBLANK('Apollo Dock Status'!C142),"",'Apollo Dock Status'!C142)</f>
        <v/>
      </c>
      <c r="D142" s="1" t="str">
        <f>IF(ISBLANK('Apollo Dock Status'!D142),"",'Apollo Dock Status'!D142)</f>
        <v/>
      </c>
      <c r="E142" s="1" t="str">
        <f>IF(ISBLANK('Apollo Dock Status'!E142),"",'Apollo Dock Status'!E142)</f>
        <v/>
      </c>
      <c r="F142" s="1" t="str">
        <f>IF(ISBLANK('Apollo Dock Status'!F142),"",'Apollo Dock Status'!F142)</f>
        <v/>
      </c>
      <c r="G142" s="1" t="str">
        <f>IF(ISBLANK('Apollo Dock Status'!G142),"",'Apollo Dock Status'!G142)</f>
        <v/>
      </c>
      <c r="H142" s="1" t="str">
        <f>IF(ISBLANK('Apollo Dock Status'!H142),"",'Apollo Dock Status'!H142)</f>
        <v/>
      </c>
      <c r="I142" s="1" t="str">
        <f>IF(ISBLANK('Apollo Dock Status'!I142),"",'Apollo Dock Status'!I142)</f>
        <v/>
      </c>
      <c r="J142" s="1" t="str">
        <f>IF(ISBLANK('Apollo Dock Status'!J142),"",'Apollo Dock Status'!J142)</f>
        <v/>
      </c>
      <c r="K142" s="1" t="str">
        <f>IF(ISBLANK('Apollo Dock Status'!K142),"",'Apollo Dock Status'!K142)</f>
        <v/>
      </c>
      <c r="L142" s="1" t="str">
        <f>IF(ISBLANK('Apollo Dock Status'!L142),"",'Apollo Dock Status'!L142)</f>
        <v/>
      </c>
      <c r="M142" s="1" t="str">
        <f>IF(ISBLANK('Apollo Dock Status'!M142),"",'Apollo Dock Status'!M142)</f>
        <v/>
      </c>
      <c r="N142" s="1" t="str">
        <f>IF(ISBLANK('Apollo Dock Status'!N142),"",'Apollo Dock Status'!N142)</f>
        <v/>
      </c>
      <c r="O142" s="1" t="str">
        <f t="shared" si="167"/>
        <v/>
      </c>
      <c r="P142" s="1" t="str">
        <f t="shared" si="168"/>
        <v/>
      </c>
      <c r="Q142" s="1" t="str">
        <f t="shared" si="169"/>
        <v/>
      </c>
      <c r="R142" s="1" t="str">
        <f t="shared" si="170"/>
        <v/>
      </c>
      <c r="S142" s="11" t="str">
        <f t="shared" si="171"/>
        <v/>
      </c>
      <c r="T142" s="1" t="str">
        <f t="shared" si="172"/>
        <v/>
      </c>
      <c r="U142" s="11" t="str">
        <f t="shared" si="173"/>
        <v/>
      </c>
      <c r="V142" s="11" t="str">
        <f t="shared" si="174"/>
        <v/>
      </c>
      <c r="X142" s="1" t="str">
        <f t="shared" si="175"/>
        <v/>
      </c>
      <c r="Y142" s="1" t="str">
        <f t="shared" si="176"/>
        <v/>
      </c>
      <c r="Z142" s="1" t="str">
        <f t="shared" si="177"/>
        <v/>
      </c>
      <c r="AB142" s="13">
        <f t="shared" ca="1" si="178"/>
        <v>46176</v>
      </c>
      <c r="AC142" s="1">
        <f t="shared" ca="1" si="179"/>
        <v>2026</v>
      </c>
      <c r="AD142" s="1" t="str">
        <f t="shared" ca="1" si="180"/>
        <v>6</v>
      </c>
      <c r="AE142" s="1">
        <f t="shared" si="181"/>
        <v>1</v>
      </c>
      <c r="AF142" s="1" t="str">
        <f t="shared" si="182"/>
        <v/>
      </c>
      <c r="AG142" s="1">
        <f t="shared" ca="1" si="183"/>
        <v>2026</v>
      </c>
      <c r="AH142" s="1">
        <f t="shared" si="184"/>
        <v>1</v>
      </c>
      <c r="AI142" s="1" t="str">
        <f t="shared" ca="1" si="185"/>
        <v>6</v>
      </c>
      <c r="AJ142" s="13" t="e">
        <f t="shared" ca="1" si="186"/>
        <v>#VALUE!</v>
      </c>
      <c r="AK142" s="1" t="e">
        <f>IF(ISBLANK(A142),"",IFERROR(MID(F142,SEARCH(", ",F142)+LEN(", "),SEARCH(" "&amp;'Exception Stores'!$A$2,F142)-SEARCH(", ",F142)-LEN(", ")),MID(F142,SEARCH(", ",F142)+LEN(", "),SEARCH(" "&amp;'Exception Stores'!$B$2,F142)-SEARCH(", ",F142)-LEN(", "))))</f>
        <v>#VALUE!</v>
      </c>
      <c r="AL142" s="1" t="e">
        <f t="shared" si="187"/>
        <v>#VALUE!</v>
      </c>
      <c r="AM142" s="15" t="e">
        <f t="shared" ca="1" si="188"/>
        <v>#VALUE!</v>
      </c>
      <c r="AN142" s="24" t="e">
        <f t="shared" ca="1" si="189"/>
        <v>#VALUE!</v>
      </c>
      <c r="AO142" s="1" t="e">
        <f t="shared" ca="1" si="190"/>
        <v>#VALUE!</v>
      </c>
      <c r="AP142" s="13" t="e">
        <f t="shared" ca="1" si="191"/>
        <v>#VALUE!</v>
      </c>
      <c r="AQ142" s="17" t="e">
        <f t="shared" ca="1" si="192"/>
        <v>#VALUE!</v>
      </c>
      <c r="AS142" s="15" t="e">
        <f t="shared" ca="1" si="193"/>
        <v>#VALUE!</v>
      </c>
      <c r="AT142" s="5">
        <f>'Exception Stores'!$D$2</f>
        <v>0.125</v>
      </c>
      <c r="AU142" s="15" t="e">
        <f t="shared" ca="1" si="194"/>
        <v>#VALUE!</v>
      </c>
      <c r="AV142" s="15" t="e">
        <f t="shared" ca="1" si="195"/>
        <v>#VALUE!</v>
      </c>
      <c r="AW142" s="15" t="e">
        <f t="shared" ca="1" si="196"/>
        <v>#VALUE!</v>
      </c>
      <c r="AX142" s="15" t="e">
        <f t="shared" ca="1" si="197"/>
        <v>#VALUE!</v>
      </c>
      <c r="AY142" s="15" t="e">
        <f t="shared" ca="1" si="198"/>
        <v>#VALUE!</v>
      </c>
      <c r="AZ142" s="1" t="e">
        <f t="shared" ca="1" si="199"/>
        <v>#VALUE!</v>
      </c>
      <c r="BA142" s="15" t="e">
        <f t="shared" ca="1" si="200"/>
        <v>#VALUE!</v>
      </c>
      <c r="BB142" s="15" t="e">
        <f t="shared" ca="1" si="201"/>
        <v>#VALUE!</v>
      </c>
      <c r="BC142" s="1" t="e">
        <f t="shared" ca="1" si="202"/>
        <v>#VALUE!</v>
      </c>
      <c r="BE142" s="15" t="str">
        <f>IF(ISBLANK('Exception Stores'!$A$6),"",'Exception Stores'!$A$6)</f>
        <v/>
      </c>
      <c r="BF142" s="15" t="str">
        <f>IF(ISBLANK('Exception Stores'!$B$6),"",'Exception Stores'!$B$6)</f>
        <v/>
      </c>
      <c r="BG142" s="1">
        <f>IF(ISBLANK('Exception Stores'!$A$6),0,IF($AN$2&gt;$BF$2,($AN$2-$BF$2)*24,0))</f>
        <v>0</v>
      </c>
      <c r="BH142" s="11">
        <f>IF(ISBLANK('Exception Stores'!$A$6),0,($BF$2-$BE$2)*24)</f>
        <v>0</v>
      </c>
      <c r="BI14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42" s="1">
        <f>IF(ISBLANK('Exception Stores'!$A$6),0,IF($AN$2&gt;$BF$2,0,IF(AND($AN$2&lt;$BF$2,$BT$2="B"),(($BF$2-$AN$2)*24)-$BS$2,($BF$2-$AN$2)*24)))</f>
        <v>0</v>
      </c>
      <c r="BL142" s="5"/>
      <c r="BM142" s="5"/>
      <c r="BN142" s="5"/>
      <c r="BO142" s="5"/>
      <c r="BP142" s="5"/>
      <c r="BV142" s="1" t="e">
        <f t="shared" ca="1" si="203"/>
        <v>#VALUE!</v>
      </c>
      <c r="BW142" s="1" t="e">
        <f t="shared" ca="1" si="204"/>
        <v>#VALUE!</v>
      </c>
      <c r="BX142" s="1" t="e">
        <f t="shared" ca="1" si="205"/>
        <v>#VALUE!</v>
      </c>
      <c r="BY142" s="1" t="e">
        <f t="shared" ca="1" si="206"/>
        <v>#VALUE!</v>
      </c>
      <c r="BZ142" s="1" t="e">
        <f t="shared" ca="1" si="207"/>
        <v>#VALUE!</v>
      </c>
      <c r="CB142" s="1" t="str">
        <f>IF(ISBLANK('Exception Stores'!$A$6),"",WEEKDAY($BF$2))</f>
        <v/>
      </c>
      <c r="CC142" s="1" t="str">
        <f>IF(ISBLANK('Exception Stores'!$A$6),"NO",IF('Exception Stores'!$A$6&lt;$AU$2,"YES","NO"))</f>
        <v>NO</v>
      </c>
      <c r="CD142" s="1" t="str">
        <f>IF(ISBLANK('Exception Stores'!$A$6),"NO",IF('Exception Stores'!$A$6&lt;$AV$2,"YES","NO"))</f>
        <v>NO</v>
      </c>
      <c r="CE142" s="1" t="str">
        <f>IF(ISBLANK('Exception Stores'!$A$6),"NO",IF('Exception Stores'!$A$6&lt;$AW$2,"YES","NO"))</f>
        <v>NO</v>
      </c>
      <c r="CF142" s="1" t="str">
        <f>IF(ISBLANK('Exception Stores'!$A$6),"NO",IF('Exception Stores'!$A$6&lt;$AX$2,"YES","NO"))</f>
        <v>NO</v>
      </c>
      <c r="CG142" s="1" t="str">
        <f>IF(ISBLANK('Exception Stores'!$A$6),"NO",IF('Exception Stores'!$A$6&lt;$AY$2,"YES","NO"))</f>
        <v>NO</v>
      </c>
      <c r="CI142" s="42" t="str">
        <f>IF(ISBLANK('Exception Stores'!$B$6),"NO",IF('Exception Stores'!$B$6&lt;=$AU$2,"YES","NO"))</f>
        <v>NO</v>
      </c>
      <c r="CJ142" s="42" t="str">
        <f>IF(ISBLANK('Exception Stores'!$B$6),"NO",IF('Exception Stores'!$B$6&lt;=$AV$2,"YES","NO"))</f>
        <v>NO</v>
      </c>
      <c r="CK142" s="1" t="str">
        <f>IF(ISBLANK('Exception Stores'!$B$6),"NO",IF('Exception Stores'!$B$6&lt;=$AW$2,"YES","NO"))</f>
        <v>NO</v>
      </c>
      <c r="CL142" s="1" t="str">
        <f>IF(ISBLANK('Exception Stores'!$B$6),"NO",IF('Exception Stores'!$B$6&lt;=$AX$2,"YES","NO"))</f>
        <v>NO</v>
      </c>
      <c r="CM142" s="1" t="str">
        <f>IF(ISBLANK('Exception Stores'!$B$6),"NO",IF('Exception Stores'!$B$6&lt;=$AY$2,"YES","NO"))</f>
        <v>NO</v>
      </c>
      <c r="CO142" s="1" t="e">
        <f ca="1">IF(AM142&lt;'Exception Stores'!$A$6,"YES","NO")</f>
        <v>#VALUE!</v>
      </c>
      <c r="CP142" s="1">
        <f t="shared" si="208"/>
        <v>0</v>
      </c>
      <c r="CQ142" s="1">
        <f t="shared" si="209"/>
        <v>0</v>
      </c>
      <c r="CR142" s="1">
        <f t="shared" si="210"/>
        <v>0</v>
      </c>
      <c r="CS142" s="1">
        <f t="shared" si="211"/>
        <v>0</v>
      </c>
      <c r="CT142" s="1">
        <f t="shared" si="212"/>
        <v>0</v>
      </c>
      <c r="CU142" s="1">
        <f t="shared" si="213"/>
        <v>0</v>
      </c>
      <c r="CW142" s="1" t="e">
        <f t="shared" ca="1" si="154"/>
        <v>#VALUE!</v>
      </c>
      <c r="CX142" s="1" t="e">
        <f t="shared" ca="1" si="155"/>
        <v>#VALUE!</v>
      </c>
      <c r="CY142" s="1" t="e">
        <f t="shared" ca="1" si="156"/>
        <v>#VALUE!</v>
      </c>
      <c r="CZ142" s="1" t="e">
        <f t="shared" ca="1" si="157"/>
        <v>#VALUE!</v>
      </c>
      <c r="DA142" s="1" t="e">
        <f t="shared" ca="1" si="158"/>
        <v>#VALUE!</v>
      </c>
      <c r="DB142" s="26" t="e">
        <f t="shared" ca="1" si="214"/>
        <v>#VALUE!</v>
      </c>
      <c r="DC142" s="1">
        <f t="shared" si="159"/>
        <v>0</v>
      </c>
      <c r="DD142" s="1">
        <f t="shared" si="160"/>
        <v>0</v>
      </c>
      <c r="DE142" s="1">
        <f t="shared" si="161"/>
        <v>0</v>
      </c>
      <c r="DF142" s="1">
        <f t="shared" si="162"/>
        <v>0</v>
      </c>
      <c r="DG142" s="1">
        <f t="shared" si="163"/>
        <v>0</v>
      </c>
      <c r="DH142" s="26">
        <f t="shared" si="215"/>
        <v>0</v>
      </c>
      <c r="DI142" s="1" t="e">
        <f t="shared" ca="1" si="216"/>
        <v>#VALUE!</v>
      </c>
      <c r="DK142" s="11" t="str">
        <f t="shared" si="164"/>
        <v/>
      </c>
      <c r="DL142" s="11" t="e">
        <f ca="1">IF(AND(NOT(ISBLANK('Exception Stores'!$A$6)),CO142="YES"),S142-$BH$2-(DI142*$BS$2)-(CU142*$BS$2),S142-(DB142*$BS$2))</f>
        <v>#VALUE!</v>
      </c>
      <c r="DM142" s="11" t="str">
        <f>IF(ISBLANK(A142),"",IF(COUNTIF(Remaps!$A$2:$A$200,B142)&gt;0,"YES",""))</f>
        <v>YES</v>
      </c>
      <c r="DN142" s="29">
        <f>IFERROR(INDEX(Remaps!$B$2:$B$200,MATCH(B142,Remaps!$A$2:$A$200,0),1),0)</f>
        <v>0</v>
      </c>
      <c r="DO142" s="11" t="e">
        <f t="shared" ca="1" si="165"/>
        <v>#VALUE!</v>
      </c>
      <c r="DP142" s="29" t="e">
        <f t="shared" si="166"/>
        <v>#VALUE!</v>
      </c>
      <c r="DQ142" s="11" t="e">
        <f ca="1">('Apollo Dock Status'!$Z$1-DP142)/DO142</f>
        <v>#VALUE!</v>
      </c>
      <c r="DR142" s="15" t="e">
        <f t="shared" ca="1" si="217"/>
        <v>#VALUE!</v>
      </c>
    </row>
    <row r="143" spans="1:122">
      <c r="A143" s="1" t="str">
        <f>IF(ISBLANK('Apollo Dock Status'!A143),"",'Apollo Dock Status'!A143)</f>
        <v/>
      </c>
      <c r="B143" s="1" t="str">
        <f>IF(ISBLANK('Apollo Dock Status'!B143),"",'Apollo Dock Status'!B143)</f>
        <v/>
      </c>
      <c r="C143" s="1" t="str">
        <f>IF(ISBLANK('Apollo Dock Status'!C143),"",'Apollo Dock Status'!C143)</f>
        <v/>
      </c>
      <c r="D143" s="1" t="str">
        <f>IF(ISBLANK('Apollo Dock Status'!D143),"",'Apollo Dock Status'!D143)</f>
        <v/>
      </c>
      <c r="E143" s="1" t="str">
        <f>IF(ISBLANK('Apollo Dock Status'!E143),"",'Apollo Dock Status'!E143)</f>
        <v/>
      </c>
      <c r="F143" s="1" t="str">
        <f>IF(ISBLANK('Apollo Dock Status'!F143),"",'Apollo Dock Status'!F143)</f>
        <v/>
      </c>
      <c r="G143" s="1" t="str">
        <f>IF(ISBLANK('Apollo Dock Status'!G143),"",'Apollo Dock Status'!G143)</f>
        <v/>
      </c>
      <c r="H143" s="1" t="str">
        <f>IF(ISBLANK('Apollo Dock Status'!H143),"",'Apollo Dock Status'!H143)</f>
        <v/>
      </c>
      <c r="I143" s="1" t="str">
        <f>IF(ISBLANK('Apollo Dock Status'!I143),"",'Apollo Dock Status'!I143)</f>
        <v/>
      </c>
      <c r="J143" s="1" t="str">
        <f>IF(ISBLANK('Apollo Dock Status'!J143),"",'Apollo Dock Status'!J143)</f>
        <v/>
      </c>
      <c r="K143" s="1" t="str">
        <f>IF(ISBLANK('Apollo Dock Status'!K143),"",'Apollo Dock Status'!K143)</f>
        <v/>
      </c>
      <c r="L143" s="1" t="str">
        <f>IF(ISBLANK('Apollo Dock Status'!L143),"",'Apollo Dock Status'!L143)</f>
        <v/>
      </c>
      <c r="M143" s="1" t="str">
        <f>IF(ISBLANK('Apollo Dock Status'!M143),"",'Apollo Dock Status'!M143)</f>
        <v/>
      </c>
      <c r="N143" s="1" t="str">
        <f>IF(ISBLANK('Apollo Dock Status'!N143),"",'Apollo Dock Status'!N143)</f>
        <v/>
      </c>
      <c r="O143" s="1" t="str">
        <f t="shared" si="167"/>
        <v/>
      </c>
      <c r="P143" s="1" t="str">
        <f t="shared" si="168"/>
        <v/>
      </c>
      <c r="Q143" s="1" t="str">
        <f t="shared" si="169"/>
        <v/>
      </c>
      <c r="R143" s="1" t="str">
        <f t="shared" si="170"/>
        <v/>
      </c>
      <c r="S143" s="11" t="str">
        <f t="shared" si="171"/>
        <v/>
      </c>
      <c r="T143" s="1" t="str">
        <f t="shared" si="172"/>
        <v/>
      </c>
      <c r="U143" s="11" t="str">
        <f t="shared" si="173"/>
        <v/>
      </c>
      <c r="V143" s="11" t="str">
        <f t="shared" si="174"/>
        <v/>
      </c>
      <c r="X143" s="1" t="str">
        <f t="shared" si="175"/>
        <v/>
      </c>
      <c r="Y143" s="1" t="str">
        <f t="shared" si="176"/>
        <v/>
      </c>
      <c r="Z143" s="1" t="str">
        <f t="shared" si="177"/>
        <v/>
      </c>
      <c r="AB143" s="13">
        <f t="shared" ca="1" si="178"/>
        <v>46176</v>
      </c>
      <c r="AC143" s="1">
        <f t="shared" ca="1" si="179"/>
        <v>2026</v>
      </c>
      <c r="AD143" s="1" t="str">
        <f t="shared" ca="1" si="180"/>
        <v>6</v>
      </c>
      <c r="AE143" s="1">
        <f t="shared" si="181"/>
        <v>1</v>
      </c>
      <c r="AF143" s="1" t="str">
        <f t="shared" si="182"/>
        <v/>
      </c>
      <c r="AG143" s="1">
        <f t="shared" ca="1" si="183"/>
        <v>2026</v>
      </c>
      <c r="AH143" s="1">
        <f t="shared" si="184"/>
        <v>1</v>
      </c>
      <c r="AI143" s="1" t="str">
        <f t="shared" ca="1" si="185"/>
        <v>6</v>
      </c>
      <c r="AJ143" s="13" t="e">
        <f t="shared" ca="1" si="186"/>
        <v>#VALUE!</v>
      </c>
      <c r="AK143" s="1" t="e">
        <f>IF(ISBLANK(A143),"",IFERROR(MID(F143,SEARCH(", ",F143)+LEN(", "),SEARCH(" "&amp;'Exception Stores'!$A$2,F143)-SEARCH(", ",F143)-LEN(", ")),MID(F143,SEARCH(", ",F143)+LEN(", "),SEARCH(" "&amp;'Exception Stores'!$B$2,F143)-SEARCH(", ",F143)-LEN(", "))))</f>
        <v>#VALUE!</v>
      </c>
      <c r="AL143" s="1" t="e">
        <f t="shared" si="187"/>
        <v>#VALUE!</v>
      </c>
      <c r="AM143" s="15" t="e">
        <f t="shared" ca="1" si="188"/>
        <v>#VALUE!</v>
      </c>
      <c r="AN143" s="24" t="e">
        <f t="shared" ca="1" si="189"/>
        <v>#VALUE!</v>
      </c>
      <c r="AO143" s="1" t="e">
        <f t="shared" ca="1" si="190"/>
        <v>#VALUE!</v>
      </c>
      <c r="AP143" s="13" t="e">
        <f t="shared" ca="1" si="191"/>
        <v>#VALUE!</v>
      </c>
      <c r="AQ143" s="17" t="e">
        <f t="shared" ca="1" si="192"/>
        <v>#VALUE!</v>
      </c>
      <c r="AS143" s="15" t="e">
        <f t="shared" ca="1" si="193"/>
        <v>#VALUE!</v>
      </c>
      <c r="AT143" s="5">
        <f>'Exception Stores'!$D$2</f>
        <v>0.125</v>
      </c>
      <c r="AU143" s="15" t="e">
        <f t="shared" ca="1" si="194"/>
        <v>#VALUE!</v>
      </c>
      <c r="AV143" s="15" t="e">
        <f t="shared" ca="1" si="195"/>
        <v>#VALUE!</v>
      </c>
      <c r="AW143" s="15" t="e">
        <f t="shared" ca="1" si="196"/>
        <v>#VALUE!</v>
      </c>
      <c r="AX143" s="15" t="e">
        <f t="shared" ca="1" si="197"/>
        <v>#VALUE!</v>
      </c>
      <c r="AY143" s="15" t="e">
        <f t="shared" ca="1" si="198"/>
        <v>#VALUE!</v>
      </c>
      <c r="AZ143" s="1" t="e">
        <f t="shared" ca="1" si="199"/>
        <v>#VALUE!</v>
      </c>
      <c r="BA143" s="15" t="e">
        <f t="shared" ca="1" si="200"/>
        <v>#VALUE!</v>
      </c>
      <c r="BB143" s="15" t="e">
        <f t="shared" ca="1" si="201"/>
        <v>#VALUE!</v>
      </c>
      <c r="BC143" s="1" t="e">
        <f t="shared" ca="1" si="202"/>
        <v>#VALUE!</v>
      </c>
      <c r="BE143" s="15" t="str">
        <f>IF(ISBLANK('Exception Stores'!$A$6),"",'Exception Stores'!$A$6)</f>
        <v/>
      </c>
      <c r="BF143" s="15" t="str">
        <f>IF(ISBLANK('Exception Stores'!$B$6),"",'Exception Stores'!$B$6)</f>
        <v/>
      </c>
      <c r="BG143" s="1">
        <f>IF(ISBLANK('Exception Stores'!$A$6),0,IF($AN$2&gt;$BF$2,($AN$2-$BF$2)*24,0))</f>
        <v>0</v>
      </c>
      <c r="BH143" s="11">
        <f>IF(ISBLANK('Exception Stores'!$A$6),0,($BF$2-$BE$2)*24)</f>
        <v>0</v>
      </c>
      <c r="BI14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43" s="1">
        <f>IF(ISBLANK('Exception Stores'!$A$6),0,IF($AN$2&gt;$BF$2,0,IF(AND($AN$2&lt;$BF$2,$BT$2="B"),(($BF$2-$AN$2)*24)-$BS$2,($BF$2-$AN$2)*24)))</f>
        <v>0</v>
      </c>
      <c r="BL143" s="5"/>
      <c r="BM143" s="5"/>
      <c r="BN143" s="5"/>
      <c r="BO143" s="5"/>
      <c r="BP143" s="5"/>
      <c r="BV143" s="1" t="e">
        <f t="shared" ca="1" si="203"/>
        <v>#VALUE!</v>
      </c>
      <c r="BW143" s="1" t="e">
        <f t="shared" ca="1" si="204"/>
        <v>#VALUE!</v>
      </c>
      <c r="BX143" s="1" t="e">
        <f t="shared" ca="1" si="205"/>
        <v>#VALUE!</v>
      </c>
      <c r="BY143" s="1" t="e">
        <f t="shared" ca="1" si="206"/>
        <v>#VALUE!</v>
      </c>
      <c r="BZ143" s="1" t="e">
        <f t="shared" ca="1" si="207"/>
        <v>#VALUE!</v>
      </c>
      <c r="CB143" s="1" t="str">
        <f>IF(ISBLANK('Exception Stores'!$A$6),"",WEEKDAY($BF$2))</f>
        <v/>
      </c>
      <c r="CC143" s="1" t="str">
        <f>IF(ISBLANK('Exception Stores'!$A$6),"NO",IF('Exception Stores'!$A$6&lt;$AU$2,"YES","NO"))</f>
        <v>NO</v>
      </c>
      <c r="CD143" s="1" t="str">
        <f>IF(ISBLANK('Exception Stores'!$A$6),"NO",IF('Exception Stores'!$A$6&lt;$AV$2,"YES","NO"))</f>
        <v>NO</v>
      </c>
      <c r="CE143" s="1" t="str">
        <f>IF(ISBLANK('Exception Stores'!$A$6),"NO",IF('Exception Stores'!$A$6&lt;$AW$2,"YES","NO"))</f>
        <v>NO</v>
      </c>
      <c r="CF143" s="1" t="str">
        <f>IF(ISBLANK('Exception Stores'!$A$6),"NO",IF('Exception Stores'!$A$6&lt;$AX$2,"YES","NO"))</f>
        <v>NO</v>
      </c>
      <c r="CG143" s="1" t="str">
        <f>IF(ISBLANK('Exception Stores'!$A$6),"NO",IF('Exception Stores'!$A$6&lt;$AY$2,"YES","NO"))</f>
        <v>NO</v>
      </c>
      <c r="CI143" s="42" t="str">
        <f>IF(ISBLANK('Exception Stores'!$B$6),"NO",IF('Exception Stores'!$B$6&lt;=$AU$2,"YES","NO"))</f>
        <v>NO</v>
      </c>
      <c r="CJ143" s="42" t="str">
        <f>IF(ISBLANK('Exception Stores'!$B$6),"NO",IF('Exception Stores'!$B$6&lt;=$AV$2,"YES","NO"))</f>
        <v>NO</v>
      </c>
      <c r="CK143" s="1" t="str">
        <f>IF(ISBLANK('Exception Stores'!$B$6),"NO",IF('Exception Stores'!$B$6&lt;=$AW$2,"YES","NO"))</f>
        <v>NO</v>
      </c>
      <c r="CL143" s="1" t="str">
        <f>IF(ISBLANK('Exception Stores'!$B$6),"NO",IF('Exception Stores'!$B$6&lt;=$AX$2,"YES","NO"))</f>
        <v>NO</v>
      </c>
      <c r="CM143" s="1" t="str">
        <f>IF(ISBLANK('Exception Stores'!$B$6),"NO",IF('Exception Stores'!$B$6&lt;=$AY$2,"YES","NO"))</f>
        <v>NO</v>
      </c>
      <c r="CO143" s="1" t="e">
        <f ca="1">IF(AM143&lt;'Exception Stores'!$A$6,"YES","NO")</f>
        <v>#VALUE!</v>
      </c>
      <c r="CP143" s="1">
        <f t="shared" si="208"/>
        <v>0</v>
      </c>
      <c r="CQ143" s="1">
        <f t="shared" si="209"/>
        <v>0</v>
      </c>
      <c r="CR143" s="1">
        <f t="shared" si="210"/>
        <v>0</v>
      </c>
      <c r="CS143" s="1">
        <f t="shared" si="211"/>
        <v>0</v>
      </c>
      <c r="CT143" s="1">
        <f t="shared" si="212"/>
        <v>0</v>
      </c>
      <c r="CU143" s="1">
        <f t="shared" si="213"/>
        <v>0</v>
      </c>
      <c r="CW143" s="1" t="e">
        <f t="shared" ca="1" si="154"/>
        <v>#VALUE!</v>
      </c>
      <c r="CX143" s="1" t="e">
        <f t="shared" ca="1" si="155"/>
        <v>#VALUE!</v>
      </c>
      <c r="CY143" s="1" t="e">
        <f t="shared" ca="1" si="156"/>
        <v>#VALUE!</v>
      </c>
      <c r="CZ143" s="1" t="e">
        <f t="shared" ca="1" si="157"/>
        <v>#VALUE!</v>
      </c>
      <c r="DA143" s="1" t="e">
        <f t="shared" ca="1" si="158"/>
        <v>#VALUE!</v>
      </c>
      <c r="DB143" s="26" t="e">
        <f t="shared" ca="1" si="214"/>
        <v>#VALUE!</v>
      </c>
      <c r="DC143" s="1">
        <f t="shared" si="159"/>
        <v>0</v>
      </c>
      <c r="DD143" s="1">
        <f t="shared" si="160"/>
        <v>0</v>
      </c>
      <c r="DE143" s="1">
        <f t="shared" si="161"/>
        <v>0</v>
      </c>
      <c r="DF143" s="1">
        <f t="shared" si="162"/>
        <v>0</v>
      </c>
      <c r="DG143" s="1">
        <f t="shared" si="163"/>
        <v>0</v>
      </c>
      <c r="DH143" s="26">
        <f t="shared" si="215"/>
        <v>0</v>
      </c>
      <c r="DI143" s="1" t="e">
        <f t="shared" ca="1" si="216"/>
        <v>#VALUE!</v>
      </c>
      <c r="DK143" s="11" t="str">
        <f t="shared" si="164"/>
        <v/>
      </c>
      <c r="DL143" s="11" t="e">
        <f ca="1">IF(AND(NOT(ISBLANK('Exception Stores'!$A$6)),CO143="YES"),S143-$BH$2-(DI143*$BS$2)-(CU143*$BS$2),S143-(DB143*$BS$2))</f>
        <v>#VALUE!</v>
      </c>
      <c r="DM143" s="11" t="str">
        <f>IF(ISBLANK(A143),"",IF(COUNTIF(Remaps!$A$2:$A$200,B143)&gt;0,"YES",""))</f>
        <v>YES</v>
      </c>
      <c r="DN143" s="29">
        <f>IFERROR(INDEX(Remaps!$B$2:$B$200,MATCH(B143,Remaps!$A$2:$A$200,0),1),0)</f>
        <v>0</v>
      </c>
      <c r="DO143" s="11" t="e">
        <f t="shared" ca="1" si="165"/>
        <v>#VALUE!</v>
      </c>
      <c r="DP143" s="29" t="e">
        <f t="shared" si="166"/>
        <v>#VALUE!</v>
      </c>
      <c r="DQ143" s="11" t="e">
        <f ca="1">('Apollo Dock Status'!$Z$1-DP143)/DO143</f>
        <v>#VALUE!</v>
      </c>
      <c r="DR143" s="15" t="e">
        <f t="shared" ca="1" si="217"/>
        <v>#VALUE!</v>
      </c>
    </row>
    <row r="144" spans="1:122">
      <c r="A144" s="1" t="str">
        <f>IF(ISBLANK('Apollo Dock Status'!A144),"",'Apollo Dock Status'!A144)</f>
        <v/>
      </c>
      <c r="B144" s="1" t="str">
        <f>IF(ISBLANK('Apollo Dock Status'!B144),"",'Apollo Dock Status'!B144)</f>
        <v/>
      </c>
      <c r="C144" s="1" t="str">
        <f>IF(ISBLANK('Apollo Dock Status'!C144),"",'Apollo Dock Status'!C144)</f>
        <v/>
      </c>
      <c r="D144" s="1" t="str">
        <f>IF(ISBLANK('Apollo Dock Status'!D144),"",'Apollo Dock Status'!D144)</f>
        <v/>
      </c>
      <c r="E144" s="1" t="str">
        <f>IF(ISBLANK('Apollo Dock Status'!E144),"",'Apollo Dock Status'!E144)</f>
        <v/>
      </c>
      <c r="F144" s="1" t="str">
        <f>IF(ISBLANK('Apollo Dock Status'!F144),"",'Apollo Dock Status'!F144)</f>
        <v/>
      </c>
      <c r="G144" s="1" t="str">
        <f>IF(ISBLANK('Apollo Dock Status'!G144),"",'Apollo Dock Status'!G144)</f>
        <v/>
      </c>
      <c r="H144" s="1" t="str">
        <f>IF(ISBLANK('Apollo Dock Status'!H144),"",'Apollo Dock Status'!H144)</f>
        <v/>
      </c>
      <c r="I144" s="1" t="str">
        <f>IF(ISBLANK('Apollo Dock Status'!I144),"",'Apollo Dock Status'!I144)</f>
        <v/>
      </c>
      <c r="J144" s="1" t="str">
        <f>IF(ISBLANK('Apollo Dock Status'!J144),"",'Apollo Dock Status'!J144)</f>
        <v/>
      </c>
      <c r="K144" s="1" t="str">
        <f>IF(ISBLANK('Apollo Dock Status'!K144),"",'Apollo Dock Status'!K144)</f>
        <v/>
      </c>
      <c r="L144" s="1" t="str">
        <f>IF(ISBLANK('Apollo Dock Status'!L144),"",'Apollo Dock Status'!L144)</f>
        <v/>
      </c>
      <c r="M144" s="1" t="str">
        <f>IF(ISBLANK('Apollo Dock Status'!M144),"",'Apollo Dock Status'!M144)</f>
        <v/>
      </c>
      <c r="N144" s="1" t="str">
        <f>IF(ISBLANK('Apollo Dock Status'!N144),"",'Apollo Dock Status'!N144)</f>
        <v/>
      </c>
      <c r="O144" s="1" t="str">
        <f t="shared" si="167"/>
        <v/>
      </c>
      <c r="P144" s="1" t="str">
        <f t="shared" si="168"/>
        <v/>
      </c>
      <c r="Q144" s="1" t="str">
        <f t="shared" si="169"/>
        <v/>
      </c>
      <c r="R144" s="1" t="str">
        <f t="shared" si="170"/>
        <v/>
      </c>
      <c r="S144" s="11" t="str">
        <f t="shared" si="171"/>
        <v/>
      </c>
      <c r="T144" s="1" t="str">
        <f t="shared" si="172"/>
        <v/>
      </c>
      <c r="U144" s="11" t="str">
        <f t="shared" si="173"/>
        <v/>
      </c>
      <c r="V144" s="11" t="str">
        <f t="shared" si="174"/>
        <v/>
      </c>
      <c r="X144" s="1" t="str">
        <f t="shared" si="175"/>
        <v/>
      </c>
      <c r="Y144" s="1" t="str">
        <f t="shared" si="176"/>
        <v/>
      </c>
      <c r="Z144" s="1" t="str">
        <f t="shared" si="177"/>
        <v/>
      </c>
      <c r="AB144" s="13">
        <f t="shared" ca="1" si="178"/>
        <v>46176</v>
      </c>
      <c r="AC144" s="1">
        <f t="shared" ca="1" si="179"/>
        <v>2026</v>
      </c>
      <c r="AD144" s="1" t="str">
        <f t="shared" ca="1" si="180"/>
        <v>6</v>
      </c>
      <c r="AE144" s="1">
        <f t="shared" si="181"/>
        <v>1</v>
      </c>
      <c r="AF144" s="1" t="str">
        <f t="shared" si="182"/>
        <v/>
      </c>
      <c r="AG144" s="1">
        <f t="shared" ca="1" si="183"/>
        <v>2026</v>
      </c>
      <c r="AH144" s="1">
        <f t="shared" si="184"/>
        <v>1</v>
      </c>
      <c r="AI144" s="1" t="str">
        <f t="shared" ca="1" si="185"/>
        <v>6</v>
      </c>
      <c r="AJ144" s="13" t="e">
        <f t="shared" ca="1" si="186"/>
        <v>#VALUE!</v>
      </c>
      <c r="AK144" s="1" t="e">
        <f>IF(ISBLANK(A144),"",IFERROR(MID(F144,SEARCH(", ",F144)+LEN(", "),SEARCH(" "&amp;'Exception Stores'!$A$2,F144)-SEARCH(", ",F144)-LEN(", ")),MID(F144,SEARCH(", ",F144)+LEN(", "),SEARCH(" "&amp;'Exception Stores'!$B$2,F144)-SEARCH(", ",F144)-LEN(", "))))</f>
        <v>#VALUE!</v>
      </c>
      <c r="AL144" s="1" t="e">
        <f t="shared" si="187"/>
        <v>#VALUE!</v>
      </c>
      <c r="AM144" s="15" t="e">
        <f t="shared" ca="1" si="188"/>
        <v>#VALUE!</v>
      </c>
      <c r="AN144" s="24" t="e">
        <f t="shared" ca="1" si="189"/>
        <v>#VALUE!</v>
      </c>
      <c r="AO144" s="1" t="e">
        <f t="shared" ca="1" si="190"/>
        <v>#VALUE!</v>
      </c>
      <c r="AP144" s="13" t="e">
        <f t="shared" ca="1" si="191"/>
        <v>#VALUE!</v>
      </c>
      <c r="AQ144" s="17" t="e">
        <f t="shared" ca="1" si="192"/>
        <v>#VALUE!</v>
      </c>
      <c r="AS144" s="15" t="e">
        <f t="shared" ca="1" si="193"/>
        <v>#VALUE!</v>
      </c>
      <c r="AT144" s="5">
        <f>'Exception Stores'!$D$2</f>
        <v>0.125</v>
      </c>
      <c r="AU144" s="15" t="e">
        <f t="shared" ca="1" si="194"/>
        <v>#VALUE!</v>
      </c>
      <c r="AV144" s="15" t="e">
        <f t="shared" ca="1" si="195"/>
        <v>#VALUE!</v>
      </c>
      <c r="AW144" s="15" t="e">
        <f t="shared" ca="1" si="196"/>
        <v>#VALUE!</v>
      </c>
      <c r="AX144" s="15" t="e">
        <f t="shared" ca="1" si="197"/>
        <v>#VALUE!</v>
      </c>
      <c r="AY144" s="15" t="e">
        <f t="shared" ca="1" si="198"/>
        <v>#VALUE!</v>
      </c>
      <c r="AZ144" s="1" t="e">
        <f t="shared" ca="1" si="199"/>
        <v>#VALUE!</v>
      </c>
      <c r="BA144" s="15" t="e">
        <f t="shared" ca="1" si="200"/>
        <v>#VALUE!</v>
      </c>
      <c r="BB144" s="15" t="e">
        <f t="shared" ca="1" si="201"/>
        <v>#VALUE!</v>
      </c>
      <c r="BC144" s="1" t="e">
        <f t="shared" ca="1" si="202"/>
        <v>#VALUE!</v>
      </c>
      <c r="BE144" s="15" t="str">
        <f>IF(ISBLANK('Exception Stores'!$A$6),"",'Exception Stores'!$A$6)</f>
        <v/>
      </c>
      <c r="BF144" s="15" t="str">
        <f>IF(ISBLANK('Exception Stores'!$B$6),"",'Exception Stores'!$B$6)</f>
        <v/>
      </c>
      <c r="BG144" s="1">
        <f>IF(ISBLANK('Exception Stores'!$A$6),0,IF($AN$2&gt;$BF$2,($AN$2-$BF$2)*24,0))</f>
        <v>0</v>
      </c>
      <c r="BH144" s="11">
        <f>IF(ISBLANK('Exception Stores'!$A$6),0,($BF$2-$BE$2)*24)</f>
        <v>0</v>
      </c>
      <c r="BI14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44" s="1">
        <f>IF(ISBLANK('Exception Stores'!$A$6),0,IF($AN$2&gt;$BF$2,0,IF(AND($AN$2&lt;$BF$2,$BT$2="B"),(($BF$2-$AN$2)*24)-$BS$2,($BF$2-$AN$2)*24)))</f>
        <v>0</v>
      </c>
      <c r="BL144" s="5"/>
      <c r="BM144" s="5"/>
      <c r="BN144" s="5"/>
      <c r="BO144" s="5"/>
      <c r="BP144" s="5"/>
      <c r="BV144" s="1" t="e">
        <f t="shared" ca="1" si="203"/>
        <v>#VALUE!</v>
      </c>
      <c r="BW144" s="1" t="e">
        <f t="shared" ca="1" si="204"/>
        <v>#VALUE!</v>
      </c>
      <c r="BX144" s="1" t="e">
        <f t="shared" ca="1" si="205"/>
        <v>#VALUE!</v>
      </c>
      <c r="BY144" s="1" t="e">
        <f t="shared" ca="1" si="206"/>
        <v>#VALUE!</v>
      </c>
      <c r="BZ144" s="1" t="e">
        <f t="shared" ca="1" si="207"/>
        <v>#VALUE!</v>
      </c>
      <c r="CB144" s="1" t="str">
        <f>IF(ISBLANK('Exception Stores'!$A$6),"",WEEKDAY($BF$2))</f>
        <v/>
      </c>
      <c r="CC144" s="1" t="str">
        <f>IF(ISBLANK('Exception Stores'!$A$6),"NO",IF('Exception Stores'!$A$6&lt;$AU$2,"YES","NO"))</f>
        <v>NO</v>
      </c>
      <c r="CD144" s="1" t="str">
        <f>IF(ISBLANK('Exception Stores'!$A$6),"NO",IF('Exception Stores'!$A$6&lt;$AV$2,"YES","NO"))</f>
        <v>NO</v>
      </c>
      <c r="CE144" s="1" t="str">
        <f>IF(ISBLANK('Exception Stores'!$A$6),"NO",IF('Exception Stores'!$A$6&lt;$AW$2,"YES","NO"))</f>
        <v>NO</v>
      </c>
      <c r="CF144" s="1" t="str">
        <f>IF(ISBLANK('Exception Stores'!$A$6),"NO",IF('Exception Stores'!$A$6&lt;$AX$2,"YES","NO"))</f>
        <v>NO</v>
      </c>
      <c r="CG144" s="1" t="str">
        <f>IF(ISBLANK('Exception Stores'!$A$6),"NO",IF('Exception Stores'!$A$6&lt;$AY$2,"YES","NO"))</f>
        <v>NO</v>
      </c>
      <c r="CI144" s="42" t="str">
        <f>IF(ISBLANK('Exception Stores'!$B$6),"NO",IF('Exception Stores'!$B$6&lt;=$AU$2,"YES","NO"))</f>
        <v>NO</v>
      </c>
      <c r="CJ144" s="42" t="str">
        <f>IF(ISBLANK('Exception Stores'!$B$6),"NO",IF('Exception Stores'!$B$6&lt;=$AV$2,"YES","NO"))</f>
        <v>NO</v>
      </c>
      <c r="CK144" s="1" t="str">
        <f>IF(ISBLANK('Exception Stores'!$B$6),"NO",IF('Exception Stores'!$B$6&lt;=$AW$2,"YES","NO"))</f>
        <v>NO</v>
      </c>
      <c r="CL144" s="1" t="str">
        <f>IF(ISBLANK('Exception Stores'!$B$6),"NO",IF('Exception Stores'!$B$6&lt;=$AX$2,"YES","NO"))</f>
        <v>NO</v>
      </c>
      <c r="CM144" s="1" t="str">
        <f>IF(ISBLANK('Exception Stores'!$B$6),"NO",IF('Exception Stores'!$B$6&lt;=$AY$2,"YES","NO"))</f>
        <v>NO</v>
      </c>
      <c r="CO144" s="1" t="e">
        <f ca="1">IF(AM144&lt;'Exception Stores'!$A$6,"YES","NO")</f>
        <v>#VALUE!</v>
      </c>
      <c r="CP144" s="1">
        <f t="shared" si="208"/>
        <v>0</v>
      </c>
      <c r="CQ144" s="1">
        <f t="shared" si="209"/>
        <v>0</v>
      </c>
      <c r="CR144" s="1">
        <f t="shared" si="210"/>
        <v>0</v>
      </c>
      <c r="CS144" s="1">
        <f t="shared" si="211"/>
        <v>0</v>
      </c>
      <c r="CT144" s="1">
        <f t="shared" si="212"/>
        <v>0</v>
      </c>
      <c r="CU144" s="1">
        <f t="shared" si="213"/>
        <v>0</v>
      </c>
      <c r="CW144" s="1" t="e">
        <f t="shared" ca="1" si="154"/>
        <v>#VALUE!</v>
      </c>
      <c r="CX144" s="1" t="e">
        <f t="shared" ca="1" si="155"/>
        <v>#VALUE!</v>
      </c>
      <c r="CY144" s="1" t="e">
        <f t="shared" ca="1" si="156"/>
        <v>#VALUE!</v>
      </c>
      <c r="CZ144" s="1" t="e">
        <f t="shared" ca="1" si="157"/>
        <v>#VALUE!</v>
      </c>
      <c r="DA144" s="1" t="e">
        <f t="shared" ca="1" si="158"/>
        <v>#VALUE!</v>
      </c>
      <c r="DB144" s="26" t="e">
        <f t="shared" ca="1" si="214"/>
        <v>#VALUE!</v>
      </c>
      <c r="DC144" s="1">
        <f t="shared" si="159"/>
        <v>0</v>
      </c>
      <c r="DD144" s="1">
        <f t="shared" si="160"/>
        <v>0</v>
      </c>
      <c r="DE144" s="1">
        <f t="shared" si="161"/>
        <v>0</v>
      </c>
      <c r="DF144" s="1">
        <f t="shared" si="162"/>
        <v>0</v>
      </c>
      <c r="DG144" s="1">
        <f t="shared" si="163"/>
        <v>0</v>
      </c>
      <c r="DH144" s="26">
        <f t="shared" si="215"/>
        <v>0</v>
      </c>
      <c r="DI144" s="1" t="e">
        <f t="shared" ca="1" si="216"/>
        <v>#VALUE!</v>
      </c>
      <c r="DK144" s="11" t="str">
        <f t="shared" si="164"/>
        <v/>
      </c>
      <c r="DL144" s="11" t="e">
        <f ca="1">IF(AND(NOT(ISBLANK('Exception Stores'!$A$6)),CO144="YES"),S144-$BH$2-(DI144*$BS$2)-(CU144*$BS$2),S144-(DB144*$BS$2))</f>
        <v>#VALUE!</v>
      </c>
      <c r="DM144" s="11" t="str">
        <f>IF(ISBLANK(A144),"",IF(COUNTIF(Remaps!$A$2:$A$200,B144)&gt;0,"YES",""))</f>
        <v>YES</v>
      </c>
      <c r="DN144" s="29">
        <f>IFERROR(INDEX(Remaps!$B$2:$B$200,MATCH(B144,Remaps!$A$2:$A$200,0),1),0)</f>
        <v>0</v>
      </c>
      <c r="DO144" s="11" t="e">
        <f t="shared" ca="1" si="165"/>
        <v>#VALUE!</v>
      </c>
      <c r="DP144" s="29" t="e">
        <f t="shared" si="166"/>
        <v>#VALUE!</v>
      </c>
      <c r="DQ144" s="11" t="e">
        <f ca="1">('Apollo Dock Status'!$Z$1-DP144)/DO144</f>
        <v>#VALUE!</v>
      </c>
      <c r="DR144" s="15" t="e">
        <f t="shared" ca="1" si="217"/>
        <v>#VALUE!</v>
      </c>
    </row>
    <row r="145" spans="1:122">
      <c r="A145" s="1" t="str">
        <f>IF(ISBLANK('Apollo Dock Status'!A145),"",'Apollo Dock Status'!A145)</f>
        <v/>
      </c>
      <c r="B145" s="1" t="str">
        <f>IF(ISBLANK('Apollo Dock Status'!B145),"",'Apollo Dock Status'!B145)</f>
        <v/>
      </c>
      <c r="C145" s="1" t="str">
        <f>IF(ISBLANK('Apollo Dock Status'!C145),"",'Apollo Dock Status'!C145)</f>
        <v/>
      </c>
      <c r="D145" s="1" t="str">
        <f>IF(ISBLANK('Apollo Dock Status'!D145),"",'Apollo Dock Status'!D145)</f>
        <v/>
      </c>
      <c r="E145" s="1" t="str">
        <f>IF(ISBLANK('Apollo Dock Status'!E145),"",'Apollo Dock Status'!E145)</f>
        <v/>
      </c>
      <c r="F145" s="1" t="str">
        <f>IF(ISBLANK('Apollo Dock Status'!F145),"",'Apollo Dock Status'!F145)</f>
        <v/>
      </c>
      <c r="G145" s="1" t="str">
        <f>IF(ISBLANK('Apollo Dock Status'!G145),"",'Apollo Dock Status'!G145)</f>
        <v/>
      </c>
      <c r="H145" s="1" t="str">
        <f>IF(ISBLANK('Apollo Dock Status'!H145),"",'Apollo Dock Status'!H145)</f>
        <v/>
      </c>
      <c r="I145" s="1" t="str">
        <f>IF(ISBLANK('Apollo Dock Status'!I145),"",'Apollo Dock Status'!I145)</f>
        <v/>
      </c>
      <c r="J145" s="1" t="str">
        <f>IF(ISBLANK('Apollo Dock Status'!J145),"",'Apollo Dock Status'!J145)</f>
        <v/>
      </c>
      <c r="K145" s="1" t="str">
        <f>IF(ISBLANK('Apollo Dock Status'!K145),"",'Apollo Dock Status'!K145)</f>
        <v/>
      </c>
      <c r="L145" s="1" t="str">
        <f>IF(ISBLANK('Apollo Dock Status'!L145),"",'Apollo Dock Status'!L145)</f>
        <v/>
      </c>
      <c r="M145" s="1" t="str">
        <f>IF(ISBLANK('Apollo Dock Status'!M145),"",'Apollo Dock Status'!M145)</f>
        <v/>
      </c>
      <c r="N145" s="1" t="str">
        <f>IF(ISBLANK('Apollo Dock Status'!N145),"",'Apollo Dock Status'!N145)</f>
        <v/>
      </c>
      <c r="O145" s="1" t="str">
        <f t="shared" si="167"/>
        <v/>
      </c>
      <c r="P145" s="1" t="str">
        <f t="shared" si="168"/>
        <v/>
      </c>
      <c r="Q145" s="1" t="str">
        <f t="shared" si="169"/>
        <v/>
      </c>
      <c r="R145" s="1" t="str">
        <f t="shared" si="170"/>
        <v/>
      </c>
      <c r="S145" s="11" t="str">
        <f t="shared" si="171"/>
        <v/>
      </c>
      <c r="T145" s="1" t="str">
        <f t="shared" si="172"/>
        <v/>
      </c>
      <c r="U145" s="11" t="str">
        <f t="shared" si="173"/>
        <v/>
      </c>
      <c r="V145" s="11" t="str">
        <f t="shared" si="174"/>
        <v/>
      </c>
      <c r="X145" s="1" t="str">
        <f t="shared" si="175"/>
        <v/>
      </c>
      <c r="Y145" s="1" t="str">
        <f t="shared" si="176"/>
        <v/>
      </c>
      <c r="Z145" s="1" t="str">
        <f t="shared" si="177"/>
        <v/>
      </c>
      <c r="AB145" s="13">
        <f t="shared" ca="1" si="178"/>
        <v>46176</v>
      </c>
      <c r="AC145" s="1">
        <f t="shared" ca="1" si="179"/>
        <v>2026</v>
      </c>
      <c r="AD145" s="1" t="str">
        <f t="shared" ca="1" si="180"/>
        <v>6</v>
      </c>
      <c r="AE145" s="1">
        <f t="shared" si="181"/>
        <v>1</v>
      </c>
      <c r="AF145" s="1" t="str">
        <f t="shared" si="182"/>
        <v/>
      </c>
      <c r="AG145" s="1">
        <f t="shared" ca="1" si="183"/>
        <v>2026</v>
      </c>
      <c r="AH145" s="1">
        <f t="shared" si="184"/>
        <v>1</v>
      </c>
      <c r="AI145" s="1" t="str">
        <f t="shared" ca="1" si="185"/>
        <v>6</v>
      </c>
      <c r="AJ145" s="13" t="e">
        <f t="shared" ca="1" si="186"/>
        <v>#VALUE!</v>
      </c>
      <c r="AK145" s="1" t="e">
        <f>IF(ISBLANK(A145),"",IFERROR(MID(F145,SEARCH(", ",F145)+LEN(", "),SEARCH(" "&amp;'Exception Stores'!$A$2,F145)-SEARCH(", ",F145)-LEN(", ")),MID(F145,SEARCH(", ",F145)+LEN(", "),SEARCH(" "&amp;'Exception Stores'!$B$2,F145)-SEARCH(", ",F145)-LEN(", "))))</f>
        <v>#VALUE!</v>
      </c>
      <c r="AL145" s="1" t="e">
        <f t="shared" si="187"/>
        <v>#VALUE!</v>
      </c>
      <c r="AM145" s="15" t="e">
        <f t="shared" ca="1" si="188"/>
        <v>#VALUE!</v>
      </c>
      <c r="AN145" s="24" t="e">
        <f t="shared" ca="1" si="189"/>
        <v>#VALUE!</v>
      </c>
      <c r="AO145" s="1" t="e">
        <f t="shared" ca="1" si="190"/>
        <v>#VALUE!</v>
      </c>
      <c r="AP145" s="13" t="e">
        <f t="shared" ca="1" si="191"/>
        <v>#VALUE!</v>
      </c>
      <c r="AQ145" s="17" t="e">
        <f t="shared" ca="1" si="192"/>
        <v>#VALUE!</v>
      </c>
      <c r="AS145" s="15" t="e">
        <f t="shared" ca="1" si="193"/>
        <v>#VALUE!</v>
      </c>
      <c r="AT145" s="5">
        <f>'Exception Stores'!$D$2</f>
        <v>0.125</v>
      </c>
      <c r="AU145" s="15" t="e">
        <f t="shared" ca="1" si="194"/>
        <v>#VALUE!</v>
      </c>
      <c r="AV145" s="15" t="e">
        <f t="shared" ca="1" si="195"/>
        <v>#VALUE!</v>
      </c>
      <c r="AW145" s="15" t="e">
        <f t="shared" ca="1" si="196"/>
        <v>#VALUE!</v>
      </c>
      <c r="AX145" s="15" t="e">
        <f t="shared" ca="1" si="197"/>
        <v>#VALUE!</v>
      </c>
      <c r="AY145" s="15" t="e">
        <f t="shared" ca="1" si="198"/>
        <v>#VALUE!</v>
      </c>
      <c r="AZ145" s="1" t="e">
        <f t="shared" ca="1" si="199"/>
        <v>#VALUE!</v>
      </c>
      <c r="BA145" s="15" t="e">
        <f t="shared" ca="1" si="200"/>
        <v>#VALUE!</v>
      </c>
      <c r="BB145" s="15" t="e">
        <f t="shared" ca="1" si="201"/>
        <v>#VALUE!</v>
      </c>
      <c r="BC145" s="1" t="e">
        <f t="shared" ca="1" si="202"/>
        <v>#VALUE!</v>
      </c>
      <c r="BE145" s="15" t="str">
        <f>IF(ISBLANK('Exception Stores'!$A$6),"",'Exception Stores'!$A$6)</f>
        <v/>
      </c>
      <c r="BF145" s="15" t="str">
        <f>IF(ISBLANK('Exception Stores'!$B$6),"",'Exception Stores'!$B$6)</f>
        <v/>
      </c>
      <c r="BG145" s="1">
        <f>IF(ISBLANK('Exception Stores'!$A$6),0,IF($AN$2&gt;$BF$2,($AN$2-$BF$2)*24,0))</f>
        <v>0</v>
      </c>
      <c r="BH145" s="11">
        <f>IF(ISBLANK('Exception Stores'!$A$6),0,($BF$2-$BE$2)*24)</f>
        <v>0</v>
      </c>
      <c r="BI14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45" s="1">
        <f>IF(ISBLANK('Exception Stores'!$A$6),0,IF($AN$2&gt;$BF$2,0,IF(AND($AN$2&lt;$BF$2,$BT$2="B"),(($BF$2-$AN$2)*24)-$BS$2,($BF$2-$AN$2)*24)))</f>
        <v>0</v>
      </c>
      <c r="BL145" s="5"/>
      <c r="BM145" s="5"/>
      <c r="BN145" s="5"/>
      <c r="BO145" s="5"/>
      <c r="BP145" s="5"/>
      <c r="BV145" s="1" t="e">
        <f t="shared" ca="1" si="203"/>
        <v>#VALUE!</v>
      </c>
      <c r="BW145" s="1" t="e">
        <f t="shared" ca="1" si="204"/>
        <v>#VALUE!</v>
      </c>
      <c r="BX145" s="1" t="e">
        <f t="shared" ca="1" si="205"/>
        <v>#VALUE!</v>
      </c>
      <c r="BY145" s="1" t="e">
        <f t="shared" ca="1" si="206"/>
        <v>#VALUE!</v>
      </c>
      <c r="BZ145" s="1" t="e">
        <f t="shared" ca="1" si="207"/>
        <v>#VALUE!</v>
      </c>
      <c r="CB145" s="1" t="str">
        <f>IF(ISBLANK('Exception Stores'!$A$6),"",WEEKDAY($BF$2))</f>
        <v/>
      </c>
      <c r="CC145" s="1" t="str">
        <f>IF(ISBLANK('Exception Stores'!$A$6),"NO",IF('Exception Stores'!$A$6&lt;$AU$2,"YES","NO"))</f>
        <v>NO</v>
      </c>
      <c r="CD145" s="1" t="str">
        <f>IF(ISBLANK('Exception Stores'!$A$6),"NO",IF('Exception Stores'!$A$6&lt;$AV$2,"YES","NO"))</f>
        <v>NO</v>
      </c>
      <c r="CE145" s="1" t="str">
        <f>IF(ISBLANK('Exception Stores'!$A$6),"NO",IF('Exception Stores'!$A$6&lt;$AW$2,"YES","NO"))</f>
        <v>NO</v>
      </c>
      <c r="CF145" s="1" t="str">
        <f>IF(ISBLANK('Exception Stores'!$A$6),"NO",IF('Exception Stores'!$A$6&lt;$AX$2,"YES","NO"))</f>
        <v>NO</v>
      </c>
      <c r="CG145" s="1" t="str">
        <f>IF(ISBLANK('Exception Stores'!$A$6),"NO",IF('Exception Stores'!$A$6&lt;$AY$2,"YES","NO"))</f>
        <v>NO</v>
      </c>
      <c r="CI145" s="42" t="str">
        <f>IF(ISBLANK('Exception Stores'!$B$6),"NO",IF('Exception Stores'!$B$6&lt;=$AU$2,"YES","NO"))</f>
        <v>NO</v>
      </c>
      <c r="CJ145" s="42" t="str">
        <f>IF(ISBLANK('Exception Stores'!$B$6),"NO",IF('Exception Stores'!$B$6&lt;=$AV$2,"YES","NO"))</f>
        <v>NO</v>
      </c>
      <c r="CK145" s="1" t="str">
        <f>IF(ISBLANK('Exception Stores'!$B$6),"NO",IF('Exception Stores'!$B$6&lt;=$AW$2,"YES","NO"))</f>
        <v>NO</v>
      </c>
      <c r="CL145" s="1" t="str">
        <f>IF(ISBLANK('Exception Stores'!$B$6),"NO",IF('Exception Stores'!$B$6&lt;=$AX$2,"YES","NO"))</f>
        <v>NO</v>
      </c>
      <c r="CM145" s="1" t="str">
        <f>IF(ISBLANK('Exception Stores'!$B$6),"NO",IF('Exception Stores'!$B$6&lt;=$AY$2,"YES","NO"))</f>
        <v>NO</v>
      </c>
      <c r="CO145" s="1" t="e">
        <f ca="1">IF(AM145&lt;'Exception Stores'!$A$6,"YES","NO")</f>
        <v>#VALUE!</v>
      </c>
      <c r="CP145" s="1">
        <f t="shared" si="208"/>
        <v>0</v>
      </c>
      <c r="CQ145" s="1">
        <f t="shared" si="209"/>
        <v>0</v>
      </c>
      <c r="CR145" s="1">
        <f t="shared" si="210"/>
        <v>0</v>
      </c>
      <c r="CS145" s="1">
        <f t="shared" si="211"/>
        <v>0</v>
      </c>
      <c r="CT145" s="1">
        <f t="shared" si="212"/>
        <v>0</v>
      </c>
      <c r="CU145" s="1">
        <f t="shared" si="213"/>
        <v>0</v>
      </c>
      <c r="CW145" s="1" t="e">
        <f t="shared" ca="1" si="154"/>
        <v>#VALUE!</v>
      </c>
      <c r="CX145" s="1" t="e">
        <f t="shared" ca="1" si="155"/>
        <v>#VALUE!</v>
      </c>
      <c r="CY145" s="1" t="e">
        <f t="shared" ca="1" si="156"/>
        <v>#VALUE!</v>
      </c>
      <c r="CZ145" s="1" t="e">
        <f t="shared" ca="1" si="157"/>
        <v>#VALUE!</v>
      </c>
      <c r="DA145" s="1" t="e">
        <f t="shared" ca="1" si="158"/>
        <v>#VALUE!</v>
      </c>
      <c r="DB145" s="26" t="e">
        <f t="shared" ca="1" si="214"/>
        <v>#VALUE!</v>
      </c>
      <c r="DC145" s="1">
        <f t="shared" si="159"/>
        <v>0</v>
      </c>
      <c r="DD145" s="1">
        <f t="shared" si="160"/>
        <v>0</v>
      </c>
      <c r="DE145" s="1">
        <f t="shared" si="161"/>
        <v>0</v>
      </c>
      <c r="DF145" s="1">
        <f t="shared" si="162"/>
        <v>0</v>
      </c>
      <c r="DG145" s="1">
        <f t="shared" si="163"/>
        <v>0</v>
      </c>
      <c r="DH145" s="26">
        <f t="shared" si="215"/>
        <v>0</v>
      </c>
      <c r="DI145" s="1" t="e">
        <f t="shared" ca="1" si="216"/>
        <v>#VALUE!</v>
      </c>
      <c r="DK145" s="11" t="str">
        <f t="shared" si="164"/>
        <v/>
      </c>
      <c r="DL145" s="11" t="e">
        <f ca="1">IF(AND(NOT(ISBLANK('Exception Stores'!$A$6)),CO145="YES"),S145-$BH$2-(DI145*$BS$2)-(CU145*$BS$2),S145-(DB145*$BS$2))</f>
        <v>#VALUE!</v>
      </c>
      <c r="DM145" s="11" t="str">
        <f>IF(ISBLANK(A145),"",IF(COUNTIF(Remaps!$A$2:$A$200,B145)&gt;0,"YES",""))</f>
        <v>YES</v>
      </c>
      <c r="DN145" s="29">
        <f>IFERROR(INDEX(Remaps!$B$2:$B$200,MATCH(B145,Remaps!$A$2:$A$200,0),1),0)</f>
        <v>0</v>
      </c>
      <c r="DO145" s="11" t="e">
        <f t="shared" ca="1" si="165"/>
        <v>#VALUE!</v>
      </c>
      <c r="DP145" s="29" t="e">
        <f t="shared" si="166"/>
        <v>#VALUE!</v>
      </c>
      <c r="DQ145" s="11" t="e">
        <f ca="1">('Apollo Dock Status'!$Z$1-DP145)/DO145</f>
        <v>#VALUE!</v>
      </c>
      <c r="DR145" s="15" t="e">
        <f t="shared" ca="1" si="217"/>
        <v>#VALUE!</v>
      </c>
    </row>
    <row r="146" spans="1:122">
      <c r="A146" s="1" t="str">
        <f>IF(ISBLANK('Apollo Dock Status'!A146),"",'Apollo Dock Status'!A146)</f>
        <v/>
      </c>
      <c r="B146" s="1" t="str">
        <f>IF(ISBLANK('Apollo Dock Status'!B146),"",'Apollo Dock Status'!B146)</f>
        <v/>
      </c>
      <c r="C146" s="1" t="str">
        <f>IF(ISBLANK('Apollo Dock Status'!C146),"",'Apollo Dock Status'!C146)</f>
        <v/>
      </c>
      <c r="D146" s="1" t="str">
        <f>IF(ISBLANK('Apollo Dock Status'!D146),"",'Apollo Dock Status'!D146)</f>
        <v/>
      </c>
      <c r="E146" s="1" t="str">
        <f>IF(ISBLANK('Apollo Dock Status'!E146),"",'Apollo Dock Status'!E146)</f>
        <v/>
      </c>
      <c r="F146" s="1" t="str">
        <f>IF(ISBLANK('Apollo Dock Status'!F146),"",'Apollo Dock Status'!F146)</f>
        <v/>
      </c>
      <c r="G146" s="1" t="str">
        <f>IF(ISBLANK('Apollo Dock Status'!G146),"",'Apollo Dock Status'!G146)</f>
        <v/>
      </c>
      <c r="H146" s="1" t="str">
        <f>IF(ISBLANK('Apollo Dock Status'!H146),"",'Apollo Dock Status'!H146)</f>
        <v/>
      </c>
      <c r="I146" s="1" t="str">
        <f>IF(ISBLANK('Apollo Dock Status'!I146),"",'Apollo Dock Status'!I146)</f>
        <v/>
      </c>
      <c r="J146" s="1" t="str">
        <f>IF(ISBLANK('Apollo Dock Status'!J146),"",'Apollo Dock Status'!J146)</f>
        <v/>
      </c>
      <c r="K146" s="1" t="str">
        <f>IF(ISBLANK('Apollo Dock Status'!K146),"",'Apollo Dock Status'!K146)</f>
        <v/>
      </c>
      <c r="L146" s="1" t="str">
        <f>IF(ISBLANK('Apollo Dock Status'!L146),"",'Apollo Dock Status'!L146)</f>
        <v/>
      </c>
      <c r="M146" s="1" t="str">
        <f>IF(ISBLANK('Apollo Dock Status'!M146),"",'Apollo Dock Status'!M146)</f>
        <v/>
      </c>
      <c r="N146" s="1" t="str">
        <f>IF(ISBLANK('Apollo Dock Status'!N146),"",'Apollo Dock Status'!N146)</f>
        <v/>
      </c>
      <c r="O146" s="1" t="str">
        <f t="shared" si="167"/>
        <v/>
      </c>
      <c r="P146" s="1" t="str">
        <f t="shared" si="168"/>
        <v/>
      </c>
      <c r="Q146" s="1" t="str">
        <f t="shared" si="169"/>
        <v/>
      </c>
      <c r="R146" s="1" t="str">
        <f t="shared" si="170"/>
        <v/>
      </c>
      <c r="S146" s="11" t="str">
        <f t="shared" si="171"/>
        <v/>
      </c>
      <c r="T146" s="1" t="str">
        <f t="shared" si="172"/>
        <v/>
      </c>
      <c r="U146" s="11" t="str">
        <f t="shared" si="173"/>
        <v/>
      </c>
      <c r="V146" s="11" t="str">
        <f t="shared" si="174"/>
        <v/>
      </c>
      <c r="X146" s="1" t="str">
        <f t="shared" si="175"/>
        <v/>
      </c>
      <c r="Y146" s="1" t="str">
        <f t="shared" si="176"/>
        <v/>
      </c>
      <c r="Z146" s="1" t="str">
        <f t="shared" si="177"/>
        <v/>
      </c>
      <c r="AB146" s="13">
        <f t="shared" ca="1" si="178"/>
        <v>46176</v>
      </c>
      <c r="AC146" s="1">
        <f t="shared" ca="1" si="179"/>
        <v>2026</v>
      </c>
      <c r="AD146" s="1" t="str">
        <f t="shared" ca="1" si="180"/>
        <v>6</v>
      </c>
      <c r="AE146" s="1">
        <f t="shared" si="181"/>
        <v>1</v>
      </c>
      <c r="AF146" s="1" t="str">
        <f t="shared" si="182"/>
        <v/>
      </c>
      <c r="AG146" s="1">
        <f t="shared" ca="1" si="183"/>
        <v>2026</v>
      </c>
      <c r="AH146" s="1">
        <f t="shared" si="184"/>
        <v>1</v>
      </c>
      <c r="AI146" s="1" t="str">
        <f t="shared" ca="1" si="185"/>
        <v>6</v>
      </c>
      <c r="AJ146" s="13" t="e">
        <f t="shared" ca="1" si="186"/>
        <v>#VALUE!</v>
      </c>
      <c r="AK146" s="1" t="e">
        <f>IF(ISBLANK(A146),"",IFERROR(MID(F146,SEARCH(", ",F146)+LEN(", "),SEARCH(" "&amp;'Exception Stores'!$A$2,F146)-SEARCH(", ",F146)-LEN(", ")),MID(F146,SEARCH(", ",F146)+LEN(", "),SEARCH(" "&amp;'Exception Stores'!$B$2,F146)-SEARCH(", ",F146)-LEN(", "))))</f>
        <v>#VALUE!</v>
      </c>
      <c r="AL146" s="1" t="e">
        <f t="shared" si="187"/>
        <v>#VALUE!</v>
      </c>
      <c r="AM146" s="15" t="e">
        <f t="shared" ca="1" si="188"/>
        <v>#VALUE!</v>
      </c>
      <c r="AN146" s="24" t="e">
        <f t="shared" ca="1" si="189"/>
        <v>#VALUE!</v>
      </c>
      <c r="AO146" s="1" t="e">
        <f t="shared" ca="1" si="190"/>
        <v>#VALUE!</v>
      </c>
      <c r="AP146" s="13" t="e">
        <f t="shared" ca="1" si="191"/>
        <v>#VALUE!</v>
      </c>
      <c r="AQ146" s="17" t="e">
        <f t="shared" ca="1" si="192"/>
        <v>#VALUE!</v>
      </c>
      <c r="AS146" s="15" t="e">
        <f t="shared" ca="1" si="193"/>
        <v>#VALUE!</v>
      </c>
      <c r="AT146" s="5">
        <f>'Exception Stores'!$D$2</f>
        <v>0.125</v>
      </c>
      <c r="AU146" s="15" t="e">
        <f t="shared" ca="1" si="194"/>
        <v>#VALUE!</v>
      </c>
      <c r="AV146" s="15" t="e">
        <f t="shared" ca="1" si="195"/>
        <v>#VALUE!</v>
      </c>
      <c r="AW146" s="15" t="e">
        <f t="shared" ca="1" si="196"/>
        <v>#VALUE!</v>
      </c>
      <c r="AX146" s="15" t="e">
        <f t="shared" ca="1" si="197"/>
        <v>#VALUE!</v>
      </c>
      <c r="AY146" s="15" t="e">
        <f t="shared" ca="1" si="198"/>
        <v>#VALUE!</v>
      </c>
      <c r="AZ146" s="1" t="e">
        <f t="shared" ca="1" si="199"/>
        <v>#VALUE!</v>
      </c>
      <c r="BA146" s="15" t="e">
        <f t="shared" ca="1" si="200"/>
        <v>#VALUE!</v>
      </c>
      <c r="BB146" s="15" t="e">
        <f t="shared" ca="1" si="201"/>
        <v>#VALUE!</v>
      </c>
      <c r="BC146" s="1" t="e">
        <f t="shared" ca="1" si="202"/>
        <v>#VALUE!</v>
      </c>
      <c r="BE146" s="15" t="str">
        <f>IF(ISBLANK('Exception Stores'!$A$6),"",'Exception Stores'!$A$6)</f>
        <v/>
      </c>
      <c r="BF146" s="15" t="str">
        <f>IF(ISBLANK('Exception Stores'!$B$6),"",'Exception Stores'!$B$6)</f>
        <v/>
      </c>
      <c r="BG146" s="1">
        <f>IF(ISBLANK('Exception Stores'!$A$6),0,IF($AN$2&gt;$BF$2,($AN$2-$BF$2)*24,0))</f>
        <v>0</v>
      </c>
      <c r="BH146" s="11">
        <f>IF(ISBLANK('Exception Stores'!$A$6),0,($BF$2-$BE$2)*24)</f>
        <v>0</v>
      </c>
      <c r="BI14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46" s="1">
        <f>IF(ISBLANK('Exception Stores'!$A$6),0,IF($AN$2&gt;$BF$2,0,IF(AND($AN$2&lt;$BF$2,$BT$2="B"),(($BF$2-$AN$2)*24)-$BS$2,($BF$2-$AN$2)*24)))</f>
        <v>0</v>
      </c>
      <c r="BL146" s="5"/>
      <c r="BM146" s="5"/>
      <c r="BN146" s="5"/>
      <c r="BO146" s="5"/>
      <c r="BP146" s="5"/>
      <c r="BV146" s="1" t="e">
        <f t="shared" ca="1" si="203"/>
        <v>#VALUE!</v>
      </c>
      <c r="BW146" s="1" t="e">
        <f t="shared" ca="1" si="204"/>
        <v>#VALUE!</v>
      </c>
      <c r="BX146" s="1" t="e">
        <f t="shared" ca="1" si="205"/>
        <v>#VALUE!</v>
      </c>
      <c r="BY146" s="1" t="e">
        <f t="shared" ca="1" si="206"/>
        <v>#VALUE!</v>
      </c>
      <c r="BZ146" s="1" t="e">
        <f t="shared" ca="1" si="207"/>
        <v>#VALUE!</v>
      </c>
      <c r="CB146" s="1" t="str">
        <f>IF(ISBLANK('Exception Stores'!$A$6),"",WEEKDAY($BF$2))</f>
        <v/>
      </c>
      <c r="CC146" s="1" t="str">
        <f>IF(ISBLANK('Exception Stores'!$A$6),"NO",IF('Exception Stores'!$A$6&lt;$AU$2,"YES","NO"))</f>
        <v>NO</v>
      </c>
      <c r="CD146" s="1" t="str">
        <f>IF(ISBLANK('Exception Stores'!$A$6),"NO",IF('Exception Stores'!$A$6&lt;$AV$2,"YES","NO"))</f>
        <v>NO</v>
      </c>
      <c r="CE146" s="1" t="str">
        <f>IF(ISBLANK('Exception Stores'!$A$6),"NO",IF('Exception Stores'!$A$6&lt;$AW$2,"YES","NO"))</f>
        <v>NO</v>
      </c>
      <c r="CF146" s="1" t="str">
        <f>IF(ISBLANK('Exception Stores'!$A$6),"NO",IF('Exception Stores'!$A$6&lt;$AX$2,"YES","NO"))</f>
        <v>NO</v>
      </c>
      <c r="CG146" s="1" t="str">
        <f>IF(ISBLANK('Exception Stores'!$A$6),"NO",IF('Exception Stores'!$A$6&lt;$AY$2,"YES","NO"))</f>
        <v>NO</v>
      </c>
      <c r="CI146" s="42" t="str">
        <f>IF(ISBLANK('Exception Stores'!$B$6),"NO",IF('Exception Stores'!$B$6&lt;=$AU$2,"YES","NO"))</f>
        <v>NO</v>
      </c>
      <c r="CJ146" s="42" t="str">
        <f>IF(ISBLANK('Exception Stores'!$B$6),"NO",IF('Exception Stores'!$B$6&lt;=$AV$2,"YES","NO"))</f>
        <v>NO</v>
      </c>
      <c r="CK146" s="1" t="str">
        <f>IF(ISBLANK('Exception Stores'!$B$6),"NO",IF('Exception Stores'!$B$6&lt;=$AW$2,"YES","NO"))</f>
        <v>NO</v>
      </c>
      <c r="CL146" s="1" t="str">
        <f>IF(ISBLANK('Exception Stores'!$B$6),"NO",IF('Exception Stores'!$B$6&lt;=$AX$2,"YES","NO"))</f>
        <v>NO</v>
      </c>
      <c r="CM146" s="1" t="str">
        <f>IF(ISBLANK('Exception Stores'!$B$6),"NO",IF('Exception Stores'!$B$6&lt;=$AY$2,"YES","NO"))</f>
        <v>NO</v>
      </c>
      <c r="CO146" s="1" t="e">
        <f ca="1">IF(AM146&lt;'Exception Stores'!$A$6,"YES","NO")</f>
        <v>#VALUE!</v>
      </c>
      <c r="CP146" s="1">
        <f t="shared" si="208"/>
        <v>0</v>
      </c>
      <c r="CQ146" s="1">
        <f t="shared" si="209"/>
        <v>0</v>
      </c>
      <c r="CR146" s="1">
        <f t="shared" si="210"/>
        <v>0</v>
      </c>
      <c r="CS146" s="1">
        <f t="shared" si="211"/>
        <v>0</v>
      </c>
      <c r="CT146" s="1">
        <f t="shared" si="212"/>
        <v>0</v>
      </c>
      <c r="CU146" s="1">
        <f t="shared" si="213"/>
        <v>0</v>
      </c>
      <c r="CW146" s="1" t="e">
        <f t="shared" ca="1" si="154"/>
        <v>#VALUE!</v>
      </c>
      <c r="CX146" s="1" t="e">
        <f t="shared" ca="1" si="155"/>
        <v>#VALUE!</v>
      </c>
      <c r="CY146" s="1" t="e">
        <f t="shared" ca="1" si="156"/>
        <v>#VALUE!</v>
      </c>
      <c r="CZ146" s="1" t="e">
        <f t="shared" ca="1" si="157"/>
        <v>#VALUE!</v>
      </c>
      <c r="DA146" s="1" t="e">
        <f t="shared" ca="1" si="158"/>
        <v>#VALUE!</v>
      </c>
      <c r="DB146" s="26" t="e">
        <f t="shared" ca="1" si="214"/>
        <v>#VALUE!</v>
      </c>
      <c r="DC146" s="1">
        <f t="shared" si="159"/>
        <v>0</v>
      </c>
      <c r="DD146" s="1">
        <f t="shared" si="160"/>
        <v>0</v>
      </c>
      <c r="DE146" s="1">
        <f t="shared" si="161"/>
        <v>0</v>
      </c>
      <c r="DF146" s="1">
        <f t="shared" si="162"/>
        <v>0</v>
      </c>
      <c r="DG146" s="1">
        <f t="shared" si="163"/>
        <v>0</v>
      </c>
      <c r="DH146" s="26">
        <f t="shared" si="215"/>
        <v>0</v>
      </c>
      <c r="DI146" s="1" t="e">
        <f t="shared" ca="1" si="216"/>
        <v>#VALUE!</v>
      </c>
      <c r="DK146" s="11" t="str">
        <f t="shared" si="164"/>
        <v/>
      </c>
      <c r="DL146" s="11" t="e">
        <f ca="1">IF(AND(NOT(ISBLANK('Exception Stores'!$A$6)),CO146="YES"),S146-$BH$2-(DI146*$BS$2)-(CU146*$BS$2),S146-(DB146*$BS$2))</f>
        <v>#VALUE!</v>
      </c>
      <c r="DM146" s="11" t="str">
        <f>IF(ISBLANK(A146),"",IF(COUNTIF(Remaps!$A$2:$A$200,B146)&gt;0,"YES",""))</f>
        <v>YES</v>
      </c>
      <c r="DN146" s="29">
        <f>IFERROR(INDEX(Remaps!$B$2:$B$200,MATCH(B146,Remaps!$A$2:$A$200,0),1),0)</f>
        <v>0</v>
      </c>
      <c r="DO146" s="11" t="e">
        <f t="shared" ca="1" si="165"/>
        <v>#VALUE!</v>
      </c>
      <c r="DP146" s="29" t="e">
        <f t="shared" si="166"/>
        <v>#VALUE!</v>
      </c>
      <c r="DQ146" s="11" t="e">
        <f ca="1">('Apollo Dock Status'!$Z$1-DP146)/DO146</f>
        <v>#VALUE!</v>
      </c>
      <c r="DR146" s="15" t="e">
        <f t="shared" ca="1" si="217"/>
        <v>#VALUE!</v>
      </c>
    </row>
    <row r="147" spans="1:122">
      <c r="A147" s="1" t="str">
        <f>IF(ISBLANK('Apollo Dock Status'!A147),"",'Apollo Dock Status'!A147)</f>
        <v/>
      </c>
      <c r="B147" s="1" t="str">
        <f>IF(ISBLANK('Apollo Dock Status'!B147),"",'Apollo Dock Status'!B147)</f>
        <v/>
      </c>
      <c r="C147" s="1" t="str">
        <f>IF(ISBLANK('Apollo Dock Status'!C147),"",'Apollo Dock Status'!C147)</f>
        <v/>
      </c>
      <c r="D147" s="1" t="str">
        <f>IF(ISBLANK('Apollo Dock Status'!D147),"",'Apollo Dock Status'!D147)</f>
        <v/>
      </c>
      <c r="E147" s="1" t="str">
        <f>IF(ISBLANK('Apollo Dock Status'!E147),"",'Apollo Dock Status'!E147)</f>
        <v/>
      </c>
      <c r="F147" s="1" t="str">
        <f>IF(ISBLANK('Apollo Dock Status'!F147),"",'Apollo Dock Status'!F147)</f>
        <v/>
      </c>
      <c r="G147" s="1" t="str">
        <f>IF(ISBLANK('Apollo Dock Status'!G147),"",'Apollo Dock Status'!G147)</f>
        <v/>
      </c>
      <c r="H147" s="1" t="str">
        <f>IF(ISBLANK('Apollo Dock Status'!H147),"",'Apollo Dock Status'!H147)</f>
        <v/>
      </c>
      <c r="I147" s="1" t="str">
        <f>IF(ISBLANK('Apollo Dock Status'!I147),"",'Apollo Dock Status'!I147)</f>
        <v/>
      </c>
      <c r="J147" s="1" t="str">
        <f>IF(ISBLANK('Apollo Dock Status'!J147),"",'Apollo Dock Status'!J147)</f>
        <v/>
      </c>
      <c r="K147" s="1" t="str">
        <f>IF(ISBLANK('Apollo Dock Status'!K147),"",'Apollo Dock Status'!K147)</f>
        <v/>
      </c>
      <c r="L147" s="1" t="str">
        <f>IF(ISBLANK('Apollo Dock Status'!L147),"",'Apollo Dock Status'!L147)</f>
        <v/>
      </c>
      <c r="M147" s="1" t="str">
        <f>IF(ISBLANK('Apollo Dock Status'!M147),"",'Apollo Dock Status'!M147)</f>
        <v/>
      </c>
      <c r="N147" s="1" t="str">
        <f>IF(ISBLANK('Apollo Dock Status'!N147),"",'Apollo Dock Status'!N147)</f>
        <v/>
      </c>
      <c r="O147" s="1" t="str">
        <f t="shared" si="167"/>
        <v/>
      </c>
      <c r="P147" s="1" t="str">
        <f t="shared" si="168"/>
        <v/>
      </c>
      <c r="Q147" s="1" t="str">
        <f t="shared" si="169"/>
        <v/>
      </c>
      <c r="R147" s="1" t="str">
        <f t="shared" si="170"/>
        <v/>
      </c>
      <c r="S147" s="11" t="str">
        <f t="shared" si="171"/>
        <v/>
      </c>
      <c r="T147" s="1" t="str">
        <f t="shared" si="172"/>
        <v/>
      </c>
      <c r="U147" s="11" t="str">
        <f t="shared" si="173"/>
        <v/>
      </c>
      <c r="V147" s="11" t="str">
        <f t="shared" si="174"/>
        <v/>
      </c>
      <c r="X147" s="1" t="str">
        <f t="shared" si="175"/>
        <v/>
      </c>
      <c r="Y147" s="1" t="str">
        <f t="shared" si="176"/>
        <v/>
      </c>
      <c r="Z147" s="1" t="str">
        <f t="shared" si="177"/>
        <v/>
      </c>
      <c r="AB147" s="13">
        <f t="shared" ca="1" si="178"/>
        <v>46176</v>
      </c>
      <c r="AC147" s="1">
        <f t="shared" ca="1" si="179"/>
        <v>2026</v>
      </c>
      <c r="AD147" s="1" t="str">
        <f t="shared" ca="1" si="180"/>
        <v>6</v>
      </c>
      <c r="AE147" s="1">
        <f t="shared" si="181"/>
        <v>1</v>
      </c>
      <c r="AF147" s="1" t="str">
        <f t="shared" si="182"/>
        <v/>
      </c>
      <c r="AG147" s="1">
        <f t="shared" ca="1" si="183"/>
        <v>2026</v>
      </c>
      <c r="AH147" s="1">
        <f t="shared" si="184"/>
        <v>1</v>
      </c>
      <c r="AI147" s="1" t="str">
        <f t="shared" ca="1" si="185"/>
        <v>6</v>
      </c>
      <c r="AJ147" s="13" t="e">
        <f t="shared" ca="1" si="186"/>
        <v>#VALUE!</v>
      </c>
      <c r="AK147" s="1" t="e">
        <f>IF(ISBLANK(A147),"",IFERROR(MID(F147,SEARCH(", ",F147)+LEN(", "),SEARCH(" "&amp;'Exception Stores'!$A$2,F147)-SEARCH(", ",F147)-LEN(", ")),MID(F147,SEARCH(", ",F147)+LEN(", "),SEARCH(" "&amp;'Exception Stores'!$B$2,F147)-SEARCH(", ",F147)-LEN(", "))))</f>
        <v>#VALUE!</v>
      </c>
      <c r="AL147" s="1" t="e">
        <f t="shared" si="187"/>
        <v>#VALUE!</v>
      </c>
      <c r="AM147" s="15" t="e">
        <f t="shared" ca="1" si="188"/>
        <v>#VALUE!</v>
      </c>
      <c r="AN147" s="24" t="e">
        <f t="shared" ca="1" si="189"/>
        <v>#VALUE!</v>
      </c>
      <c r="AO147" s="1" t="e">
        <f t="shared" ca="1" si="190"/>
        <v>#VALUE!</v>
      </c>
      <c r="AP147" s="13" t="e">
        <f t="shared" ca="1" si="191"/>
        <v>#VALUE!</v>
      </c>
      <c r="AQ147" s="17" t="e">
        <f t="shared" ca="1" si="192"/>
        <v>#VALUE!</v>
      </c>
      <c r="AS147" s="15" t="e">
        <f t="shared" ca="1" si="193"/>
        <v>#VALUE!</v>
      </c>
      <c r="AT147" s="5">
        <f>'Exception Stores'!$D$2</f>
        <v>0.125</v>
      </c>
      <c r="AU147" s="15" t="e">
        <f t="shared" ca="1" si="194"/>
        <v>#VALUE!</v>
      </c>
      <c r="AV147" s="15" t="e">
        <f t="shared" ca="1" si="195"/>
        <v>#VALUE!</v>
      </c>
      <c r="AW147" s="15" t="e">
        <f t="shared" ca="1" si="196"/>
        <v>#VALUE!</v>
      </c>
      <c r="AX147" s="15" t="e">
        <f t="shared" ca="1" si="197"/>
        <v>#VALUE!</v>
      </c>
      <c r="AY147" s="15" t="e">
        <f t="shared" ca="1" si="198"/>
        <v>#VALUE!</v>
      </c>
      <c r="AZ147" s="1" t="e">
        <f t="shared" ca="1" si="199"/>
        <v>#VALUE!</v>
      </c>
      <c r="BA147" s="15" t="e">
        <f t="shared" ca="1" si="200"/>
        <v>#VALUE!</v>
      </c>
      <c r="BB147" s="15" t="e">
        <f t="shared" ca="1" si="201"/>
        <v>#VALUE!</v>
      </c>
      <c r="BC147" s="1" t="e">
        <f t="shared" ca="1" si="202"/>
        <v>#VALUE!</v>
      </c>
      <c r="BE147" s="15" t="str">
        <f>IF(ISBLANK('Exception Stores'!$A$6),"",'Exception Stores'!$A$6)</f>
        <v/>
      </c>
      <c r="BF147" s="15" t="str">
        <f>IF(ISBLANK('Exception Stores'!$B$6),"",'Exception Stores'!$B$6)</f>
        <v/>
      </c>
      <c r="BG147" s="1">
        <f>IF(ISBLANK('Exception Stores'!$A$6),0,IF($AN$2&gt;$BF$2,($AN$2-$BF$2)*24,0))</f>
        <v>0</v>
      </c>
      <c r="BH147" s="11">
        <f>IF(ISBLANK('Exception Stores'!$A$6),0,($BF$2-$BE$2)*24)</f>
        <v>0</v>
      </c>
      <c r="BI14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47" s="1">
        <f>IF(ISBLANK('Exception Stores'!$A$6),0,IF($AN$2&gt;$BF$2,0,IF(AND($AN$2&lt;$BF$2,$BT$2="B"),(($BF$2-$AN$2)*24)-$BS$2,($BF$2-$AN$2)*24)))</f>
        <v>0</v>
      </c>
      <c r="BL147" s="5"/>
      <c r="BM147" s="5"/>
      <c r="BN147" s="5"/>
      <c r="BO147" s="5"/>
      <c r="BP147" s="5"/>
      <c r="BV147" s="1" t="e">
        <f t="shared" ca="1" si="203"/>
        <v>#VALUE!</v>
      </c>
      <c r="BW147" s="1" t="e">
        <f t="shared" ca="1" si="204"/>
        <v>#VALUE!</v>
      </c>
      <c r="BX147" s="1" t="e">
        <f t="shared" ca="1" si="205"/>
        <v>#VALUE!</v>
      </c>
      <c r="BY147" s="1" t="e">
        <f t="shared" ca="1" si="206"/>
        <v>#VALUE!</v>
      </c>
      <c r="BZ147" s="1" t="e">
        <f t="shared" ca="1" si="207"/>
        <v>#VALUE!</v>
      </c>
      <c r="CB147" s="1" t="str">
        <f>IF(ISBLANK('Exception Stores'!$A$6),"",WEEKDAY($BF$2))</f>
        <v/>
      </c>
      <c r="CC147" s="1" t="str">
        <f>IF(ISBLANK('Exception Stores'!$A$6),"NO",IF('Exception Stores'!$A$6&lt;$AU$2,"YES","NO"))</f>
        <v>NO</v>
      </c>
      <c r="CD147" s="1" t="str">
        <f>IF(ISBLANK('Exception Stores'!$A$6),"NO",IF('Exception Stores'!$A$6&lt;$AV$2,"YES","NO"))</f>
        <v>NO</v>
      </c>
      <c r="CE147" s="1" t="str">
        <f>IF(ISBLANK('Exception Stores'!$A$6),"NO",IF('Exception Stores'!$A$6&lt;$AW$2,"YES","NO"))</f>
        <v>NO</v>
      </c>
      <c r="CF147" s="1" t="str">
        <f>IF(ISBLANK('Exception Stores'!$A$6),"NO",IF('Exception Stores'!$A$6&lt;$AX$2,"YES","NO"))</f>
        <v>NO</v>
      </c>
      <c r="CG147" s="1" t="str">
        <f>IF(ISBLANK('Exception Stores'!$A$6),"NO",IF('Exception Stores'!$A$6&lt;$AY$2,"YES","NO"))</f>
        <v>NO</v>
      </c>
      <c r="CI147" s="42" t="str">
        <f>IF(ISBLANK('Exception Stores'!$B$6),"NO",IF('Exception Stores'!$B$6&lt;=$AU$2,"YES","NO"))</f>
        <v>NO</v>
      </c>
      <c r="CJ147" s="42" t="str">
        <f>IF(ISBLANK('Exception Stores'!$B$6),"NO",IF('Exception Stores'!$B$6&lt;=$AV$2,"YES","NO"))</f>
        <v>NO</v>
      </c>
      <c r="CK147" s="1" t="str">
        <f>IF(ISBLANK('Exception Stores'!$B$6),"NO",IF('Exception Stores'!$B$6&lt;=$AW$2,"YES","NO"))</f>
        <v>NO</v>
      </c>
      <c r="CL147" s="1" t="str">
        <f>IF(ISBLANK('Exception Stores'!$B$6),"NO",IF('Exception Stores'!$B$6&lt;=$AX$2,"YES","NO"))</f>
        <v>NO</v>
      </c>
      <c r="CM147" s="1" t="str">
        <f>IF(ISBLANK('Exception Stores'!$B$6),"NO",IF('Exception Stores'!$B$6&lt;=$AY$2,"YES","NO"))</f>
        <v>NO</v>
      </c>
      <c r="CO147" s="1" t="e">
        <f ca="1">IF(AM147&lt;'Exception Stores'!$A$6,"YES","NO")</f>
        <v>#VALUE!</v>
      </c>
      <c r="CP147" s="1">
        <f t="shared" si="208"/>
        <v>0</v>
      </c>
      <c r="CQ147" s="1">
        <f t="shared" si="209"/>
        <v>0</v>
      </c>
      <c r="CR147" s="1">
        <f t="shared" si="210"/>
        <v>0</v>
      </c>
      <c r="CS147" s="1">
        <f t="shared" si="211"/>
        <v>0</v>
      </c>
      <c r="CT147" s="1">
        <f t="shared" si="212"/>
        <v>0</v>
      </c>
      <c r="CU147" s="1">
        <f t="shared" si="213"/>
        <v>0</v>
      </c>
      <c r="CW147" s="1" t="e">
        <f t="shared" ca="1" si="154"/>
        <v>#VALUE!</v>
      </c>
      <c r="CX147" s="1" t="e">
        <f t="shared" ca="1" si="155"/>
        <v>#VALUE!</v>
      </c>
      <c r="CY147" s="1" t="e">
        <f t="shared" ca="1" si="156"/>
        <v>#VALUE!</v>
      </c>
      <c r="CZ147" s="1" t="e">
        <f t="shared" ca="1" si="157"/>
        <v>#VALUE!</v>
      </c>
      <c r="DA147" s="1" t="e">
        <f t="shared" ca="1" si="158"/>
        <v>#VALUE!</v>
      </c>
      <c r="DB147" s="26" t="e">
        <f t="shared" ca="1" si="214"/>
        <v>#VALUE!</v>
      </c>
      <c r="DC147" s="1">
        <f t="shared" si="159"/>
        <v>0</v>
      </c>
      <c r="DD147" s="1">
        <f t="shared" si="160"/>
        <v>0</v>
      </c>
      <c r="DE147" s="1">
        <f t="shared" si="161"/>
        <v>0</v>
      </c>
      <c r="DF147" s="1">
        <f t="shared" si="162"/>
        <v>0</v>
      </c>
      <c r="DG147" s="1">
        <f t="shared" si="163"/>
        <v>0</v>
      </c>
      <c r="DH147" s="26">
        <f t="shared" si="215"/>
        <v>0</v>
      </c>
      <c r="DI147" s="1" t="e">
        <f t="shared" ca="1" si="216"/>
        <v>#VALUE!</v>
      </c>
      <c r="DK147" s="11" t="str">
        <f t="shared" si="164"/>
        <v/>
      </c>
      <c r="DL147" s="11" t="e">
        <f ca="1">IF(AND(NOT(ISBLANK('Exception Stores'!$A$6)),CO147="YES"),S147-$BH$2-(DI147*$BS$2)-(CU147*$BS$2),S147-(DB147*$BS$2))</f>
        <v>#VALUE!</v>
      </c>
      <c r="DM147" s="11" t="str">
        <f>IF(ISBLANK(A147),"",IF(COUNTIF(Remaps!$A$2:$A$200,B147)&gt;0,"YES",""))</f>
        <v>YES</v>
      </c>
      <c r="DN147" s="29">
        <f>IFERROR(INDEX(Remaps!$B$2:$B$200,MATCH(B147,Remaps!$A$2:$A$200,0),1),0)</f>
        <v>0</v>
      </c>
      <c r="DO147" s="11" t="e">
        <f t="shared" ca="1" si="165"/>
        <v>#VALUE!</v>
      </c>
      <c r="DP147" s="29" t="e">
        <f t="shared" si="166"/>
        <v>#VALUE!</v>
      </c>
      <c r="DQ147" s="11" t="e">
        <f ca="1">('Apollo Dock Status'!$Z$1-DP147)/DO147</f>
        <v>#VALUE!</v>
      </c>
      <c r="DR147" s="15" t="e">
        <f t="shared" ca="1" si="217"/>
        <v>#VALUE!</v>
      </c>
    </row>
    <row r="148" spans="1:122">
      <c r="A148" s="1" t="str">
        <f>IF(ISBLANK('Apollo Dock Status'!A148),"",'Apollo Dock Status'!A148)</f>
        <v/>
      </c>
      <c r="B148" s="1" t="str">
        <f>IF(ISBLANK('Apollo Dock Status'!B148),"",'Apollo Dock Status'!B148)</f>
        <v/>
      </c>
      <c r="C148" s="1" t="str">
        <f>IF(ISBLANK('Apollo Dock Status'!C148),"",'Apollo Dock Status'!C148)</f>
        <v/>
      </c>
      <c r="D148" s="1" t="str">
        <f>IF(ISBLANK('Apollo Dock Status'!D148),"",'Apollo Dock Status'!D148)</f>
        <v/>
      </c>
      <c r="E148" s="1" t="str">
        <f>IF(ISBLANK('Apollo Dock Status'!E148),"",'Apollo Dock Status'!E148)</f>
        <v/>
      </c>
      <c r="F148" s="1" t="str">
        <f>IF(ISBLANK('Apollo Dock Status'!F148),"",'Apollo Dock Status'!F148)</f>
        <v/>
      </c>
      <c r="G148" s="1" t="str">
        <f>IF(ISBLANK('Apollo Dock Status'!G148),"",'Apollo Dock Status'!G148)</f>
        <v/>
      </c>
      <c r="H148" s="1" t="str">
        <f>IF(ISBLANK('Apollo Dock Status'!H148),"",'Apollo Dock Status'!H148)</f>
        <v/>
      </c>
      <c r="I148" s="1" t="str">
        <f>IF(ISBLANK('Apollo Dock Status'!I148),"",'Apollo Dock Status'!I148)</f>
        <v/>
      </c>
      <c r="J148" s="1" t="str">
        <f>IF(ISBLANK('Apollo Dock Status'!J148),"",'Apollo Dock Status'!J148)</f>
        <v/>
      </c>
      <c r="K148" s="1" t="str">
        <f>IF(ISBLANK('Apollo Dock Status'!K148),"",'Apollo Dock Status'!K148)</f>
        <v/>
      </c>
      <c r="L148" s="1" t="str">
        <f>IF(ISBLANK('Apollo Dock Status'!L148),"",'Apollo Dock Status'!L148)</f>
        <v/>
      </c>
      <c r="M148" s="1" t="str">
        <f>IF(ISBLANK('Apollo Dock Status'!M148),"",'Apollo Dock Status'!M148)</f>
        <v/>
      </c>
      <c r="N148" s="1" t="str">
        <f>IF(ISBLANK('Apollo Dock Status'!N148),"",'Apollo Dock Status'!N148)</f>
        <v/>
      </c>
      <c r="O148" s="1" t="str">
        <f t="shared" si="167"/>
        <v/>
      </c>
      <c r="P148" s="1" t="str">
        <f t="shared" si="168"/>
        <v/>
      </c>
      <c r="Q148" s="1" t="str">
        <f t="shared" si="169"/>
        <v/>
      </c>
      <c r="R148" s="1" t="str">
        <f t="shared" si="170"/>
        <v/>
      </c>
      <c r="S148" s="11" t="str">
        <f t="shared" si="171"/>
        <v/>
      </c>
      <c r="T148" s="1" t="str">
        <f t="shared" si="172"/>
        <v/>
      </c>
      <c r="U148" s="11" t="str">
        <f t="shared" si="173"/>
        <v/>
      </c>
      <c r="V148" s="11" t="str">
        <f t="shared" si="174"/>
        <v/>
      </c>
      <c r="X148" s="1" t="str">
        <f t="shared" si="175"/>
        <v/>
      </c>
      <c r="Y148" s="1" t="str">
        <f t="shared" si="176"/>
        <v/>
      </c>
      <c r="Z148" s="1" t="str">
        <f t="shared" si="177"/>
        <v/>
      </c>
      <c r="AB148" s="13">
        <f t="shared" ca="1" si="178"/>
        <v>46176</v>
      </c>
      <c r="AC148" s="1">
        <f t="shared" ca="1" si="179"/>
        <v>2026</v>
      </c>
      <c r="AD148" s="1" t="str">
        <f t="shared" ca="1" si="180"/>
        <v>6</v>
      </c>
      <c r="AE148" s="1">
        <f t="shared" si="181"/>
        <v>1</v>
      </c>
      <c r="AF148" s="1" t="str">
        <f t="shared" si="182"/>
        <v/>
      </c>
      <c r="AG148" s="1">
        <f t="shared" ca="1" si="183"/>
        <v>2026</v>
      </c>
      <c r="AH148" s="1">
        <f t="shared" si="184"/>
        <v>1</v>
      </c>
      <c r="AI148" s="1" t="str">
        <f t="shared" ca="1" si="185"/>
        <v>6</v>
      </c>
      <c r="AJ148" s="13" t="e">
        <f t="shared" ca="1" si="186"/>
        <v>#VALUE!</v>
      </c>
      <c r="AK148" s="1" t="e">
        <f>IF(ISBLANK(A148),"",IFERROR(MID(F148,SEARCH(", ",F148)+LEN(", "),SEARCH(" "&amp;'Exception Stores'!$A$2,F148)-SEARCH(", ",F148)-LEN(", ")),MID(F148,SEARCH(", ",F148)+LEN(", "),SEARCH(" "&amp;'Exception Stores'!$B$2,F148)-SEARCH(", ",F148)-LEN(", "))))</f>
        <v>#VALUE!</v>
      </c>
      <c r="AL148" s="1" t="e">
        <f t="shared" si="187"/>
        <v>#VALUE!</v>
      </c>
      <c r="AM148" s="15" t="e">
        <f t="shared" ca="1" si="188"/>
        <v>#VALUE!</v>
      </c>
      <c r="AN148" s="24" t="e">
        <f t="shared" ca="1" si="189"/>
        <v>#VALUE!</v>
      </c>
      <c r="AO148" s="1" t="e">
        <f t="shared" ca="1" si="190"/>
        <v>#VALUE!</v>
      </c>
      <c r="AP148" s="13" t="e">
        <f t="shared" ca="1" si="191"/>
        <v>#VALUE!</v>
      </c>
      <c r="AQ148" s="17" t="e">
        <f t="shared" ca="1" si="192"/>
        <v>#VALUE!</v>
      </c>
      <c r="AS148" s="15" t="e">
        <f t="shared" ca="1" si="193"/>
        <v>#VALUE!</v>
      </c>
      <c r="AT148" s="5">
        <f>'Exception Stores'!$D$2</f>
        <v>0.125</v>
      </c>
      <c r="AU148" s="15" t="e">
        <f t="shared" ca="1" si="194"/>
        <v>#VALUE!</v>
      </c>
      <c r="AV148" s="15" t="e">
        <f t="shared" ca="1" si="195"/>
        <v>#VALUE!</v>
      </c>
      <c r="AW148" s="15" t="e">
        <f t="shared" ca="1" si="196"/>
        <v>#VALUE!</v>
      </c>
      <c r="AX148" s="15" t="e">
        <f t="shared" ca="1" si="197"/>
        <v>#VALUE!</v>
      </c>
      <c r="AY148" s="15" t="e">
        <f t="shared" ca="1" si="198"/>
        <v>#VALUE!</v>
      </c>
      <c r="AZ148" s="1" t="e">
        <f t="shared" ca="1" si="199"/>
        <v>#VALUE!</v>
      </c>
      <c r="BA148" s="15" t="e">
        <f t="shared" ca="1" si="200"/>
        <v>#VALUE!</v>
      </c>
      <c r="BB148" s="15" t="e">
        <f t="shared" ca="1" si="201"/>
        <v>#VALUE!</v>
      </c>
      <c r="BC148" s="1" t="e">
        <f t="shared" ca="1" si="202"/>
        <v>#VALUE!</v>
      </c>
      <c r="BE148" s="15" t="str">
        <f>IF(ISBLANK('Exception Stores'!$A$6),"",'Exception Stores'!$A$6)</f>
        <v/>
      </c>
      <c r="BF148" s="15" t="str">
        <f>IF(ISBLANK('Exception Stores'!$B$6),"",'Exception Stores'!$B$6)</f>
        <v/>
      </c>
      <c r="BG148" s="1">
        <f>IF(ISBLANK('Exception Stores'!$A$6),0,IF($AN$2&gt;$BF$2,($AN$2-$BF$2)*24,0))</f>
        <v>0</v>
      </c>
      <c r="BH148" s="11">
        <f>IF(ISBLANK('Exception Stores'!$A$6),0,($BF$2-$BE$2)*24)</f>
        <v>0</v>
      </c>
      <c r="BI14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48" s="1">
        <f>IF(ISBLANK('Exception Stores'!$A$6),0,IF($AN$2&gt;$BF$2,0,IF(AND($AN$2&lt;$BF$2,$BT$2="B"),(($BF$2-$AN$2)*24)-$BS$2,($BF$2-$AN$2)*24)))</f>
        <v>0</v>
      </c>
      <c r="BL148" s="5"/>
      <c r="BM148" s="5"/>
      <c r="BN148" s="5"/>
      <c r="BO148" s="5"/>
      <c r="BP148" s="5"/>
      <c r="BV148" s="1" t="e">
        <f t="shared" ca="1" si="203"/>
        <v>#VALUE!</v>
      </c>
      <c r="BW148" s="1" t="e">
        <f t="shared" ca="1" si="204"/>
        <v>#VALUE!</v>
      </c>
      <c r="BX148" s="1" t="e">
        <f t="shared" ca="1" si="205"/>
        <v>#VALUE!</v>
      </c>
      <c r="BY148" s="1" t="e">
        <f t="shared" ca="1" si="206"/>
        <v>#VALUE!</v>
      </c>
      <c r="BZ148" s="1" t="e">
        <f t="shared" ca="1" si="207"/>
        <v>#VALUE!</v>
      </c>
      <c r="CB148" s="1" t="str">
        <f>IF(ISBLANK('Exception Stores'!$A$6),"",WEEKDAY($BF$2))</f>
        <v/>
      </c>
      <c r="CC148" s="1" t="str">
        <f>IF(ISBLANK('Exception Stores'!$A$6),"NO",IF('Exception Stores'!$A$6&lt;$AU$2,"YES","NO"))</f>
        <v>NO</v>
      </c>
      <c r="CD148" s="1" t="str">
        <f>IF(ISBLANK('Exception Stores'!$A$6),"NO",IF('Exception Stores'!$A$6&lt;$AV$2,"YES","NO"))</f>
        <v>NO</v>
      </c>
      <c r="CE148" s="1" t="str">
        <f>IF(ISBLANK('Exception Stores'!$A$6),"NO",IF('Exception Stores'!$A$6&lt;$AW$2,"YES","NO"))</f>
        <v>NO</v>
      </c>
      <c r="CF148" s="1" t="str">
        <f>IF(ISBLANK('Exception Stores'!$A$6),"NO",IF('Exception Stores'!$A$6&lt;$AX$2,"YES","NO"))</f>
        <v>NO</v>
      </c>
      <c r="CG148" s="1" t="str">
        <f>IF(ISBLANK('Exception Stores'!$A$6),"NO",IF('Exception Stores'!$A$6&lt;$AY$2,"YES","NO"))</f>
        <v>NO</v>
      </c>
      <c r="CI148" s="42" t="str">
        <f>IF(ISBLANK('Exception Stores'!$B$6),"NO",IF('Exception Stores'!$B$6&lt;=$AU$2,"YES","NO"))</f>
        <v>NO</v>
      </c>
      <c r="CJ148" s="42" t="str">
        <f>IF(ISBLANK('Exception Stores'!$B$6),"NO",IF('Exception Stores'!$B$6&lt;=$AV$2,"YES","NO"))</f>
        <v>NO</v>
      </c>
      <c r="CK148" s="1" t="str">
        <f>IF(ISBLANK('Exception Stores'!$B$6),"NO",IF('Exception Stores'!$B$6&lt;=$AW$2,"YES","NO"))</f>
        <v>NO</v>
      </c>
      <c r="CL148" s="1" t="str">
        <f>IF(ISBLANK('Exception Stores'!$B$6),"NO",IF('Exception Stores'!$B$6&lt;=$AX$2,"YES","NO"))</f>
        <v>NO</v>
      </c>
      <c r="CM148" s="1" t="str">
        <f>IF(ISBLANK('Exception Stores'!$B$6),"NO",IF('Exception Stores'!$B$6&lt;=$AY$2,"YES","NO"))</f>
        <v>NO</v>
      </c>
      <c r="CO148" s="1" t="e">
        <f ca="1">IF(AM148&lt;'Exception Stores'!$A$6,"YES","NO")</f>
        <v>#VALUE!</v>
      </c>
      <c r="CP148" s="1">
        <f t="shared" si="208"/>
        <v>0</v>
      </c>
      <c r="CQ148" s="1">
        <f t="shared" si="209"/>
        <v>0</v>
      </c>
      <c r="CR148" s="1">
        <f t="shared" si="210"/>
        <v>0</v>
      </c>
      <c r="CS148" s="1">
        <f t="shared" si="211"/>
        <v>0</v>
      </c>
      <c r="CT148" s="1">
        <f t="shared" si="212"/>
        <v>0</v>
      </c>
      <c r="CU148" s="1">
        <f t="shared" si="213"/>
        <v>0</v>
      </c>
      <c r="CW148" s="1" t="e">
        <f t="shared" ca="1" si="154"/>
        <v>#VALUE!</v>
      </c>
      <c r="CX148" s="1" t="e">
        <f t="shared" ca="1" si="155"/>
        <v>#VALUE!</v>
      </c>
      <c r="CY148" s="1" t="e">
        <f t="shared" ca="1" si="156"/>
        <v>#VALUE!</v>
      </c>
      <c r="CZ148" s="1" t="e">
        <f t="shared" ca="1" si="157"/>
        <v>#VALUE!</v>
      </c>
      <c r="DA148" s="1" t="e">
        <f t="shared" ca="1" si="158"/>
        <v>#VALUE!</v>
      </c>
      <c r="DB148" s="26" t="e">
        <f t="shared" ca="1" si="214"/>
        <v>#VALUE!</v>
      </c>
      <c r="DC148" s="1">
        <f t="shared" si="159"/>
        <v>0</v>
      </c>
      <c r="DD148" s="1">
        <f t="shared" si="160"/>
        <v>0</v>
      </c>
      <c r="DE148" s="1">
        <f t="shared" si="161"/>
        <v>0</v>
      </c>
      <c r="DF148" s="1">
        <f t="shared" si="162"/>
        <v>0</v>
      </c>
      <c r="DG148" s="1">
        <f t="shared" si="163"/>
        <v>0</v>
      </c>
      <c r="DH148" s="26">
        <f t="shared" si="215"/>
        <v>0</v>
      </c>
      <c r="DI148" s="1" t="e">
        <f t="shared" ca="1" si="216"/>
        <v>#VALUE!</v>
      </c>
      <c r="DK148" s="11" t="str">
        <f t="shared" si="164"/>
        <v/>
      </c>
      <c r="DL148" s="11" t="e">
        <f ca="1">IF(AND(NOT(ISBLANK('Exception Stores'!$A$6)),CO148="YES"),S148-$BH$2-(DI148*$BS$2)-(CU148*$BS$2),S148-(DB148*$BS$2))</f>
        <v>#VALUE!</v>
      </c>
      <c r="DM148" s="11" t="str">
        <f>IF(ISBLANK(A148),"",IF(COUNTIF(Remaps!$A$2:$A$200,B148)&gt;0,"YES",""))</f>
        <v>YES</v>
      </c>
      <c r="DN148" s="29">
        <f>IFERROR(INDEX(Remaps!$B$2:$B$200,MATCH(B148,Remaps!$A$2:$A$200,0),1),0)</f>
        <v>0</v>
      </c>
      <c r="DO148" s="11" t="e">
        <f t="shared" ca="1" si="165"/>
        <v>#VALUE!</v>
      </c>
      <c r="DP148" s="29" t="e">
        <f t="shared" si="166"/>
        <v>#VALUE!</v>
      </c>
      <c r="DQ148" s="11" t="e">
        <f ca="1">('Apollo Dock Status'!$Z$1-DP148)/DO148</f>
        <v>#VALUE!</v>
      </c>
      <c r="DR148" s="15" t="e">
        <f t="shared" ca="1" si="217"/>
        <v>#VALUE!</v>
      </c>
    </row>
    <row r="149" spans="1:122">
      <c r="A149" s="1" t="str">
        <f>IF(ISBLANK('Apollo Dock Status'!A149),"",'Apollo Dock Status'!A149)</f>
        <v/>
      </c>
      <c r="B149" s="1" t="str">
        <f>IF(ISBLANK('Apollo Dock Status'!B149),"",'Apollo Dock Status'!B149)</f>
        <v/>
      </c>
      <c r="C149" s="1" t="str">
        <f>IF(ISBLANK('Apollo Dock Status'!C149),"",'Apollo Dock Status'!C149)</f>
        <v/>
      </c>
      <c r="D149" s="1" t="str">
        <f>IF(ISBLANK('Apollo Dock Status'!D149),"",'Apollo Dock Status'!D149)</f>
        <v/>
      </c>
      <c r="E149" s="1" t="str">
        <f>IF(ISBLANK('Apollo Dock Status'!E149),"",'Apollo Dock Status'!E149)</f>
        <v/>
      </c>
      <c r="F149" s="1" t="str">
        <f>IF(ISBLANK('Apollo Dock Status'!F149),"",'Apollo Dock Status'!F149)</f>
        <v/>
      </c>
      <c r="G149" s="1" t="str">
        <f>IF(ISBLANK('Apollo Dock Status'!G149),"",'Apollo Dock Status'!G149)</f>
        <v/>
      </c>
      <c r="H149" s="1" t="str">
        <f>IF(ISBLANK('Apollo Dock Status'!H149),"",'Apollo Dock Status'!H149)</f>
        <v/>
      </c>
      <c r="I149" s="1" t="str">
        <f>IF(ISBLANK('Apollo Dock Status'!I149),"",'Apollo Dock Status'!I149)</f>
        <v/>
      </c>
      <c r="J149" s="1" t="str">
        <f>IF(ISBLANK('Apollo Dock Status'!J149),"",'Apollo Dock Status'!J149)</f>
        <v/>
      </c>
      <c r="K149" s="1" t="str">
        <f>IF(ISBLANK('Apollo Dock Status'!K149),"",'Apollo Dock Status'!K149)</f>
        <v/>
      </c>
      <c r="L149" s="1" t="str">
        <f>IF(ISBLANK('Apollo Dock Status'!L149),"",'Apollo Dock Status'!L149)</f>
        <v/>
      </c>
      <c r="M149" s="1" t="str">
        <f>IF(ISBLANK('Apollo Dock Status'!M149),"",'Apollo Dock Status'!M149)</f>
        <v/>
      </c>
      <c r="N149" s="1" t="str">
        <f>IF(ISBLANK('Apollo Dock Status'!N149),"",'Apollo Dock Status'!N149)</f>
        <v/>
      </c>
      <c r="O149" s="1" t="str">
        <f t="shared" si="167"/>
        <v/>
      </c>
      <c r="P149" s="1" t="str">
        <f t="shared" si="168"/>
        <v/>
      </c>
      <c r="Q149" s="1" t="str">
        <f t="shared" si="169"/>
        <v/>
      </c>
      <c r="R149" s="1" t="str">
        <f t="shared" si="170"/>
        <v/>
      </c>
      <c r="S149" s="11" t="str">
        <f t="shared" si="171"/>
        <v/>
      </c>
      <c r="T149" s="1" t="str">
        <f t="shared" si="172"/>
        <v/>
      </c>
      <c r="U149" s="11" t="str">
        <f t="shared" si="173"/>
        <v/>
      </c>
      <c r="V149" s="11" t="str">
        <f t="shared" si="174"/>
        <v/>
      </c>
      <c r="X149" s="1" t="str">
        <f t="shared" si="175"/>
        <v/>
      </c>
      <c r="Y149" s="1" t="str">
        <f t="shared" si="176"/>
        <v/>
      </c>
      <c r="Z149" s="1" t="str">
        <f t="shared" si="177"/>
        <v/>
      </c>
      <c r="AB149" s="13">
        <f t="shared" ca="1" si="178"/>
        <v>46176</v>
      </c>
      <c r="AC149" s="1">
        <f t="shared" ca="1" si="179"/>
        <v>2026</v>
      </c>
      <c r="AD149" s="1" t="str">
        <f t="shared" ca="1" si="180"/>
        <v>6</v>
      </c>
      <c r="AE149" s="1">
        <f t="shared" si="181"/>
        <v>1</v>
      </c>
      <c r="AF149" s="1" t="str">
        <f t="shared" si="182"/>
        <v/>
      </c>
      <c r="AG149" s="1">
        <f t="shared" ca="1" si="183"/>
        <v>2026</v>
      </c>
      <c r="AH149" s="1">
        <f t="shared" si="184"/>
        <v>1</v>
      </c>
      <c r="AI149" s="1" t="str">
        <f t="shared" ca="1" si="185"/>
        <v>6</v>
      </c>
      <c r="AJ149" s="13" t="e">
        <f t="shared" ca="1" si="186"/>
        <v>#VALUE!</v>
      </c>
      <c r="AK149" s="1" t="e">
        <f>IF(ISBLANK(A149),"",IFERROR(MID(F149,SEARCH(", ",F149)+LEN(", "),SEARCH(" "&amp;'Exception Stores'!$A$2,F149)-SEARCH(", ",F149)-LEN(", ")),MID(F149,SEARCH(", ",F149)+LEN(", "),SEARCH(" "&amp;'Exception Stores'!$B$2,F149)-SEARCH(", ",F149)-LEN(", "))))</f>
        <v>#VALUE!</v>
      </c>
      <c r="AL149" s="1" t="e">
        <f t="shared" si="187"/>
        <v>#VALUE!</v>
      </c>
      <c r="AM149" s="15" t="e">
        <f t="shared" ca="1" si="188"/>
        <v>#VALUE!</v>
      </c>
      <c r="AN149" s="24" t="e">
        <f t="shared" ca="1" si="189"/>
        <v>#VALUE!</v>
      </c>
      <c r="AO149" s="1" t="e">
        <f t="shared" ca="1" si="190"/>
        <v>#VALUE!</v>
      </c>
      <c r="AP149" s="13" t="e">
        <f t="shared" ca="1" si="191"/>
        <v>#VALUE!</v>
      </c>
      <c r="AQ149" s="17" t="e">
        <f t="shared" ca="1" si="192"/>
        <v>#VALUE!</v>
      </c>
      <c r="AS149" s="15" t="e">
        <f t="shared" ca="1" si="193"/>
        <v>#VALUE!</v>
      </c>
      <c r="AT149" s="5">
        <f>'Exception Stores'!$D$2</f>
        <v>0.125</v>
      </c>
      <c r="AU149" s="15" t="e">
        <f t="shared" ca="1" si="194"/>
        <v>#VALUE!</v>
      </c>
      <c r="AV149" s="15" t="e">
        <f t="shared" ca="1" si="195"/>
        <v>#VALUE!</v>
      </c>
      <c r="AW149" s="15" t="e">
        <f t="shared" ca="1" si="196"/>
        <v>#VALUE!</v>
      </c>
      <c r="AX149" s="15" t="e">
        <f t="shared" ca="1" si="197"/>
        <v>#VALUE!</v>
      </c>
      <c r="AY149" s="15" t="e">
        <f t="shared" ca="1" si="198"/>
        <v>#VALUE!</v>
      </c>
      <c r="AZ149" s="1" t="e">
        <f t="shared" ca="1" si="199"/>
        <v>#VALUE!</v>
      </c>
      <c r="BA149" s="15" t="e">
        <f t="shared" ca="1" si="200"/>
        <v>#VALUE!</v>
      </c>
      <c r="BB149" s="15" t="e">
        <f t="shared" ca="1" si="201"/>
        <v>#VALUE!</v>
      </c>
      <c r="BC149" s="1" t="e">
        <f t="shared" ca="1" si="202"/>
        <v>#VALUE!</v>
      </c>
      <c r="BE149" s="15" t="str">
        <f>IF(ISBLANK('Exception Stores'!$A$6),"",'Exception Stores'!$A$6)</f>
        <v/>
      </c>
      <c r="BF149" s="15" t="str">
        <f>IF(ISBLANK('Exception Stores'!$B$6),"",'Exception Stores'!$B$6)</f>
        <v/>
      </c>
      <c r="BG149" s="1">
        <f>IF(ISBLANK('Exception Stores'!$A$6),0,IF($AN$2&gt;$BF$2,($AN$2-$BF$2)*24,0))</f>
        <v>0</v>
      </c>
      <c r="BH149" s="11">
        <f>IF(ISBLANK('Exception Stores'!$A$6),0,($BF$2-$BE$2)*24)</f>
        <v>0</v>
      </c>
      <c r="BI14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49" s="1">
        <f>IF(ISBLANK('Exception Stores'!$A$6),0,IF($AN$2&gt;$BF$2,0,IF(AND($AN$2&lt;$BF$2,$BT$2="B"),(($BF$2-$AN$2)*24)-$BS$2,($BF$2-$AN$2)*24)))</f>
        <v>0</v>
      </c>
      <c r="BL149" s="5"/>
      <c r="BM149" s="5"/>
      <c r="BN149" s="5"/>
      <c r="BO149" s="5"/>
      <c r="BP149" s="5"/>
      <c r="BV149" s="1" t="e">
        <f t="shared" ca="1" si="203"/>
        <v>#VALUE!</v>
      </c>
      <c r="BW149" s="1" t="e">
        <f t="shared" ca="1" si="204"/>
        <v>#VALUE!</v>
      </c>
      <c r="BX149" s="1" t="e">
        <f t="shared" ca="1" si="205"/>
        <v>#VALUE!</v>
      </c>
      <c r="BY149" s="1" t="e">
        <f t="shared" ca="1" si="206"/>
        <v>#VALUE!</v>
      </c>
      <c r="BZ149" s="1" t="e">
        <f t="shared" ca="1" si="207"/>
        <v>#VALUE!</v>
      </c>
      <c r="CB149" s="1" t="str">
        <f>IF(ISBLANK('Exception Stores'!$A$6),"",WEEKDAY($BF$2))</f>
        <v/>
      </c>
      <c r="CC149" s="1" t="str">
        <f>IF(ISBLANK('Exception Stores'!$A$6),"NO",IF('Exception Stores'!$A$6&lt;$AU$2,"YES","NO"))</f>
        <v>NO</v>
      </c>
      <c r="CD149" s="1" t="str">
        <f>IF(ISBLANK('Exception Stores'!$A$6),"NO",IF('Exception Stores'!$A$6&lt;$AV$2,"YES","NO"))</f>
        <v>NO</v>
      </c>
      <c r="CE149" s="1" t="str">
        <f>IF(ISBLANK('Exception Stores'!$A$6),"NO",IF('Exception Stores'!$A$6&lt;$AW$2,"YES","NO"))</f>
        <v>NO</v>
      </c>
      <c r="CF149" s="1" t="str">
        <f>IF(ISBLANK('Exception Stores'!$A$6),"NO",IF('Exception Stores'!$A$6&lt;$AX$2,"YES","NO"))</f>
        <v>NO</v>
      </c>
      <c r="CG149" s="1" t="str">
        <f>IF(ISBLANK('Exception Stores'!$A$6),"NO",IF('Exception Stores'!$A$6&lt;$AY$2,"YES","NO"))</f>
        <v>NO</v>
      </c>
      <c r="CI149" s="42" t="str">
        <f>IF(ISBLANK('Exception Stores'!$B$6),"NO",IF('Exception Stores'!$B$6&lt;=$AU$2,"YES","NO"))</f>
        <v>NO</v>
      </c>
      <c r="CJ149" s="42" t="str">
        <f>IF(ISBLANK('Exception Stores'!$B$6),"NO",IF('Exception Stores'!$B$6&lt;=$AV$2,"YES","NO"))</f>
        <v>NO</v>
      </c>
      <c r="CK149" s="1" t="str">
        <f>IF(ISBLANK('Exception Stores'!$B$6),"NO",IF('Exception Stores'!$B$6&lt;=$AW$2,"YES","NO"))</f>
        <v>NO</v>
      </c>
      <c r="CL149" s="1" t="str">
        <f>IF(ISBLANK('Exception Stores'!$B$6),"NO",IF('Exception Stores'!$B$6&lt;=$AX$2,"YES","NO"))</f>
        <v>NO</v>
      </c>
      <c r="CM149" s="1" t="str">
        <f>IF(ISBLANK('Exception Stores'!$B$6),"NO",IF('Exception Stores'!$B$6&lt;=$AY$2,"YES","NO"))</f>
        <v>NO</v>
      </c>
      <c r="CO149" s="1" t="e">
        <f ca="1">IF(AM149&lt;'Exception Stores'!$A$6,"YES","NO")</f>
        <v>#VALUE!</v>
      </c>
      <c r="CP149" s="1">
        <f t="shared" si="208"/>
        <v>0</v>
      </c>
      <c r="CQ149" s="1">
        <f t="shared" si="209"/>
        <v>0</v>
      </c>
      <c r="CR149" s="1">
        <f t="shared" si="210"/>
        <v>0</v>
      </c>
      <c r="CS149" s="1">
        <f t="shared" si="211"/>
        <v>0</v>
      </c>
      <c r="CT149" s="1">
        <f t="shared" si="212"/>
        <v>0</v>
      </c>
      <c r="CU149" s="1">
        <f t="shared" si="213"/>
        <v>0</v>
      </c>
      <c r="CW149" s="1" t="e">
        <f t="shared" ca="1" si="154"/>
        <v>#VALUE!</v>
      </c>
      <c r="CX149" s="1" t="e">
        <f t="shared" ca="1" si="155"/>
        <v>#VALUE!</v>
      </c>
      <c r="CY149" s="1" t="e">
        <f t="shared" ca="1" si="156"/>
        <v>#VALUE!</v>
      </c>
      <c r="CZ149" s="1" t="e">
        <f t="shared" ca="1" si="157"/>
        <v>#VALUE!</v>
      </c>
      <c r="DA149" s="1" t="e">
        <f t="shared" ca="1" si="158"/>
        <v>#VALUE!</v>
      </c>
      <c r="DB149" s="26" t="e">
        <f t="shared" ca="1" si="214"/>
        <v>#VALUE!</v>
      </c>
      <c r="DC149" s="1">
        <f t="shared" si="159"/>
        <v>0</v>
      </c>
      <c r="DD149" s="1">
        <f t="shared" si="160"/>
        <v>0</v>
      </c>
      <c r="DE149" s="1">
        <f t="shared" si="161"/>
        <v>0</v>
      </c>
      <c r="DF149" s="1">
        <f t="shared" si="162"/>
        <v>0</v>
      </c>
      <c r="DG149" s="1">
        <f t="shared" si="163"/>
        <v>0</v>
      </c>
      <c r="DH149" s="26">
        <f t="shared" si="215"/>
        <v>0</v>
      </c>
      <c r="DI149" s="1" t="e">
        <f t="shared" ca="1" si="216"/>
        <v>#VALUE!</v>
      </c>
      <c r="DK149" s="11" t="str">
        <f t="shared" si="164"/>
        <v/>
      </c>
      <c r="DL149" s="11" t="e">
        <f ca="1">IF(AND(NOT(ISBLANK('Exception Stores'!$A$6)),CO149="YES"),S149-$BH$2-(DI149*$BS$2)-(CU149*$BS$2),S149-(DB149*$BS$2))</f>
        <v>#VALUE!</v>
      </c>
      <c r="DM149" s="11" t="str">
        <f>IF(ISBLANK(A149),"",IF(COUNTIF(Remaps!$A$2:$A$200,B149)&gt;0,"YES",""))</f>
        <v>YES</v>
      </c>
      <c r="DN149" s="29">
        <f>IFERROR(INDEX(Remaps!$B$2:$B$200,MATCH(B149,Remaps!$A$2:$A$200,0),1),0)</f>
        <v>0</v>
      </c>
      <c r="DO149" s="11" t="e">
        <f t="shared" ca="1" si="165"/>
        <v>#VALUE!</v>
      </c>
      <c r="DP149" s="29" t="e">
        <f t="shared" si="166"/>
        <v>#VALUE!</v>
      </c>
      <c r="DQ149" s="11" t="e">
        <f ca="1">('Apollo Dock Status'!$Z$1-DP149)/DO149</f>
        <v>#VALUE!</v>
      </c>
      <c r="DR149" s="15" t="e">
        <f t="shared" ca="1" si="217"/>
        <v>#VALUE!</v>
      </c>
    </row>
    <row r="150" spans="1:122">
      <c r="A150" s="1" t="str">
        <f>IF(ISBLANK('Apollo Dock Status'!A150),"",'Apollo Dock Status'!A150)</f>
        <v/>
      </c>
      <c r="B150" s="1" t="str">
        <f>IF(ISBLANK('Apollo Dock Status'!B150),"",'Apollo Dock Status'!B150)</f>
        <v/>
      </c>
      <c r="C150" s="1" t="str">
        <f>IF(ISBLANK('Apollo Dock Status'!C150),"",'Apollo Dock Status'!C150)</f>
        <v/>
      </c>
      <c r="D150" s="1" t="str">
        <f>IF(ISBLANK('Apollo Dock Status'!D150),"",'Apollo Dock Status'!D150)</f>
        <v/>
      </c>
      <c r="E150" s="1" t="str">
        <f>IF(ISBLANK('Apollo Dock Status'!E150),"",'Apollo Dock Status'!E150)</f>
        <v/>
      </c>
      <c r="F150" s="1" t="str">
        <f>IF(ISBLANK('Apollo Dock Status'!F150),"",'Apollo Dock Status'!F150)</f>
        <v/>
      </c>
      <c r="G150" s="1" t="str">
        <f>IF(ISBLANK('Apollo Dock Status'!G150),"",'Apollo Dock Status'!G150)</f>
        <v/>
      </c>
      <c r="H150" s="1" t="str">
        <f>IF(ISBLANK('Apollo Dock Status'!H150),"",'Apollo Dock Status'!H150)</f>
        <v/>
      </c>
      <c r="I150" s="1" t="str">
        <f>IF(ISBLANK('Apollo Dock Status'!I150),"",'Apollo Dock Status'!I150)</f>
        <v/>
      </c>
      <c r="J150" s="1" t="str">
        <f>IF(ISBLANK('Apollo Dock Status'!J150),"",'Apollo Dock Status'!J150)</f>
        <v/>
      </c>
      <c r="K150" s="1" t="str">
        <f>IF(ISBLANK('Apollo Dock Status'!K150),"",'Apollo Dock Status'!K150)</f>
        <v/>
      </c>
      <c r="L150" s="1" t="str">
        <f>IF(ISBLANK('Apollo Dock Status'!L150),"",'Apollo Dock Status'!L150)</f>
        <v/>
      </c>
      <c r="M150" s="1" t="str">
        <f>IF(ISBLANK('Apollo Dock Status'!M150),"",'Apollo Dock Status'!M150)</f>
        <v/>
      </c>
      <c r="N150" s="1" t="str">
        <f>IF(ISBLANK('Apollo Dock Status'!N150),"",'Apollo Dock Status'!N150)</f>
        <v/>
      </c>
      <c r="O150" s="1" t="str">
        <f t="shared" si="167"/>
        <v/>
      </c>
      <c r="P150" s="1" t="str">
        <f t="shared" si="168"/>
        <v/>
      </c>
      <c r="Q150" s="1" t="str">
        <f t="shared" si="169"/>
        <v/>
      </c>
      <c r="R150" s="1" t="str">
        <f t="shared" si="170"/>
        <v/>
      </c>
      <c r="S150" s="11" t="str">
        <f t="shared" si="171"/>
        <v/>
      </c>
      <c r="T150" s="1" t="str">
        <f t="shared" si="172"/>
        <v/>
      </c>
      <c r="U150" s="11" t="str">
        <f t="shared" si="173"/>
        <v/>
      </c>
      <c r="V150" s="11" t="str">
        <f t="shared" si="174"/>
        <v/>
      </c>
      <c r="X150" s="1" t="str">
        <f t="shared" si="175"/>
        <v/>
      </c>
      <c r="Y150" s="1" t="str">
        <f t="shared" si="176"/>
        <v/>
      </c>
      <c r="Z150" s="1" t="str">
        <f t="shared" si="177"/>
        <v/>
      </c>
      <c r="AB150" s="13">
        <f t="shared" ca="1" si="178"/>
        <v>46176</v>
      </c>
      <c r="AC150" s="1">
        <f t="shared" ca="1" si="179"/>
        <v>2026</v>
      </c>
      <c r="AD150" s="1" t="str">
        <f t="shared" ca="1" si="180"/>
        <v>6</v>
      </c>
      <c r="AE150" s="1">
        <f t="shared" si="181"/>
        <v>1</v>
      </c>
      <c r="AF150" s="1" t="str">
        <f t="shared" si="182"/>
        <v/>
      </c>
      <c r="AG150" s="1">
        <f t="shared" ca="1" si="183"/>
        <v>2026</v>
      </c>
      <c r="AH150" s="1">
        <f t="shared" si="184"/>
        <v>1</v>
      </c>
      <c r="AI150" s="1" t="str">
        <f t="shared" ca="1" si="185"/>
        <v>6</v>
      </c>
      <c r="AJ150" s="13" t="e">
        <f t="shared" ca="1" si="186"/>
        <v>#VALUE!</v>
      </c>
      <c r="AK150" s="1" t="e">
        <f>IF(ISBLANK(A150),"",IFERROR(MID(F150,SEARCH(", ",F150)+LEN(", "),SEARCH(" "&amp;'Exception Stores'!$A$2,F150)-SEARCH(", ",F150)-LEN(", ")),MID(F150,SEARCH(", ",F150)+LEN(", "),SEARCH(" "&amp;'Exception Stores'!$B$2,F150)-SEARCH(", ",F150)-LEN(", "))))</f>
        <v>#VALUE!</v>
      </c>
      <c r="AL150" s="1" t="e">
        <f t="shared" si="187"/>
        <v>#VALUE!</v>
      </c>
      <c r="AM150" s="15" t="e">
        <f t="shared" ca="1" si="188"/>
        <v>#VALUE!</v>
      </c>
      <c r="AN150" s="24" t="e">
        <f t="shared" ca="1" si="189"/>
        <v>#VALUE!</v>
      </c>
      <c r="AO150" s="1" t="e">
        <f t="shared" ca="1" si="190"/>
        <v>#VALUE!</v>
      </c>
      <c r="AP150" s="13" t="e">
        <f t="shared" ca="1" si="191"/>
        <v>#VALUE!</v>
      </c>
      <c r="AQ150" s="17" t="e">
        <f t="shared" ca="1" si="192"/>
        <v>#VALUE!</v>
      </c>
      <c r="AS150" s="15" t="e">
        <f t="shared" ca="1" si="193"/>
        <v>#VALUE!</v>
      </c>
      <c r="AT150" s="5">
        <f>'Exception Stores'!$D$2</f>
        <v>0.125</v>
      </c>
      <c r="AU150" s="15" t="e">
        <f t="shared" ca="1" si="194"/>
        <v>#VALUE!</v>
      </c>
      <c r="AV150" s="15" t="e">
        <f t="shared" ca="1" si="195"/>
        <v>#VALUE!</v>
      </c>
      <c r="AW150" s="15" t="e">
        <f t="shared" ca="1" si="196"/>
        <v>#VALUE!</v>
      </c>
      <c r="AX150" s="15" t="e">
        <f t="shared" ca="1" si="197"/>
        <v>#VALUE!</v>
      </c>
      <c r="AY150" s="15" t="e">
        <f t="shared" ca="1" si="198"/>
        <v>#VALUE!</v>
      </c>
      <c r="AZ150" s="1" t="e">
        <f t="shared" ca="1" si="199"/>
        <v>#VALUE!</v>
      </c>
      <c r="BA150" s="15" t="e">
        <f t="shared" ca="1" si="200"/>
        <v>#VALUE!</v>
      </c>
      <c r="BB150" s="15" t="e">
        <f t="shared" ca="1" si="201"/>
        <v>#VALUE!</v>
      </c>
      <c r="BC150" s="1" t="e">
        <f t="shared" ca="1" si="202"/>
        <v>#VALUE!</v>
      </c>
      <c r="BE150" s="15" t="str">
        <f>IF(ISBLANK('Exception Stores'!$A$6),"",'Exception Stores'!$A$6)</f>
        <v/>
      </c>
      <c r="BF150" s="15" t="str">
        <f>IF(ISBLANK('Exception Stores'!$B$6),"",'Exception Stores'!$B$6)</f>
        <v/>
      </c>
      <c r="BG150" s="1">
        <f>IF(ISBLANK('Exception Stores'!$A$6),0,IF($AN$2&gt;$BF$2,($AN$2-$BF$2)*24,0))</f>
        <v>0</v>
      </c>
      <c r="BH150" s="11">
        <f>IF(ISBLANK('Exception Stores'!$A$6),0,($BF$2-$BE$2)*24)</f>
        <v>0</v>
      </c>
      <c r="BI15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50" s="1">
        <f>IF(ISBLANK('Exception Stores'!$A$6),0,IF($AN$2&gt;$BF$2,0,IF(AND($AN$2&lt;$BF$2,$BT$2="B"),(($BF$2-$AN$2)*24)-$BS$2,($BF$2-$AN$2)*24)))</f>
        <v>0</v>
      </c>
      <c r="BL150" s="5"/>
      <c r="BM150" s="5"/>
      <c r="BN150" s="5"/>
      <c r="BO150" s="5"/>
      <c r="BP150" s="5"/>
      <c r="BV150" s="1" t="e">
        <f t="shared" ca="1" si="203"/>
        <v>#VALUE!</v>
      </c>
      <c r="BW150" s="1" t="e">
        <f t="shared" ca="1" si="204"/>
        <v>#VALUE!</v>
      </c>
      <c r="BX150" s="1" t="e">
        <f t="shared" ca="1" si="205"/>
        <v>#VALUE!</v>
      </c>
      <c r="BY150" s="1" t="e">
        <f t="shared" ca="1" si="206"/>
        <v>#VALUE!</v>
      </c>
      <c r="BZ150" s="1" t="e">
        <f t="shared" ca="1" si="207"/>
        <v>#VALUE!</v>
      </c>
      <c r="CB150" s="1" t="str">
        <f>IF(ISBLANK('Exception Stores'!$A$6),"",WEEKDAY($BF$2))</f>
        <v/>
      </c>
      <c r="CC150" s="1" t="str">
        <f>IF(ISBLANK('Exception Stores'!$A$6),"NO",IF('Exception Stores'!$A$6&lt;$AU$2,"YES","NO"))</f>
        <v>NO</v>
      </c>
      <c r="CD150" s="1" t="str">
        <f>IF(ISBLANK('Exception Stores'!$A$6),"NO",IF('Exception Stores'!$A$6&lt;$AV$2,"YES","NO"))</f>
        <v>NO</v>
      </c>
      <c r="CE150" s="1" t="str">
        <f>IF(ISBLANK('Exception Stores'!$A$6),"NO",IF('Exception Stores'!$A$6&lt;$AW$2,"YES","NO"))</f>
        <v>NO</v>
      </c>
      <c r="CF150" s="1" t="str">
        <f>IF(ISBLANK('Exception Stores'!$A$6),"NO",IF('Exception Stores'!$A$6&lt;$AX$2,"YES","NO"))</f>
        <v>NO</v>
      </c>
      <c r="CG150" s="1" t="str">
        <f>IF(ISBLANK('Exception Stores'!$A$6),"NO",IF('Exception Stores'!$A$6&lt;$AY$2,"YES","NO"))</f>
        <v>NO</v>
      </c>
      <c r="CI150" s="42" t="str">
        <f>IF(ISBLANK('Exception Stores'!$B$6),"NO",IF('Exception Stores'!$B$6&lt;=$AU$2,"YES","NO"))</f>
        <v>NO</v>
      </c>
      <c r="CJ150" s="42" t="str">
        <f>IF(ISBLANK('Exception Stores'!$B$6),"NO",IF('Exception Stores'!$B$6&lt;=$AV$2,"YES","NO"))</f>
        <v>NO</v>
      </c>
      <c r="CK150" s="1" t="str">
        <f>IF(ISBLANK('Exception Stores'!$B$6),"NO",IF('Exception Stores'!$B$6&lt;=$AW$2,"YES","NO"))</f>
        <v>NO</v>
      </c>
      <c r="CL150" s="1" t="str">
        <f>IF(ISBLANK('Exception Stores'!$B$6),"NO",IF('Exception Stores'!$B$6&lt;=$AX$2,"YES","NO"))</f>
        <v>NO</v>
      </c>
      <c r="CM150" s="1" t="str">
        <f>IF(ISBLANK('Exception Stores'!$B$6),"NO",IF('Exception Stores'!$B$6&lt;=$AY$2,"YES","NO"))</f>
        <v>NO</v>
      </c>
      <c r="CO150" s="1" t="e">
        <f ca="1">IF(AM150&lt;'Exception Stores'!$A$6,"YES","NO")</f>
        <v>#VALUE!</v>
      </c>
      <c r="CP150" s="1">
        <f t="shared" si="208"/>
        <v>0</v>
      </c>
      <c r="CQ150" s="1">
        <f t="shared" si="209"/>
        <v>0</v>
      </c>
      <c r="CR150" s="1">
        <f t="shared" si="210"/>
        <v>0</v>
      </c>
      <c r="CS150" s="1">
        <f t="shared" si="211"/>
        <v>0</v>
      </c>
      <c r="CT150" s="1">
        <f t="shared" si="212"/>
        <v>0</v>
      </c>
      <c r="CU150" s="1">
        <f t="shared" si="213"/>
        <v>0</v>
      </c>
      <c r="CW150" s="1" t="e">
        <f t="shared" ca="1" si="154"/>
        <v>#VALUE!</v>
      </c>
      <c r="CX150" s="1" t="e">
        <f t="shared" ca="1" si="155"/>
        <v>#VALUE!</v>
      </c>
      <c r="CY150" s="1" t="e">
        <f t="shared" ca="1" si="156"/>
        <v>#VALUE!</v>
      </c>
      <c r="CZ150" s="1" t="e">
        <f t="shared" ca="1" si="157"/>
        <v>#VALUE!</v>
      </c>
      <c r="DA150" s="1" t="e">
        <f t="shared" ca="1" si="158"/>
        <v>#VALUE!</v>
      </c>
      <c r="DB150" s="26" t="e">
        <f t="shared" ca="1" si="214"/>
        <v>#VALUE!</v>
      </c>
      <c r="DC150" s="1">
        <f t="shared" si="159"/>
        <v>0</v>
      </c>
      <c r="DD150" s="1">
        <f t="shared" si="160"/>
        <v>0</v>
      </c>
      <c r="DE150" s="1">
        <f t="shared" si="161"/>
        <v>0</v>
      </c>
      <c r="DF150" s="1">
        <f t="shared" si="162"/>
        <v>0</v>
      </c>
      <c r="DG150" s="1">
        <f t="shared" si="163"/>
        <v>0</v>
      </c>
      <c r="DH150" s="26">
        <f t="shared" si="215"/>
        <v>0</v>
      </c>
      <c r="DI150" s="1" t="e">
        <f t="shared" ca="1" si="216"/>
        <v>#VALUE!</v>
      </c>
      <c r="DK150" s="11" t="str">
        <f t="shared" si="164"/>
        <v/>
      </c>
      <c r="DL150" s="11" t="e">
        <f ca="1">IF(AND(NOT(ISBLANK('Exception Stores'!$A$6)),CO150="YES"),S150-$BH$2-(DI150*$BS$2)-(CU150*$BS$2),S150-(DB150*$BS$2))</f>
        <v>#VALUE!</v>
      </c>
      <c r="DM150" s="11" t="str">
        <f>IF(ISBLANK(A150),"",IF(COUNTIF(Remaps!$A$2:$A$200,B150)&gt;0,"YES",""))</f>
        <v>YES</v>
      </c>
      <c r="DN150" s="29">
        <f>IFERROR(INDEX(Remaps!$B$2:$B$200,MATCH(B150,Remaps!$A$2:$A$200,0),1),0)</f>
        <v>0</v>
      </c>
      <c r="DO150" s="11" t="e">
        <f t="shared" ca="1" si="165"/>
        <v>#VALUE!</v>
      </c>
      <c r="DP150" s="29" t="e">
        <f t="shared" si="166"/>
        <v>#VALUE!</v>
      </c>
      <c r="DQ150" s="11" t="e">
        <f ca="1">('Apollo Dock Status'!$Z$1-DP150)/DO150</f>
        <v>#VALUE!</v>
      </c>
      <c r="DR150" s="15" t="e">
        <f t="shared" ca="1" si="217"/>
        <v>#VALUE!</v>
      </c>
    </row>
    <row r="151" spans="1:122">
      <c r="A151" s="1" t="str">
        <f>IF(ISBLANK('Apollo Dock Status'!A151),"",'Apollo Dock Status'!A151)</f>
        <v/>
      </c>
      <c r="B151" s="1" t="str">
        <f>IF(ISBLANK('Apollo Dock Status'!B151),"",'Apollo Dock Status'!B151)</f>
        <v/>
      </c>
      <c r="C151" s="1" t="str">
        <f>IF(ISBLANK('Apollo Dock Status'!C151),"",'Apollo Dock Status'!C151)</f>
        <v/>
      </c>
      <c r="D151" s="1" t="str">
        <f>IF(ISBLANK('Apollo Dock Status'!D151),"",'Apollo Dock Status'!D151)</f>
        <v/>
      </c>
      <c r="E151" s="1" t="str">
        <f>IF(ISBLANK('Apollo Dock Status'!E151),"",'Apollo Dock Status'!E151)</f>
        <v/>
      </c>
      <c r="F151" s="1" t="str">
        <f>IF(ISBLANK('Apollo Dock Status'!F151),"",'Apollo Dock Status'!F151)</f>
        <v/>
      </c>
      <c r="G151" s="1" t="str">
        <f>IF(ISBLANK('Apollo Dock Status'!G151),"",'Apollo Dock Status'!G151)</f>
        <v/>
      </c>
      <c r="H151" s="1" t="str">
        <f>IF(ISBLANK('Apollo Dock Status'!H151),"",'Apollo Dock Status'!H151)</f>
        <v/>
      </c>
      <c r="I151" s="1" t="str">
        <f>IF(ISBLANK('Apollo Dock Status'!I151),"",'Apollo Dock Status'!I151)</f>
        <v/>
      </c>
      <c r="J151" s="1" t="str">
        <f>IF(ISBLANK('Apollo Dock Status'!J151),"",'Apollo Dock Status'!J151)</f>
        <v/>
      </c>
      <c r="K151" s="1" t="str">
        <f>IF(ISBLANK('Apollo Dock Status'!K151),"",'Apollo Dock Status'!K151)</f>
        <v/>
      </c>
      <c r="L151" s="1" t="str">
        <f>IF(ISBLANK('Apollo Dock Status'!L151),"",'Apollo Dock Status'!L151)</f>
        <v/>
      </c>
      <c r="M151" s="1" t="str">
        <f>IF(ISBLANK('Apollo Dock Status'!M151),"",'Apollo Dock Status'!M151)</f>
        <v/>
      </c>
      <c r="N151" s="1" t="str">
        <f>IF(ISBLANK('Apollo Dock Status'!N151),"",'Apollo Dock Status'!N151)</f>
        <v/>
      </c>
      <c r="O151" s="1" t="str">
        <f t="shared" si="167"/>
        <v/>
      </c>
      <c r="P151" s="1" t="str">
        <f t="shared" si="168"/>
        <v/>
      </c>
      <c r="Q151" s="1" t="str">
        <f t="shared" si="169"/>
        <v/>
      </c>
      <c r="R151" s="1" t="str">
        <f t="shared" si="170"/>
        <v/>
      </c>
      <c r="S151" s="11" t="str">
        <f t="shared" si="171"/>
        <v/>
      </c>
      <c r="T151" s="1" t="str">
        <f t="shared" si="172"/>
        <v/>
      </c>
      <c r="U151" s="11" t="str">
        <f t="shared" si="173"/>
        <v/>
      </c>
      <c r="V151" s="11" t="str">
        <f t="shared" si="174"/>
        <v/>
      </c>
      <c r="X151" s="1" t="str">
        <f t="shared" si="175"/>
        <v/>
      </c>
      <c r="Y151" s="1" t="str">
        <f t="shared" si="176"/>
        <v/>
      </c>
      <c r="Z151" s="1" t="str">
        <f t="shared" si="177"/>
        <v/>
      </c>
      <c r="AB151" s="13">
        <f t="shared" ca="1" si="178"/>
        <v>46176</v>
      </c>
      <c r="AC151" s="1">
        <f t="shared" ca="1" si="179"/>
        <v>2026</v>
      </c>
      <c r="AD151" s="1" t="str">
        <f t="shared" ca="1" si="180"/>
        <v>6</v>
      </c>
      <c r="AE151" s="1">
        <f t="shared" si="181"/>
        <v>1</v>
      </c>
      <c r="AF151" s="1" t="str">
        <f t="shared" si="182"/>
        <v/>
      </c>
      <c r="AG151" s="1">
        <f t="shared" ca="1" si="183"/>
        <v>2026</v>
      </c>
      <c r="AH151" s="1">
        <f t="shared" si="184"/>
        <v>1</v>
      </c>
      <c r="AI151" s="1" t="str">
        <f t="shared" ca="1" si="185"/>
        <v>6</v>
      </c>
      <c r="AJ151" s="13" t="e">
        <f t="shared" ca="1" si="186"/>
        <v>#VALUE!</v>
      </c>
      <c r="AK151" s="1" t="e">
        <f>IF(ISBLANK(A151),"",IFERROR(MID(F151,SEARCH(", ",F151)+LEN(", "),SEARCH(" "&amp;'Exception Stores'!$A$2,F151)-SEARCH(", ",F151)-LEN(", ")),MID(F151,SEARCH(", ",F151)+LEN(", "),SEARCH(" "&amp;'Exception Stores'!$B$2,F151)-SEARCH(", ",F151)-LEN(", "))))</f>
        <v>#VALUE!</v>
      </c>
      <c r="AL151" s="1" t="e">
        <f t="shared" si="187"/>
        <v>#VALUE!</v>
      </c>
      <c r="AM151" s="15" t="e">
        <f t="shared" ca="1" si="188"/>
        <v>#VALUE!</v>
      </c>
      <c r="AN151" s="24" t="e">
        <f t="shared" ca="1" si="189"/>
        <v>#VALUE!</v>
      </c>
      <c r="AO151" s="1" t="e">
        <f t="shared" ca="1" si="190"/>
        <v>#VALUE!</v>
      </c>
      <c r="AP151" s="13" t="e">
        <f t="shared" ca="1" si="191"/>
        <v>#VALUE!</v>
      </c>
      <c r="AQ151" s="17" t="e">
        <f t="shared" ca="1" si="192"/>
        <v>#VALUE!</v>
      </c>
      <c r="AS151" s="15" t="e">
        <f t="shared" ca="1" si="193"/>
        <v>#VALUE!</v>
      </c>
      <c r="AT151" s="5">
        <f>'Exception Stores'!$D$2</f>
        <v>0.125</v>
      </c>
      <c r="AU151" s="15" t="e">
        <f t="shared" ca="1" si="194"/>
        <v>#VALUE!</v>
      </c>
      <c r="AV151" s="15" t="e">
        <f t="shared" ca="1" si="195"/>
        <v>#VALUE!</v>
      </c>
      <c r="AW151" s="15" t="e">
        <f t="shared" ca="1" si="196"/>
        <v>#VALUE!</v>
      </c>
      <c r="AX151" s="15" t="e">
        <f t="shared" ca="1" si="197"/>
        <v>#VALUE!</v>
      </c>
      <c r="AY151" s="15" t="e">
        <f t="shared" ca="1" si="198"/>
        <v>#VALUE!</v>
      </c>
      <c r="AZ151" s="1" t="e">
        <f t="shared" ca="1" si="199"/>
        <v>#VALUE!</v>
      </c>
      <c r="BA151" s="15" t="e">
        <f t="shared" ca="1" si="200"/>
        <v>#VALUE!</v>
      </c>
      <c r="BB151" s="15" t="e">
        <f t="shared" ca="1" si="201"/>
        <v>#VALUE!</v>
      </c>
      <c r="BC151" s="1" t="e">
        <f t="shared" ca="1" si="202"/>
        <v>#VALUE!</v>
      </c>
      <c r="BE151" s="15" t="str">
        <f>IF(ISBLANK('Exception Stores'!$A$6),"",'Exception Stores'!$A$6)</f>
        <v/>
      </c>
      <c r="BF151" s="15" t="str">
        <f>IF(ISBLANK('Exception Stores'!$B$6),"",'Exception Stores'!$B$6)</f>
        <v/>
      </c>
      <c r="BG151" s="1">
        <f>IF(ISBLANK('Exception Stores'!$A$6),0,IF($AN$2&gt;$BF$2,($AN$2-$BF$2)*24,0))</f>
        <v>0</v>
      </c>
      <c r="BH151" s="11">
        <f>IF(ISBLANK('Exception Stores'!$A$6),0,($BF$2-$BE$2)*24)</f>
        <v>0</v>
      </c>
      <c r="BI15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51" s="1">
        <f>IF(ISBLANK('Exception Stores'!$A$6),0,IF($AN$2&gt;$BF$2,0,IF(AND($AN$2&lt;$BF$2,$BT$2="B"),(($BF$2-$AN$2)*24)-$BS$2,($BF$2-$AN$2)*24)))</f>
        <v>0</v>
      </c>
      <c r="BL151" s="5"/>
      <c r="BM151" s="5"/>
      <c r="BN151" s="5"/>
      <c r="BO151" s="5"/>
      <c r="BP151" s="5"/>
      <c r="BV151" s="1" t="e">
        <f t="shared" ca="1" si="203"/>
        <v>#VALUE!</v>
      </c>
      <c r="BW151" s="1" t="e">
        <f t="shared" ca="1" si="204"/>
        <v>#VALUE!</v>
      </c>
      <c r="BX151" s="1" t="e">
        <f t="shared" ca="1" si="205"/>
        <v>#VALUE!</v>
      </c>
      <c r="BY151" s="1" t="e">
        <f t="shared" ca="1" si="206"/>
        <v>#VALUE!</v>
      </c>
      <c r="BZ151" s="1" t="e">
        <f t="shared" ca="1" si="207"/>
        <v>#VALUE!</v>
      </c>
      <c r="CB151" s="1" t="str">
        <f>IF(ISBLANK('Exception Stores'!$A$6),"",WEEKDAY($BF$2))</f>
        <v/>
      </c>
      <c r="CC151" s="1" t="str">
        <f>IF(ISBLANK('Exception Stores'!$A$6),"NO",IF('Exception Stores'!$A$6&lt;$AU$2,"YES","NO"))</f>
        <v>NO</v>
      </c>
      <c r="CD151" s="1" t="str">
        <f>IF(ISBLANK('Exception Stores'!$A$6),"NO",IF('Exception Stores'!$A$6&lt;$AV$2,"YES","NO"))</f>
        <v>NO</v>
      </c>
      <c r="CE151" s="1" t="str">
        <f>IF(ISBLANK('Exception Stores'!$A$6),"NO",IF('Exception Stores'!$A$6&lt;$AW$2,"YES","NO"))</f>
        <v>NO</v>
      </c>
      <c r="CF151" s="1" t="str">
        <f>IF(ISBLANK('Exception Stores'!$A$6),"NO",IF('Exception Stores'!$A$6&lt;$AX$2,"YES","NO"))</f>
        <v>NO</v>
      </c>
      <c r="CG151" s="1" t="str">
        <f>IF(ISBLANK('Exception Stores'!$A$6),"NO",IF('Exception Stores'!$A$6&lt;$AY$2,"YES","NO"))</f>
        <v>NO</v>
      </c>
      <c r="CI151" s="42" t="str">
        <f>IF(ISBLANK('Exception Stores'!$B$6),"NO",IF('Exception Stores'!$B$6&lt;=$AU$2,"YES","NO"))</f>
        <v>NO</v>
      </c>
      <c r="CJ151" s="42" t="str">
        <f>IF(ISBLANK('Exception Stores'!$B$6),"NO",IF('Exception Stores'!$B$6&lt;=$AV$2,"YES","NO"))</f>
        <v>NO</v>
      </c>
      <c r="CK151" s="1" t="str">
        <f>IF(ISBLANK('Exception Stores'!$B$6),"NO",IF('Exception Stores'!$B$6&lt;=$AW$2,"YES","NO"))</f>
        <v>NO</v>
      </c>
      <c r="CL151" s="1" t="str">
        <f>IF(ISBLANK('Exception Stores'!$B$6),"NO",IF('Exception Stores'!$B$6&lt;=$AX$2,"YES","NO"))</f>
        <v>NO</v>
      </c>
      <c r="CM151" s="1" t="str">
        <f>IF(ISBLANK('Exception Stores'!$B$6),"NO",IF('Exception Stores'!$B$6&lt;=$AY$2,"YES","NO"))</f>
        <v>NO</v>
      </c>
      <c r="CO151" s="1" t="e">
        <f ca="1">IF(AM151&lt;'Exception Stores'!$A$6,"YES","NO")</f>
        <v>#VALUE!</v>
      </c>
      <c r="CP151" s="1">
        <f t="shared" si="208"/>
        <v>0</v>
      </c>
      <c r="CQ151" s="1">
        <f t="shared" si="209"/>
        <v>0</v>
      </c>
      <c r="CR151" s="1">
        <f t="shared" si="210"/>
        <v>0</v>
      </c>
      <c r="CS151" s="1">
        <f t="shared" si="211"/>
        <v>0</v>
      </c>
      <c r="CT151" s="1">
        <f t="shared" si="212"/>
        <v>0</v>
      </c>
      <c r="CU151" s="1">
        <f t="shared" si="213"/>
        <v>0</v>
      </c>
      <c r="CW151" s="1" t="e">
        <f t="shared" ca="1" si="154"/>
        <v>#VALUE!</v>
      </c>
      <c r="CX151" s="1" t="e">
        <f t="shared" ca="1" si="155"/>
        <v>#VALUE!</v>
      </c>
      <c r="CY151" s="1" t="e">
        <f t="shared" ca="1" si="156"/>
        <v>#VALUE!</v>
      </c>
      <c r="CZ151" s="1" t="e">
        <f t="shared" ca="1" si="157"/>
        <v>#VALUE!</v>
      </c>
      <c r="DA151" s="1" t="e">
        <f t="shared" ca="1" si="158"/>
        <v>#VALUE!</v>
      </c>
      <c r="DB151" s="26" t="e">
        <f t="shared" ca="1" si="214"/>
        <v>#VALUE!</v>
      </c>
      <c r="DC151" s="1">
        <f t="shared" si="159"/>
        <v>0</v>
      </c>
      <c r="DD151" s="1">
        <f t="shared" si="160"/>
        <v>0</v>
      </c>
      <c r="DE151" s="1">
        <f t="shared" si="161"/>
        <v>0</v>
      </c>
      <c r="DF151" s="1">
        <f t="shared" si="162"/>
        <v>0</v>
      </c>
      <c r="DG151" s="1">
        <f t="shared" si="163"/>
        <v>0</v>
      </c>
      <c r="DH151" s="26">
        <f t="shared" si="215"/>
        <v>0</v>
      </c>
      <c r="DI151" s="1" t="e">
        <f t="shared" ca="1" si="216"/>
        <v>#VALUE!</v>
      </c>
      <c r="DK151" s="11" t="str">
        <f t="shared" si="164"/>
        <v/>
      </c>
      <c r="DL151" s="11" t="e">
        <f ca="1">IF(AND(NOT(ISBLANK('Exception Stores'!$A$6)),CO151="YES"),S151-$BH$2-(DI151*$BS$2)-(CU151*$BS$2),S151-(DB151*$BS$2))</f>
        <v>#VALUE!</v>
      </c>
      <c r="DM151" s="11" t="str">
        <f>IF(ISBLANK(A151),"",IF(COUNTIF(Remaps!$A$2:$A$200,B151)&gt;0,"YES",""))</f>
        <v>YES</v>
      </c>
      <c r="DN151" s="29">
        <f>IFERROR(INDEX(Remaps!$B$2:$B$200,MATCH(B151,Remaps!$A$2:$A$200,0),1),0)</f>
        <v>0</v>
      </c>
      <c r="DO151" s="11" t="e">
        <f t="shared" ca="1" si="165"/>
        <v>#VALUE!</v>
      </c>
      <c r="DP151" s="29" t="e">
        <f t="shared" si="166"/>
        <v>#VALUE!</v>
      </c>
      <c r="DQ151" s="11" t="e">
        <f ca="1">('Apollo Dock Status'!$Z$1-DP151)/DO151</f>
        <v>#VALUE!</v>
      </c>
      <c r="DR151" s="15" t="e">
        <f t="shared" ca="1" si="217"/>
        <v>#VALUE!</v>
      </c>
    </row>
    <row r="152" spans="1:122">
      <c r="A152" s="1" t="str">
        <f>IF(ISBLANK('Apollo Dock Status'!A152),"",'Apollo Dock Status'!A152)</f>
        <v/>
      </c>
      <c r="B152" s="1" t="str">
        <f>IF(ISBLANK('Apollo Dock Status'!B152),"",'Apollo Dock Status'!B152)</f>
        <v/>
      </c>
      <c r="C152" s="1" t="str">
        <f>IF(ISBLANK('Apollo Dock Status'!C152),"",'Apollo Dock Status'!C152)</f>
        <v/>
      </c>
      <c r="D152" s="1" t="str">
        <f>IF(ISBLANK('Apollo Dock Status'!D152),"",'Apollo Dock Status'!D152)</f>
        <v/>
      </c>
      <c r="E152" s="1" t="str">
        <f>IF(ISBLANK('Apollo Dock Status'!E152),"",'Apollo Dock Status'!E152)</f>
        <v/>
      </c>
      <c r="F152" s="1" t="str">
        <f>IF(ISBLANK('Apollo Dock Status'!F152),"",'Apollo Dock Status'!F152)</f>
        <v/>
      </c>
      <c r="G152" s="1" t="str">
        <f>IF(ISBLANK('Apollo Dock Status'!G152),"",'Apollo Dock Status'!G152)</f>
        <v/>
      </c>
      <c r="H152" s="1" t="str">
        <f>IF(ISBLANK('Apollo Dock Status'!H152),"",'Apollo Dock Status'!H152)</f>
        <v/>
      </c>
      <c r="I152" s="1" t="str">
        <f>IF(ISBLANK('Apollo Dock Status'!I152),"",'Apollo Dock Status'!I152)</f>
        <v/>
      </c>
      <c r="J152" s="1" t="str">
        <f>IF(ISBLANK('Apollo Dock Status'!J152),"",'Apollo Dock Status'!J152)</f>
        <v/>
      </c>
      <c r="K152" s="1" t="str">
        <f>IF(ISBLANK('Apollo Dock Status'!K152),"",'Apollo Dock Status'!K152)</f>
        <v/>
      </c>
      <c r="L152" s="1" t="str">
        <f>IF(ISBLANK('Apollo Dock Status'!L152),"",'Apollo Dock Status'!L152)</f>
        <v/>
      </c>
      <c r="M152" s="1" t="str">
        <f>IF(ISBLANK('Apollo Dock Status'!M152),"",'Apollo Dock Status'!M152)</f>
        <v/>
      </c>
      <c r="N152" s="1" t="str">
        <f>IF(ISBLANK('Apollo Dock Status'!N152),"",'Apollo Dock Status'!N152)</f>
        <v/>
      </c>
      <c r="O152" s="1" t="str">
        <f t="shared" si="167"/>
        <v/>
      </c>
      <c r="P152" s="1" t="str">
        <f t="shared" si="168"/>
        <v/>
      </c>
      <c r="Q152" s="1" t="str">
        <f t="shared" si="169"/>
        <v/>
      </c>
      <c r="R152" s="1" t="str">
        <f t="shared" si="170"/>
        <v/>
      </c>
      <c r="S152" s="11" t="str">
        <f t="shared" si="171"/>
        <v/>
      </c>
      <c r="T152" s="1" t="str">
        <f t="shared" si="172"/>
        <v/>
      </c>
      <c r="U152" s="11" t="str">
        <f t="shared" si="173"/>
        <v/>
      </c>
      <c r="V152" s="11" t="str">
        <f t="shared" si="174"/>
        <v/>
      </c>
      <c r="X152" s="1" t="str">
        <f t="shared" si="175"/>
        <v/>
      </c>
      <c r="Y152" s="1" t="str">
        <f t="shared" si="176"/>
        <v/>
      </c>
      <c r="Z152" s="1" t="str">
        <f t="shared" si="177"/>
        <v/>
      </c>
      <c r="AB152" s="13">
        <f t="shared" ca="1" si="178"/>
        <v>46176</v>
      </c>
      <c r="AC152" s="1">
        <f t="shared" ca="1" si="179"/>
        <v>2026</v>
      </c>
      <c r="AD152" s="1" t="str">
        <f t="shared" ca="1" si="180"/>
        <v>6</v>
      </c>
      <c r="AE152" s="1">
        <f t="shared" si="181"/>
        <v>1</v>
      </c>
      <c r="AF152" s="1" t="str">
        <f t="shared" si="182"/>
        <v/>
      </c>
      <c r="AG152" s="1">
        <f t="shared" ca="1" si="183"/>
        <v>2026</v>
      </c>
      <c r="AH152" s="1">
        <f t="shared" si="184"/>
        <v>1</v>
      </c>
      <c r="AI152" s="1" t="str">
        <f t="shared" ca="1" si="185"/>
        <v>6</v>
      </c>
      <c r="AJ152" s="13" t="e">
        <f t="shared" ca="1" si="186"/>
        <v>#VALUE!</v>
      </c>
      <c r="AK152" s="1" t="e">
        <f>IF(ISBLANK(A152),"",IFERROR(MID(F152,SEARCH(", ",F152)+LEN(", "),SEARCH(" "&amp;'Exception Stores'!$A$2,F152)-SEARCH(", ",F152)-LEN(", ")),MID(F152,SEARCH(", ",F152)+LEN(", "),SEARCH(" "&amp;'Exception Stores'!$B$2,F152)-SEARCH(", ",F152)-LEN(", "))))</f>
        <v>#VALUE!</v>
      </c>
      <c r="AL152" s="1" t="e">
        <f t="shared" si="187"/>
        <v>#VALUE!</v>
      </c>
      <c r="AM152" s="15" t="e">
        <f t="shared" ca="1" si="188"/>
        <v>#VALUE!</v>
      </c>
      <c r="AN152" s="24" t="e">
        <f t="shared" ca="1" si="189"/>
        <v>#VALUE!</v>
      </c>
      <c r="AO152" s="1" t="e">
        <f t="shared" ca="1" si="190"/>
        <v>#VALUE!</v>
      </c>
      <c r="AP152" s="13" t="e">
        <f t="shared" ca="1" si="191"/>
        <v>#VALUE!</v>
      </c>
      <c r="AQ152" s="17" t="e">
        <f t="shared" ca="1" si="192"/>
        <v>#VALUE!</v>
      </c>
      <c r="AS152" s="15" t="e">
        <f t="shared" ca="1" si="193"/>
        <v>#VALUE!</v>
      </c>
      <c r="AT152" s="5">
        <f>'Exception Stores'!$D$2</f>
        <v>0.125</v>
      </c>
      <c r="AU152" s="15" t="e">
        <f t="shared" ca="1" si="194"/>
        <v>#VALUE!</v>
      </c>
      <c r="AV152" s="15" t="e">
        <f t="shared" ca="1" si="195"/>
        <v>#VALUE!</v>
      </c>
      <c r="AW152" s="15" t="e">
        <f t="shared" ca="1" si="196"/>
        <v>#VALUE!</v>
      </c>
      <c r="AX152" s="15" t="e">
        <f t="shared" ca="1" si="197"/>
        <v>#VALUE!</v>
      </c>
      <c r="AY152" s="15" t="e">
        <f t="shared" ca="1" si="198"/>
        <v>#VALUE!</v>
      </c>
      <c r="AZ152" s="1" t="e">
        <f t="shared" ca="1" si="199"/>
        <v>#VALUE!</v>
      </c>
      <c r="BA152" s="15" t="e">
        <f t="shared" ca="1" si="200"/>
        <v>#VALUE!</v>
      </c>
      <c r="BB152" s="15" t="e">
        <f t="shared" ca="1" si="201"/>
        <v>#VALUE!</v>
      </c>
      <c r="BC152" s="1" t="e">
        <f t="shared" ca="1" si="202"/>
        <v>#VALUE!</v>
      </c>
      <c r="BE152" s="15" t="str">
        <f>IF(ISBLANK('Exception Stores'!$A$6),"",'Exception Stores'!$A$6)</f>
        <v/>
      </c>
      <c r="BF152" s="15" t="str">
        <f>IF(ISBLANK('Exception Stores'!$B$6),"",'Exception Stores'!$B$6)</f>
        <v/>
      </c>
      <c r="BG152" s="1">
        <f>IF(ISBLANK('Exception Stores'!$A$6),0,IF($AN$2&gt;$BF$2,($AN$2-$BF$2)*24,0))</f>
        <v>0</v>
      </c>
      <c r="BH152" s="11">
        <f>IF(ISBLANK('Exception Stores'!$A$6),0,($BF$2-$BE$2)*24)</f>
        <v>0</v>
      </c>
      <c r="BI15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52" s="1">
        <f>IF(ISBLANK('Exception Stores'!$A$6),0,IF($AN$2&gt;$BF$2,0,IF(AND($AN$2&lt;$BF$2,$BT$2="B"),(($BF$2-$AN$2)*24)-$BS$2,($BF$2-$AN$2)*24)))</f>
        <v>0</v>
      </c>
      <c r="BL152" s="5"/>
      <c r="BM152" s="5"/>
      <c r="BN152" s="5"/>
      <c r="BO152" s="5"/>
      <c r="BP152" s="5"/>
      <c r="BV152" s="1" t="e">
        <f t="shared" ca="1" si="203"/>
        <v>#VALUE!</v>
      </c>
      <c r="BW152" s="1" t="e">
        <f t="shared" ca="1" si="204"/>
        <v>#VALUE!</v>
      </c>
      <c r="BX152" s="1" t="e">
        <f t="shared" ca="1" si="205"/>
        <v>#VALUE!</v>
      </c>
      <c r="BY152" s="1" t="e">
        <f t="shared" ca="1" si="206"/>
        <v>#VALUE!</v>
      </c>
      <c r="BZ152" s="1" t="e">
        <f t="shared" ca="1" si="207"/>
        <v>#VALUE!</v>
      </c>
      <c r="CB152" s="1" t="str">
        <f>IF(ISBLANK('Exception Stores'!$A$6),"",WEEKDAY($BF$2))</f>
        <v/>
      </c>
      <c r="CC152" s="1" t="str">
        <f>IF(ISBLANK('Exception Stores'!$A$6),"NO",IF('Exception Stores'!$A$6&lt;$AU$2,"YES","NO"))</f>
        <v>NO</v>
      </c>
      <c r="CD152" s="1" t="str">
        <f>IF(ISBLANK('Exception Stores'!$A$6),"NO",IF('Exception Stores'!$A$6&lt;$AV$2,"YES","NO"))</f>
        <v>NO</v>
      </c>
      <c r="CE152" s="1" t="str">
        <f>IF(ISBLANK('Exception Stores'!$A$6),"NO",IF('Exception Stores'!$A$6&lt;$AW$2,"YES","NO"))</f>
        <v>NO</v>
      </c>
      <c r="CF152" s="1" t="str">
        <f>IF(ISBLANK('Exception Stores'!$A$6),"NO",IF('Exception Stores'!$A$6&lt;$AX$2,"YES","NO"))</f>
        <v>NO</v>
      </c>
      <c r="CG152" s="1" t="str">
        <f>IF(ISBLANK('Exception Stores'!$A$6),"NO",IF('Exception Stores'!$A$6&lt;$AY$2,"YES","NO"))</f>
        <v>NO</v>
      </c>
      <c r="CI152" s="42" t="str">
        <f>IF(ISBLANK('Exception Stores'!$B$6),"NO",IF('Exception Stores'!$B$6&lt;=$AU$2,"YES","NO"))</f>
        <v>NO</v>
      </c>
      <c r="CJ152" s="42" t="str">
        <f>IF(ISBLANK('Exception Stores'!$B$6),"NO",IF('Exception Stores'!$B$6&lt;=$AV$2,"YES","NO"))</f>
        <v>NO</v>
      </c>
      <c r="CK152" s="1" t="str">
        <f>IF(ISBLANK('Exception Stores'!$B$6),"NO",IF('Exception Stores'!$B$6&lt;=$AW$2,"YES","NO"))</f>
        <v>NO</v>
      </c>
      <c r="CL152" s="1" t="str">
        <f>IF(ISBLANK('Exception Stores'!$B$6),"NO",IF('Exception Stores'!$B$6&lt;=$AX$2,"YES","NO"))</f>
        <v>NO</v>
      </c>
      <c r="CM152" s="1" t="str">
        <f>IF(ISBLANK('Exception Stores'!$B$6),"NO",IF('Exception Stores'!$B$6&lt;=$AY$2,"YES","NO"))</f>
        <v>NO</v>
      </c>
      <c r="CO152" s="1" t="e">
        <f ca="1">IF(AM152&lt;'Exception Stores'!$A$6,"YES","NO")</f>
        <v>#VALUE!</v>
      </c>
      <c r="CP152" s="1">
        <f t="shared" si="208"/>
        <v>0</v>
      </c>
      <c r="CQ152" s="1">
        <f t="shared" si="209"/>
        <v>0</v>
      </c>
      <c r="CR152" s="1">
        <f t="shared" si="210"/>
        <v>0</v>
      </c>
      <c r="CS152" s="1">
        <f t="shared" si="211"/>
        <v>0</v>
      </c>
      <c r="CT152" s="1">
        <f t="shared" si="212"/>
        <v>0</v>
      </c>
      <c r="CU152" s="1">
        <f t="shared" si="213"/>
        <v>0</v>
      </c>
      <c r="CW152" s="1" t="e">
        <f t="shared" ca="1" si="154"/>
        <v>#VALUE!</v>
      </c>
      <c r="CX152" s="1" t="e">
        <f t="shared" ca="1" si="155"/>
        <v>#VALUE!</v>
      </c>
      <c r="CY152" s="1" t="e">
        <f t="shared" ca="1" si="156"/>
        <v>#VALUE!</v>
      </c>
      <c r="CZ152" s="1" t="e">
        <f t="shared" ca="1" si="157"/>
        <v>#VALUE!</v>
      </c>
      <c r="DA152" s="1" t="e">
        <f t="shared" ca="1" si="158"/>
        <v>#VALUE!</v>
      </c>
      <c r="DB152" s="26" t="e">
        <f t="shared" ca="1" si="214"/>
        <v>#VALUE!</v>
      </c>
      <c r="DC152" s="1">
        <f t="shared" si="159"/>
        <v>0</v>
      </c>
      <c r="DD152" s="1">
        <f t="shared" si="160"/>
        <v>0</v>
      </c>
      <c r="DE152" s="1">
        <f t="shared" si="161"/>
        <v>0</v>
      </c>
      <c r="DF152" s="1">
        <f t="shared" si="162"/>
        <v>0</v>
      </c>
      <c r="DG152" s="1">
        <f t="shared" si="163"/>
        <v>0</v>
      </c>
      <c r="DH152" s="26">
        <f t="shared" si="215"/>
        <v>0</v>
      </c>
      <c r="DI152" s="1" t="e">
        <f t="shared" ca="1" si="216"/>
        <v>#VALUE!</v>
      </c>
      <c r="DK152" s="11" t="str">
        <f t="shared" si="164"/>
        <v/>
      </c>
      <c r="DL152" s="11" t="e">
        <f ca="1">IF(AND(NOT(ISBLANK('Exception Stores'!$A$6)),CO152="YES"),S152-$BH$2-(DI152*$BS$2)-(CU152*$BS$2),S152-(DB152*$BS$2))</f>
        <v>#VALUE!</v>
      </c>
      <c r="DM152" s="11" t="str">
        <f>IF(ISBLANK(A152),"",IF(COUNTIF(Remaps!$A$2:$A$200,B152)&gt;0,"YES",""))</f>
        <v>YES</v>
      </c>
      <c r="DN152" s="29">
        <f>IFERROR(INDEX(Remaps!$B$2:$B$200,MATCH(B152,Remaps!$A$2:$A$200,0),1),0)</f>
        <v>0</v>
      </c>
      <c r="DO152" s="11" t="e">
        <f t="shared" ca="1" si="165"/>
        <v>#VALUE!</v>
      </c>
      <c r="DP152" s="29" t="e">
        <f t="shared" si="166"/>
        <v>#VALUE!</v>
      </c>
      <c r="DQ152" s="11" t="e">
        <f ca="1">('Apollo Dock Status'!$Z$1-DP152)/DO152</f>
        <v>#VALUE!</v>
      </c>
      <c r="DR152" s="15" t="e">
        <f t="shared" ca="1" si="217"/>
        <v>#VALUE!</v>
      </c>
    </row>
    <row r="153" spans="1:122">
      <c r="A153" s="1" t="str">
        <f>IF(ISBLANK('Apollo Dock Status'!A153),"",'Apollo Dock Status'!A153)</f>
        <v/>
      </c>
      <c r="B153" s="1" t="str">
        <f>IF(ISBLANK('Apollo Dock Status'!B153),"",'Apollo Dock Status'!B153)</f>
        <v/>
      </c>
      <c r="C153" s="1" t="str">
        <f>IF(ISBLANK('Apollo Dock Status'!C153),"",'Apollo Dock Status'!C153)</f>
        <v/>
      </c>
      <c r="D153" s="1" t="str">
        <f>IF(ISBLANK('Apollo Dock Status'!D153),"",'Apollo Dock Status'!D153)</f>
        <v/>
      </c>
      <c r="E153" s="1" t="str">
        <f>IF(ISBLANK('Apollo Dock Status'!E153),"",'Apollo Dock Status'!E153)</f>
        <v/>
      </c>
      <c r="F153" s="1" t="str">
        <f>IF(ISBLANK('Apollo Dock Status'!F153),"",'Apollo Dock Status'!F153)</f>
        <v/>
      </c>
      <c r="G153" s="1" t="str">
        <f>IF(ISBLANK('Apollo Dock Status'!G153),"",'Apollo Dock Status'!G153)</f>
        <v/>
      </c>
      <c r="H153" s="1" t="str">
        <f>IF(ISBLANK('Apollo Dock Status'!H153),"",'Apollo Dock Status'!H153)</f>
        <v/>
      </c>
      <c r="I153" s="1" t="str">
        <f>IF(ISBLANK('Apollo Dock Status'!I153),"",'Apollo Dock Status'!I153)</f>
        <v/>
      </c>
      <c r="J153" s="1" t="str">
        <f>IF(ISBLANK('Apollo Dock Status'!J153),"",'Apollo Dock Status'!J153)</f>
        <v/>
      </c>
      <c r="K153" s="1" t="str">
        <f>IF(ISBLANK('Apollo Dock Status'!K153),"",'Apollo Dock Status'!K153)</f>
        <v/>
      </c>
      <c r="L153" s="1" t="str">
        <f>IF(ISBLANK('Apollo Dock Status'!L153),"",'Apollo Dock Status'!L153)</f>
        <v/>
      </c>
      <c r="M153" s="1" t="str">
        <f>IF(ISBLANK('Apollo Dock Status'!M153),"",'Apollo Dock Status'!M153)</f>
        <v/>
      </c>
      <c r="N153" s="1" t="str">
        <f>IF(ISBLANK('Apollo Dock Status'!N153),"",'Apollo Dock Status'!N153)</f>
        <v/>
      </c>
      <c r="O153" s="1" t="str">
        <f t="shared" si="167"/>
        <v/>
      </c>
      <c r="P153" s="1" t="str">
        <f t="shared" si="168"/>
        <v/>
      </c>
      <c r="Q153" s="1" t="str">
        <f t="shared" si="169"/>
        <v/>
      </c>
      <c r="R153" s="1" t="str">
        <f t="shared" si="170"/>
        <v/>
      </c>
      <c r="S153" s="11" t="str">
        <f t="shared" si="171"/>
        <v/>
      </c>
      <c r="T153" s="1" t="str">
        <f t="shared" si="172"/>
        <v/>
      </c>
      <c r="U153" s="11" t="str">
        <f t="shared" si="173"/>
        <v/>
      </c>
      <c r="V153" s="11" t="str">
        <f t="shared" si="174"/>
        <v/>
      </c>
      <c r="X153" s="1" t="str">
        <f t="shared" si="175"/>
        <v/>
      </c>
      <c r="Y153" s="1" t="str">
        <f t="shared" si="176"/>
        <v/>
      </c>
      <c r="Z153" s="1" t="str">
        <f t="shared" si="177"/>
        <v/>
      </c>
      <c r="AB153" s="13">
        <f t="shared" ca="1" si="178"/>
        <v>46176</v>
      </c>
      <c r="AC153" s="1">
        <f t="shared" ca="1" si="179"/>
        <v>2026</v>
      </c>
      <c r="AD153" s="1" t="str">
        <f t="shared" ca="1" si="180"/>
        <v>6</v>
      </c>
      <c r="AE153" s="1">
        <f t="shared" si="181"/>
        <v>1</v>
      </c>
      <c r="AF153" s="1" t="str">
        <f t="shared" si="182"/>
        <v/>
      </c>
      <c r="AG153" s="1">
        <f t="shared" ca="1" si="183"/>
        <v>2026</v>
      </c>
      <c r="AH153" s="1">
        <f t="shared" si="184"/>
        <v>1</v>
      </c>
      <c r="AI153" s="1" t="str">
        <f t="shared" ca="1" si="185"/>
        <v>6</v>
      </c>
      <c r="AJ153" s="13" t="e">
        <f t="shared" ca="1" si="186"/>
        <v>#VALUE!</v>
      </c>
      <c r="AK153" s="1" t="e">
        <f>IF(ISBLANK(A153),"",IFERROR(MID(F153,SEARCH(", ",F153)+LEN(", "),SEARCH(" "&amp;'Exception Stores'!$A$2,F153)-SEARCH(", ",F153)-LEN(", ")),MID(F153,SEARCH(", ",F153)+LEN(", "),SEARCH(" "&amp;'Exception Stores'!$B$2,F153)-SEARCH(", ",F153)-LEN(", "))))</f>
        <v>#VALUE!</v>
      </c>
      <c r="AL153" s="1" t="e">
        <f t="shared" si="187"/>
        <v>#VALUE!</v>
      </c>
      <c r="AM153" s="15" t="e">
        <f t="shared" ca="1" si="188"/>
        <v>#VALUE!</v>
      </c>
      <c r="AN153" s="24" t="e">
        <f t="shared" ca="1" si="189"/>
        <v>#VALUE!</v>
      </c>
      <c r="AO153" s="1" t="e">
        <f t="shared" ca="1" si="190"/>
        <v>#VALUE!</v>
      </c>
      <c r="AP153" s="13" t="e">
        <f t="shared" ca="1" si="191"/>
        <v>#VALUE!</v>
      </c>
      <c r="AQ153" s="17" t="e">
        <f t="shared" ca="1" si="192"/>
        <v>#VALUE!</v>
      </c>
      <c r="AS153" s="15" t="e">
        <f t="shared" ca="1" si="193"/>
        <v>#VALUE!</v>
      </c>
      <c r="AT153" s="5">
        <f>'Exception Stores'!$D$2</f>
        <v>0.125</v>
      </c>
      <c r="AU153" s="15" t="e">
        <f t="shared" ca="1" si="194"/>
        <v>#VALUE!</v>
      </c>
      <c r="AV153" s="15" t="e">
        <f t="shared" ca="1" si="195"/>
        <v>#VALUE!</v>
      </c>
      <c r="AW153" s="15" t="e">
        <f t="shared" ca="1" si="196"/>
        <v>#VALUE!</v>
      </c>
      <c r="AX153" s="15" t="e">
        <f t="shared" ca="1" si="197"/>
        <v>#VALUE!</v>
      </c>
      <c r="AY153" s="15" t="e">
        <f t="shared" ca="1" si="198"/>
        <v>#VALUE!</v>
      </c>
      <c r="AZ153" s="1" t="e">
        <f t="shared" ca="1" si="199"/>
        <v>#VALUE!</v>
      </c>
      <c r="BA153" s="15" t="e">
        <f t="shared" ca="1" si="200"/>
        <v>#VALUE!</v>
      </c>
      <c r="BB153" s="15" t="e">
        <f t="shared" ca="1" si="201"/>
        <v>#VALUE!</v>
      </c>
      <c r="BC153" s="1" t="e">
        <f t="shared" ca="1" si="202"/>
        <v>#VALUE!</v>
      </c>
      <c r="BE153" s="15" t="str">
        <f>IF(ISBLANK('Exception Stores'!$A$6),"",'Exception Stores'!$A$6)</f>
        <v/>
      </c>
      <c r="BF153" s="15" t="str">
        <f>IF(ISBLANK('Exception Stores'!$B$6),"",'Exception Stores'!$B$6)</f>
        <v/>
      </c>
      <c r="BG153" s="1">
        <f>IF(ISBLANK('Exception Stores'!$A$6),0,IF($AN$2&gt;$BF$2,($AN$2-$BF$2)*24,0))</f>
        <v>0</v>
      </c>
      <c r="BH153" s="11">
        <f>IF(ISBLANK('Exception Stores'!$A$6),0,($BF$2-$BE$2)*24)</f>
        <v>0</v>
      </c>
      <c r="BI15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53" s="1">
        <f>IF(ISBLANK('Exception Stores'!$A$6),0,IF($AN$2&gt;$BF$2,0,IF(AND($AN$2&lt;$BF$2,$BT$2="B"),(($BF$2-$AN$2)*24)-$BS$2,($BF$2-$AN$2)*24)))</f>
        <v>0</v>
      </c>
      <c r="BL153" s="5"/>
      <c r="BM153" s="5"/>
      <c r="BN153" s="5"/>
      <c r="BO153" s="5"/>
      <c r="BP153" s="5"/>
      <c r="BV153" s="1" t="e">
        <f t="shared" ca="1" si="203"/>
        <v>#VALUE!</v>
      </c>
      <c r="BW153" s="1" t="e">
        <f t="shared" ca="1" si="204"/>
        <v>#VALUE!</v>
      </c>
      <c r="BX153" s="1" t="e">
        <f t="shared" ca="1" si="205"/>
        <v>#VALUE!</v>
      </c>
      <c r="BY153" s="1" t="e">
        <f t="shared" ca="1" si="206"/>
        <v>#VALUE!</v>
      </c>
      <c r="BZ153" s="1" t="e">
        <f t="shared" ca="1" si="207"/>
        <v>#VALUE!</v>
      </c>
      <c r="CB153" s="1" t="str">
        <f>IF(ISBLANK('Exception Stores'!$A$6),"",WEEKDAY($BF$2))</f>
        <v/>
      </c>
      <c r="CC153" s="1" t="str">
        <f>IF(ISBLANK('Exception Stores'!$A$6),"NO",IF('Exception Stores'!$A$6&lt;$AU$2,"YES","NO"))</f>
        <v>NO</v>
      </c>
      <c r="CD153" s="1" t="str">
        <f>IF(ISBLANK('Exception Stores'!$A$6),"NO",IF('Exception Stores'!$A$6&lt;$AV$2,"YES","NO"))</f>
        <v>NO</v>
      </c>
      <c r="CE153" s="1" t="str">
        <f>IF(ISBLANK('Exception Stores'!$A$6),"NO",IF('Exception Stores'!$A$6&lt;$AW$2,"YES","NO"))</f>
        <v>NO</v>
      </c>
      <c r="CF153" s="1" t="str">
        <f>IF(ISBLANK('Exception Stores'!$A$6),"NO",IF('Exception Stores'!$A$6&lt;$AX$2,"YES","NO"))</f>
        <v>NO</v>
      </c>
      <c r="CG153" s="1" t="str">
        <f>IF(ISBLANK('Exception Stores'!$A$6),"NO",IF('Exception Stores'!$A$6&lt;$AY$2,"YES","NO"))</f>
        <v>NO</v>
      </c>
      <c r="CI153" s="42" t="str">
        <f>IF(ISBLANK('Exception Stores'!$B$6),"NO",IF('Exception Stores'!$B$6&lt;=$AU$2,"YES","NO"))</f>
        <v>NO</v>
      </c>
      <c r="CJ153" s="42" t="str">
        <f>IF(ISBLANK('Exception Stores'!$B$6),"NO",IF('Exception Stores'!$B$6&lt;=$AV$2,"YES","NO"))</f>
        <v>NO</v>
      </c>
      <c r="CK153" s="1" t="str">
        <f>IF(ISBLANK('Exception Stores'!$B$6),"NO",IF('Exception Stores'!$B$6&lt;=$AW$2,"YES","NO"))</f>
        <v>NO</v>
      </c>
      <c r="CL153" s="1" t="str">
        <f>IF(ISBLANK('Exception Stores'!$B$6),"NO",IF('Exception Stores'!$B$6&lt;=$AX$2,"YES","NO"))</f>
        <v>NO</v>
      </c>
      <c r="CM153" s="1" t="str">
        <f>IF(ISBLANK('Exception Stores'!$B$6),"NO",IF('Exception Stores'!$B$6&lt;=$AY$2,"YES","NO"))</f>
        <v>NO</v>
      </c>
      <c r="CO153" s="1" t="e">
        <f ca="1">IF(AM153&lt;'Exception Stores'!$A$6,"YES","NO")</f>
        <v>#VALUE!</v>
      </c>
      <c r="CP153" s="1">
        <f t="shared" si="208"/>
        <v>0</v>
      </c>
      <c r="CQ153" s="1">
        <f t="shared" si="209"/>
        <v>0</v>
      </c>
      <c r="CR153" s="1">
        <f t="shared" si="210"/>
        <v>0</v>
      </c>
      <c r="CS153" s="1">
        <f t="shared" si="211"/>
        <v>0</v>
      </c>
      <c r="CT153" s="1">
        <f t="shared" si="212"/>
        <v>0</v>
      </c>
      <c r="CU153" s="1">
        <f t="shared" si="213"/>
        <v>0</v>
      </c>
      <c r="CW153" s="1" t="e">
        <f t="shared" ca="1" si="154"/>
        <v>#VALUE!</v>
      </c>
      <c r="CX153" s="1" t="e">
        <f t="shared" ca="1" si="155"/>
        <v>#VALUE!</v>
      </c>
      <c r="CY153" s="1" t="e">
        <f t="shared" ca="1" si="156"/>
        <v>#VALUE!</v>
      </c>
      <c r="CZ153" s="1" t="e">
        <f t="shared" ca="1" si="157"/>
        <v>#VALUE!</v>
      </c>
      <c r="DA153" s="1" t="e">
        <f t="shared" ca="1" si="158"/>
        <v>#VALUE!</v>
      </c>
      <c r="DB153" s="26" t="e">
        <f t="shared" ca="1" si="214"/>
        <v>#VALUE!</v>
      </c>
      <c r="DC153" s="1">
        <f t="shared" si="159"/>
        <v>0</v>
      </c>
      <c r="DD153" s="1">
        <f t="shared" si="160"/>
        <v>0</v>
      </c>
      <c r="DE153" s="1">
        <f t="shared" si="161"/>
        <v>0</v>
      </c>
      <c r="DF153" s="1">
        <f t="shared" si="162"/>
        <v>0</v>
      </c>
      <c r="DG153" s="1">
        <f t="shared" si="163"/>
        <v>0</v>
      </c>
      <c r="DH153" s="26">
        <f t="shared" si="215"/>
        <v>0</v>
      </c>
      <c r="DI153" s="1" t="e">
        <f t="shared" ca="1" si="216"/>
        <v>#VALUE!</v>
      </c>
      <c r="DK153" s="11" t="str">
        <f t="shared" si="164"/>
        <v/>
      </c>
      <c r="DL153" s="11" t="e">
        <f ca="1">IF(AND(NOT(ISBLANK('Exception Stores'!$A$6)),CO153="YES"),S153-$BH$2-(DI153*$BS$2)-(CU153*$BS$2),S153-(DB153*$BS$2))</f>
        <v>#VALUE!</v>
      </c>
      <c r="DM153" s="11" t="str">
        <f>IF(ISBLANK(A153),"",IF(COUNTIF(Remaps!$A$2:$A$200,B153)&gt;0,"YES",""))</f>
        <v>YES</v>
      </c>
      <c r="DN153" s="29">
        <f>IFERROR(INDEX(Remaps!$B$2:$B$200,MATCH(B153,Remaps!$A$2:$A$200,0),1),0)</f>
        <v>0</v>
      </c>
      <c r="DO153" s="11" t="e">
        <f t="shared" ca="1" si="165"/>
        <v>#VALUE!</v>
      </c>
      <c r="DP153" s="29" t="e">
        <f t="shared" si="166"/>
        <v>#VALUE!</v>
      </c>
      <c r="DQ153" s="11" t="e">
        <f ca="1">('Apollo Dock Status'!$Z$1-DP153)/DO153</f>
        <v>#VALUE!</v>
      </c>
      <c r="DR153" s="15" t="e">
        <f t="shared" ca="1" si="217"/>
        <v>#VALUE!</v>
      </c>
    </row>
    <row r="154" spans="1:122">
      <c r="A154" s="1" t="str">
        <f>IF(ISBLANK('Apollo Dock Status'!A154),"",'Apollo Dock Status'!A154)</f>
        <v/>
      </c>
      <c r="B154" s="1" t="str">
        <f>IF(ISBLANK('Apollo Dock Status'!B154),"",'Apollo Dock Status'!B154)</f>
        <v/>
      </c>
      <c r="C154" s="1" t="str">
        <f>IF(ISBLANK('Apollo Dock Status'!C154),"",'Apollo Dock Status'!C154)</f>
        <v/>
      </c>
      <c r="D154" s="1" t="str">
        <f>IF(ISBLANK('Apollo Dock Status'!D154),"",'Apollo Dock Status'!D154)</f>
        <v/>
      </c>
      <c r="E154" s="1" t="str">
        <f>IF(ISBLANK('Apollo Dock Status'!E154),"",'Apollo Dock Status'!E154)</f>
        <v/>
      </c>
      <c r="F154" s="1" t="str">
        <f>IF(ISBLANK('Apollo Dock Status'!F154),"",'Apollo Dock Status'!F154)</f>
        <v/>
      </c>
      <c r="G154" s="1" t="str">
        <f>IF(ISBLANK('Apollo Dock Status'!G154),"",'Apollo Dock Status'!G154)</f>
        <v/>
      </c>
      <c r="H154" s="1" t="str">
        <f>IF(ISBLANK('Apollo Dock Status'!H154),"",'Apollo Dock Status'!H154)</f>
        <v/>
      </c>
      <c r="I154" s="1" t="str">
        <f>IF(ISBLANK('Apollo Dock Status'!I154),"",'Apollo Dock Status'!I154)</f>
        <v/>
      </c>
      <c r="J154" s="1" t="str">
        <f>IF(ISBLANK('Apollo Dock Status'!J154),"",'Apollo Dock Status'!J154)</f>
        <v/>
      </c>
      <c r="K154" s="1" t="str">
        <f>IF(ISBLANK('Apollo Dock Status'!K154),"",'Apollo Dock Status'!K154)</f>
        <v/>
      </c>
      <c r="L154" s="1" t="str">
        <f>IF(ISBLANK('Apollo Dock Status'!L154),"",'Apollo Dock Status'!L154)</f>
        <v/>
      </c>
      <c r="M154" s="1" t="str">
        <f>IF(ISBLANK('Apollo Dock Status'!M154),"",'Apollo Dock Status'!M154)</f>
        <v/>
      </c>
      <c r="N154" s="1" t="str">
        <f>IF(ISBLANK('Apollo Dock Status'!N154),"",'Apollo Dock Status'!N154)</f>
        <v/>
      </c>
      <c r="O154" s="1" t="str">
        <f t="shared" si="167"/>
        <v/>
      </c>
      <c r="P154" s="1" t="str">
        <f t="shared" si="168"/>
        <v/>
      </c>
      <c r="Q154" s="1" t="str">
        <f t="shared" si="169"/>
        <v/>
      </c>
      <c r="R154" s="1" t="str">
        <f t="shared" si="170"/>
        <v/>
      </c>
      <c r="S154" s="11" t="str">
        <f t="shared" si="171"/>
        <v/>
      </c>
      <c r="T154" s="1" t="str">
        <f t="shared" si="172"/>
        <v/>
      </c>
      <c r="U154" s="11" t="str">
        <f t="shared" si="173"/>
        <v/>
      </c>
      <c r="V154" s="11" t="str">
        <f t="shared" si="174"/>
        <v/>
      </c>
      <c r="X154" s="1" t="str">
        <f t="shared" si="175"/>
        <v/>
      </c>
      <c r="Y154" s="1" t="str">
        <f t="shared" si="176"/>
        <v/>
      </c>
      <c r="Z154" s="1" t="str">
        <f t="shared" si="177"/>
        <v/>
      </c>
      <c r="AB154" s="13">
        <f t="shared" ca="1" si="178"/>
        <v>46176</v>
      </c>
      <c r="AC154" s="1">
        <f t="shared" ca="1" si="179"/>
        <v>2026</v>
      </c>
      <c r="AD154" s="1" t="str">
        <f t="shared" ca="1" si="180"/>
        <v>6</v>
      </c>
      <c r="AE154" s="1">
        <f t="shared" si="181"/>
        <v>1</v>
      </c>
      <c r="AF154" s="1" t="str">
        <f t="shared" si="182"/>
        <v/>
      </c>
      <c r="AG154" s="1">
        <f t="shared" ca="1" si="183"/>
        <v>2026</v>
      </c>
      <c r="AH154" s="1">
        <f t="shared" si="184"/>
        <v>1</v>
      </c>
      <c r="AI154" s="1" t="str">
        <f t="shared" ca="1" si="185"/>
        <v>6</v>
      </c>
      <c r="AJ154" s="13" t="e">
        <f t="shared" ca="1" si="186"/>
        <v>#VALUE!</v>
      </c>
      <c r="AK154" s="1" t="e">
        <f>IF(ISBLANK(A154),"",IFERROR(MID(F154,SEARCH(", ",F154)+LEN(", "),SEARCH(" "&amp;'Exception Stores'!$A$2,F154)-SEARCH(", ",F154)-LEN(", ")),MID(F154,SEARCH(", ",F154)+LEN(", "),SEARCH(" "&amp;'Exception Stores'!$B$2,F154)-SEARCH(", ",F154)-LEN(", "))))</f>
        <v>#VALUE!</v>
      </c>
      <c r="AL154" s="1" t="e">
        <f t="shared" si="187"/>
        <v>#VALUE!</v>
      </c>
      <c r="AM154" s="15" t="e">
        <f t="shared" ca="1" si="188"/>
        <v>#VALUE!</v>
      </c>
      <c r="AN154" s="24" t="e">
        <f t="shared" ca="1" si="189"/>
        <v>#VALUE!</v>
      </c>
      <c r="AO154" s="1" t="e">
        <f t="shared" ca="1" si="190"/>
        <v>#VALUE!</v>
      </c>
      <c r="AP154" s="13" t="e">
        <f t="shared" ca="1" si="191"/>
        <v>#VALUE!</v>
      </c>
      <c r="AQ154" s="17" t="e">
        <f t="shared" ca="1" si="192"/>
        <v>#VALUE!</v>
      </c>
      <c r="AS154" s="15" t="e">
        <f t="shared" ca="1" si="193"/>
        <v>#VALUE!</v>
      </c>
      <c r="AT154" s="5">
        <f>'Exception Stores'!$D$2</f>
        <v>0.125</v>
      </c>
      <c r="AU154" s="15" t="e">
        <f t="shared" ca="1" si="194"/>
        <v>#VALUE!</v>
      </c>
      <c r="AV154" s="15" t="e">
        <f t="shared" ca="1" si="195"/>
        <v>#VALUE!</v>
      </c>
      <c r="AW154" s="15" t="e">
        <f t="shared" ca="1" si="196"/>
        <v>#VALUE!</v>
      </c>
      <c r="AX154" s="15" t="e">
        <f t="shared" ca="1" si="197"/>
        <v>#VALUE!</v>
      </c>
      <c r="AY154" s="15" t="e">
        <f t="shared" ca="1" si="198"/>
        <v>#VALUE!</v>
      </c>
      <c r="AZ154" s="1" t="e">
        <f t="shared" ca="1" si="199"/>
        <v>#VALUE!</v>
      </c>
      <c r="BA154" s="15" t="e">
        <f t="shared" ca="1" si="200"/>
        <v>#VALUE!</v>
      </c>
      <c r="BB154" s="15" t="e">
        <f t="shared" ca="1" si="201"/>
        <v>#VALUE!</v>
      </c>
      <c r="BC154" s="1" t="e">
        <f t="shared" ca="1" si="202"/>
        <v>#VALUE!</v>
      </c>
      <c r="BE154" s="15" t="str">
        <f>IF(ISBLANK('Exception Stores'!$A$6),"",'Exception Stores'!$A$6)</f>
        <v/>
      </c>
      <c r="BF154" s="15" t="str">
        <f>IF(ISBLANK('Exception Stores'!$B$6),"",'Exception Stores'!$B$6)</f>
        <v/>
      </c>
      <c r="BG154" s="1">
        <f>IF(ISBLANK('Exception Stores'!$A$6),0,IF($AN$2&gt;$BF$2,($AN$2-$BF$2)*24,0))</f>
        <v>0</v>
      </c>
      <c r="BH154" s="11">
        <f>IF(ISBLANK('Exception Stores'!$A$6),0,($BF$2-$BE$2)*24)</f>
        <v>0</v>
      </c>
      <c r="BI15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54" s="1">
        <f>IF(ISBLANK('Exception Stores'!$A$6),0,IF($AN$2&gt;$BF$2,0,IF(AND($AN$2&lt;$BF$2,$BT$2="B"),(($BF$2-$AN$2)*24)-$BS$2,($BF$2-$AN$2)*24)))</f>
        <v>0</v>
      </c>
      <c r="BL154" s="5"/>
      <c r="BM154" s="5"/>
      <c r="BN154" s="5"/>
      <c r="BO154" s="5"/>
      <c r="BP154" s="5"/>
      <c r="BV154" s="1" t="e">
        <f t="shared" ca="1" si="203"/>
        <v>#VALUE!</v>
      </c>
      <c r="BW154" s="1" t="e">
        <f t="shared" ca="1" si="204"/>
        <v>#VALUE!</v>
      </c>
      <c r="BX154" s="1" t="e">
        <f t="shared" ca="1" si="205"/>
        <v>#VALUE!</v>
      </c>
      <c r="BY154" s="1" t="e">
        <f t="shared" ca="1" si="206"/>
        <v>#VALUE!</v>
      </c>
      <c r="BZ154" s="1" t="e">
        <f t="shared" ca="1" si="207"/>
        <v>#VALUE!</v>
      </c>
      <c r="CB154" s="1" t="str">
        <f>IF(ISBLANK('Exception Stores'!$A$6),"",WEEKDAY($BF$2))</f>
        <v/>
      </c>
      <c r="CC154" s="1" t="str">
        <f>IF(ISBLANK('Exception Stores'!$A$6),"NO",IF('Exception Stores'!$A$6&lt;$AU$2,"YES","NO"))</f>
        <v>NO</v>
      </c>
      <c r="CD154" s="1" t="str">
        <f>IF(ISBLANK('Exception Stores'!$A$6),"NO",IF('Exception Stores'!$A$6&lt;$AV$2,"YES","NO"))</f>
        <v>NO</v>
      </c>
      <c r="CE154" s="1" t="str">
        <f>IF(ISBLANK('Exception Stores'!$A$6),"NO",IF('Exception Stores'!$A$6&lt;$AW$2,"YES","NO"))</f>
        <v>NO</v>
      </c>
      <c r="CF154" s="1" t="str">
        <f>IF(ISBLANK('Exception Stores'!$A$6),"NO",IF('Exception Stores'!$A$6&lt;$AX$2,"YES","NO"))</f>
        <v>NO</v>
      </c>
      <c r="CG154" s="1" t="str">
        <f>IF(ISBLANK('Exception Stores'!$A$6),"NO",IF('Exception Stores'!$A$6&lt;$AY$2,"YES","NO"))</f>
        <v>NO</v>
      </c>
      <c r="CI154" s="42" t="str">
        <f>IF(ISBLANK('Exception Stores'!$B$6),"NO",IF('Exception Stores'!$B$6&lt;=$AU$2,"YES","NO"))</f>
        <v>NO</v>
      </c>
      <c r="CJ154" s="42" t="str">
        <f>IF(ISBLANK('Exception Stores'!$B$6),"NO",IF('Exception Stores'!$B$6&lt;=$AV$2,"YES","NO"))</f>
        <v>NO</v>
      </c>
      <c r="CK154" s="1" t="str">
        <f>IF(ISBLANK('Exception Stores'!$B$6),"NO",IF('Exception Stores'!$B$6&lt;=$AW$2,"YES","NO"))</f>
        <v>NO</v>
      </c>
      <c r="CL154" s="1" t="str">
        <f>IF(ISBLANK('Exception Stores'!$B$6),"NO",IF('Exception Stores'!$B$6&lt;=$AX$2,"YES","NO"))</f>
        <v>NO</v>
      </c>
      <c r="CM154" s="1" t="str">
        <f>IF(ISBLANK('Exception Stores'!$B$6),"NO",IF('Exception Stores'!$B$6&lt;=$AY$2,"YES","NO"))</f>
        <v>NO</v>
      </c>
      <c r="CO154" s="1" t="e">
        <f ca="1">IF(AM154&lt;'Exception Stores'!$A$6,"YES","NO")</f>
        <v>#VALUE!</v>
      </c>
      <c r="CP154" s="1">
        <f t="shared" si="208"/>
        <v>0</v>
      </c>
      <c r="CQ154" s="1">
        <f t="shared" si="209"/>
        <v>0</v>
      </c>
      <c r="CR154" s="1">
        <f t="shared" si="210"/>
        <v>0</v>
      </c>
      <c r="CS154" s="1">
        <f t="shared" si="211"/>
        <v>0</v>
      </c>
      <c r="CT154" s="1">
        <f t="shared" si="212"/>
        <v>0</v>
      </c>
      <c r="CU154" s="1">
        <f t="shared" si="213"/>
        <v>0</v>
      </c>
      <c r="CW154" s="1" t="e">
        <f t="shared" ca="1" si="154"/>
        <v>#VALUE!</v>
      </c>
      <c r="CX154" s="1" t="e">
        <f t="shared" ca="1" si="155"/>
        <v>#VALUE!</v>
      </c>
      <c r="CY154" s="1" t="e">
        <f t="shared" ca="1" si="156"/>
        <v>#VALUE!</v>
      </c>
      <c r="CZ154" s="1" t="e">
        <f t="shared" ca="1" si="157"/>
        <v>#VALUE!</v>
      </c>
      <c r="DA154" s="1" t="e">
        <f t="shared" ca="1" si="158"/>
        <v>#VALUE!</v>
      </c>
      <c r="DB154" s="26" t="e">
        <f t="shared" ca="1" si="214"/>
        <v>#VALUE!</v>
      </c>
      <c r="DC154" s="1">
        <f t="shared" si="159"/>
        <v>0</v>
      </c>
      <c r="DD154" s="1">
        <f t="shared" si="160"/>
        <v>0</v>
      </c>
      <c r="DE154" s="1">
        <f t="shared" si="161"/>
        <v>0</v>
      </c>
      <c r="DF154" s="1">
        <f t="shared" si="162"/>
        <v>0</v>
      </c>
      <c r="DG154" s="1">
        <f t="shared" si="163"/>
        <v>0</v>
      </c>
      <c r="DH154" s="26">
        <f t="shared" si="215"/>
        <v>0</v>
      </c>
      <c r="DI154" s="1" t="e">
        <f t="shared" ca="1" si="216"/>
        <v>#VALUE!</v>
      </c>
      <c r="DK154" s="11" t="str">
        <f t="shared" si="164"/>
        <v/>
      </c>
      <c r="DL154" s="11" t="e">
        <f ca="1">IF(AND(NOT(ISBLANK('Exception Stores'!$A$6)),CO154="YES"),S154-$BH$2-(DI154*$BS$2)-(CU154*$BS$2),S154-(DB154*$BS$2))</f>
        <v>#VALUE!</v>
      </c>
      <c r="DM154" s="11" t="str">
        <f>IF(ISBLANK(A154),"",IF(COUNTIF(Remaps!$A$2:$A$200,B154)&gt;0,"YES",""))</f>
        <v>YES</v>
      </c>
      <c r="DN154" s="29">
        <f>IFERROR(INDEX(Remaps!$B$2:$B$200,MATCH(B154,Remaps!$A$2:$A$200,0),1),0)</f>
        <v>0</v>
      </c>
      <c r="DO154" s="11" t="e">
        <f t="shared" ca="1" si="165"/>
        <v>#VALUE!</v>
      </c>
      <c r="DP154" s="29" t="e">
        <f t="shared" si="166"/>
        <v>#VALUE!</v>
      </c>
      <c r="DQ154" s="11" t="e">
        <f ca="1">('Apollo Dock Status'!$Z$1-DP154)/DO154</f>
        <v>#VALUE!</v>
      </c>
      <c r="DR154" s="15" t="e">
        <f t="shared" ca="1" si="217"/>
        <v>#VALUE!</v>
      </c>
    </row>
    <row r="155" spans="1:122">
      <c r="A155" s="1" t="str">
        <f>IF(ISBLANK('Apollo Dock Status'!A155),"",'Apollo Dock Status'!A155)</f>
        <v/>
      </c>
      <c r="B155" s="1" t="str">
        <f>IF(ISBLANK('Apollo Dock Status'!B155),"",'Apollo Dock Status'!B155)</f>
        <v/>
      </c>
      <c r="C155" s="1" t="str">
        <f>IF(ISBLANK('Apollo Dock Status'!C155),"",'Apollo Dock Status'!C155)</f>
        <v/>
      </c>
      <c r="D155" s="1" t="str">
        <f>IF(ISBLANK('Apollo Dock Status'!D155),"",'Apollo Dock Status'!D155)</f>
        <v/>
      </c>
      <c r="E155" s="1" t="str">
        <f>IF(ISBLANK('Apollo Dock Status'!E155),"",'Apollo Dock Status'!E155)</f>
        <v/>
      </c>
      <c r="F155" s="1" t="str">
        <f>IF(ISBLANK('Apollo Dock Status'!F155),"",'Apollo Dock Status'!F155)</f>
        <v/>
      </c>
      <c r="G155" s="1" t="str">
        <f>IF(ISBLANK('Apollo Dock Status'!G155),"",'Apollo Dock Status'!G155)</f>
        <v/>
      </c>
      <c r="H155" s="1" t="str">
        <f>IF(ISBLANK('Apollo Dock Status'!H155),"",'Apollo Dock Status'!H155)</f>
        <v/>
      </c>
      <c r="I155" s="1" t="str">
        <f>IF(ISBLANK('Apollo Dock Status'!I155),"",'Apollo Dock Status'!I155)</f>
        <v/>
      </c>
      <c r="J155" s="1" t="str">
        <f>IF(ISBLANK('Apollo Dock Status'!J155),"",'Apollo Dock Status'!J155)</f>
        <v/>
      </c>
      <c r="K155" s="1" t="str">
        <f>IF(ISBLANK('Apollo Dock Status'!K155),"",'Apollo Dock Status'!K155)</f>
        <v/>
      </c>
      <c r="L155" s="1" t="str">
        <f>IF(ISBLANK('Apollo Dock Status'!L155),"",'Apollo Dock Status'!L155)</f>
        <v/>
      </c>
      <c r="M155" s="1" t="str">
        <f>IF(ISBLANK('Apollo Dock Status'!M155),"",'Apollo Dock Status'!M155)</f>
        <v/>
      </c>
      <c r="N155" s="1" t="str">
        <f>IF(ISBLANK('Apollo Dock Status'!N155),"",'Apollo Dock Status'!N155)</f>
        <v/>
      </c>
      <c r="O155" s="1" t="str">
        <f t="shared" si="167"/>
        <v/>
      </c>
      <c r="P155" s="1" t="str">
        <f t="shared" si="168"/>
        <v/>
      </c>
      <c r="Q155" s="1" t="str">
        <f t="shared" si="169"/>
        <v/>
      </c>
      <c r="R155" s="1" t="str">
        <f t="shared" si="170"/>
        <v/>
      </c>
      <c r="S155" s="11" t="str">
        <f t="shared" si="171"/>
        <v/>
      </c>
      <c r="T155" s="1" t="str">
        <f t="shared" si="172"/>
        <v/>
      </c>
      <c r="U155" s="11" t="str">
        <f t="shared" si="173"/>
        <v/>
      </c>
      <c r="V155" s="11" t="str">
        <f t="shared" si="174"/>
        <v/>
      </c>
      <c r="X155" s="1" t="str">
        <f t="shared" si="175"/>
        <v/>
      </c>
      <c r="Y155" s="1" t="str">
        <f t="shared" si="176"/>
        <v/>
      </c>
      <c r="Z155" s="1" t="str">
        <f t="shared" si="177"/>
        <v/>
      </c>
      <c r="AB155" s="13">
        <f t="shared" ca="1" si="178"/>
        <v>46176</v>
      </c>
      <c r="AC155" s="1">
        <f t="shared" ca="1" si="179"/>
        <v>2026</v>
      </c>
      <c r="AD155" s="1" t="str">
        <f t="shared" ca="1" si="180"/>
        <v>6</v>
      </c>
      <c r="AE155" s="1">
        <f t="shared" si="181"/>
        <v>1</v>
      </c>
      <c r="AF155" s="1" t="str">
        <f t="shared" si="182"/>
        <v/>
      </c>
      <c r="AG155" s="1">
        <f t="shared" ca="1" si="183"/>
        <v>2026</v>
      </c>
      <c r="AH155" s="1">
        <f t="shared" si="184"/>
        <v>1</v>
      </c>
      <c r="AI155" s="1" t="str">
        <f t="shared" ca="1" si="185"/>
        <v>6</v>
      </c>
      <c r="AJ155" s="13" t="e">
        <f t="shared" ca="1" si="186"/>
        <v>#VALUE!</v>
      </c>
      <c r="AK155" s="1" t="e">
        <f>IF(ISBLANK(A155),"",IFERROR(MID(F155,SEARCH(", ",F155)+LEN(", "),SEARCH(" "&amp;'Exception Stores'!$A$2,F155)-SEARCH(", ",F155)-LEN(", ")),MID(F155,SEARCH(", ",F155)+LEN(", "),SEARCH(" "&amp;'Exception Stores'!$B$2,F155)-SEARCH(", ",F155)-LEN(", "))))</f>
        <v>#VALUE!</v>
      </c>
      <c r="AL155" s="1" t="e">
        <f t="shared" si="187"/>
        <v>#VALUE!</v>
      </c>
      <c r="AM155" s="15" t="e">
        <f t="shared" ca="1" si="188"/>
        <v>#VALUE!</v>
      </c>
      <c r="AN155" s="24" t="e">
        <f t="shared" ca="1" si="189"/>
        <v>#VALUE!</v>
      </c>
      <c r="AO155" s="1" t="e">
        <f t="shared" ca="1" si="190"/>
        <v>#VALUE!</v>
      </c>
      <c r="AP155" s="13" t="e">
        <f t="shared" ca="1" si="191"/>
        <v>#VALUE!</v>
      </c>
      <c r="AQ155" s="17" t="e">
        <f t="shared" ca="1" si="192"/>
        <v>#VALUE!</v>
      </c>
      <c r="AS155" s="15" t="e">
        <f t="shared" ca="1" si="193"/>
        <v>#VALUE!</v>
      </c>
      <c r="AT155" s="5">
        <f>'Exception Stores'!$D$2</f>
        <v>0.125</v>
      </c>
      <c r="AU155" s="15" t="e">
        <f t="shared" ca="1" si="194"/>
        <v>#VALUE!</v>
      </c>
      <c r="AV155" s="15" t="e">
        <f t="shared" ca="1" si="195"/>
        <v>#VALUE!</v>
      </c>
      <c r="AW155" s="15" t="e">
        <f t="shared" ca="1" si="196"/>
        <v>#VALUE!</v>
      </c>
      <c r="AX155" s="15" t="e">
        <f t="shared" ca="1" si="197"/>
        <v>#VALUE!</v>
      </c>
      <c r="AY155" s="15" t="e">
        <f t="shared" ca="1" si="198"/>
        <v>#VALUE!</v>
      </c>
      <c r="AZ155" s="1" t="e">
        <f t="shared" ca="1" si="199"/>
        <v>#VALUE!</v>
      </c>
      <c r="BA155" s="15" t="e">
        <f t="shared" ca="1" si="200"/>
        <v>#VALUE!</v>
      </c>
      <c r="BB155" s="15" t="e">
        <f t="shared" ca="1" si="201"/>
        <v>#VALUE!</v>
      </c>
      <c r="BC155" s="1" t="e">
        <f t="shared" ca="1" si="202"/>
        <v>#VALUE!</v>
      </c>
      <c r="BE155" s="15" t="str">
        <f>IF(ISBLANK('Exception Stores'!$A$6),"",'Exception Stores'!$A$6)</f>
        <v/>
      </c>
      <c r="BF155" s="15" t="str">
        <f>IF(ISBLANK('Exception Stores'!$B$6),"",'Exception Stores'!$B$6)</f>
        <v/>
      </c>
      <c r="BG155" s="1">
        <f>IF(ISBLANK('Exception Stores'!$A$6),0,IF($AN$2&gt;$BF$2,($AN$2-$BF$2)*24,0))</f>
        <v>0</v>
      </c>
      <c r="BH155" s="11">
        <f>IF(ISBLANK('Exception Stores'!$A$6),0,($BF$2-$BE$2)*24)</f>
        <v>0</v>
      </c>
      <c r="BI15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55" s="1">
        <f>IF(ISBLANK('Exception Stores'!$A$6),0,IF($AN$2&gt;$BF$2,0,IF(AND($AN$2&lt;$BF$2,$BT$2="B"),(($BF$2-$AN$2)*24)-$BS$2,($BF$2-$AN$2)*24)))</f>
        <v>0</v>
      </c>
      <c r="BL155" s="5"/>
      <c r="BM155" s="5"/>
      <c r="BN155" s="5"/>
      <c r="BO155" s="5"/>
      <c r="BP155" s="5"/>
      <c r="BV155" s="1" t="e">
        <f t="shared" ca="1" si="203"/>
        <v>#VALUE!</v>
      </c>
      <c r="BW155" s="1" t="e">
        <f t="shared" ca="1" si="204"/>
        <v>#VALUE!</v>
      </c>
      <c r="BX155" s="1" t="e">
        <f t="shared" ca="1" si="205"/>
        <v>#VALUE!</v>
      </c>
      <c r="BY155" s="1" t="e">
        <f t="shared" ca="1" si="206"/>
        <v>#VALUE!</v>
      </c>
      <c r="BZ155" s="1" t="e">
        <f t="shared" ca="1" si="207"/>
        <v>#VALUE!</v>
      </c>
      <c r="CB155" s="1" t="str">
        <f>IF(ISBLANK('Exception Stores'!$A$6),"",WEEKDAY($BF$2))</f>
        <v/>
      </c>
      <c r="CC155" s="1" t="str">
        <f>IF(ISBLANK('Exception Stores'!$A$6),"NO",IF('Exception Stores'!$A$6&lt;$AU$2,"YES","NO"))</f>
        <v>NO</v>
      </c>
      <c r="CD155" s="1" t="str">
        <f>IF(ISBLANK('Exception Stores'!$A$6),"NO",IF('Exception Stores'!$A$6&lt;$AV$2,"YES","NO"))</f>
        <v>NO</v>
      </c>
      <c r="CE155" s="1" t="str">
        <f>IF(ISBLANK('Exception Stores'!$A$6),"NO",IF('Exception Stores'!$A$6&lt;$AW$2,"YES","NO"))</f>
        <v>NO</v>
      </c>
      <c r="CF155" s="1" t="str">
        <f>IF(ISBLANK('Exception Stores'!$A$6),"NO",IF('Exception Stores'!$A$6&lt;$AX$2,"YES","NO"))</f>
        <v>NO</v>
      </c>
      <c r="CG155" s="1" t="str">
        <f>IF(ISBLANK('Exception Stores'!$A$6),"NO",IF('Exception Stores'!$A$6&lt;$AY$2,"YES","NO"))</f>
        <v>NO</v>
      </c>
      <c r="CI155" s="42" t="str">
        <f>IF(ISBLANK('Exception Stores'!$B$6),"NO",IF('Exception Stores'!$B$6&lt;=$AU$2,"YES","NO"))</f>
        <v>NO</v>
      </c>
      <c r="CJ155" s="42" t="str">
        <f>IF(ISBLANK('Exception Stores'!$B$6),"NO",IF('Exception Stores'!$B$6&lt;=$AV$2,"YES","NO"))</f>
        <v>NO</v>
      </c>
      <c r="CK155" s="1" t="str">
        <f>IF(ISBLANK('Exception Stores'!$B$6),"NO",IF('Exception Stores'!$B$6&lt;=$AW$2,"YES","NO"))</f>
        <v>NO</v>
      </c>
      <c r="CL155" s="1" t="str">
        <f>IF(ISBLANK('Exception Stores'!$B$6),"NO",IF('Exception Stores'!$B$6&lt;=$AX$2,"YES","NO"))</f>
        <v>NO</v>
      </c>
      <c r="CM155" s="1" t="str">
        <f>IF(ISBLANK('Exception Stores'!$B$6),"NO",IF('Exception Stores'!$B$6&lt;=$AY$2,"YES","NO"))</f>
        <v>NO</v>
      </c>
      <c r="CO155" s="1" t="e">
        <f ca="1">IF(AM155&lt;'Exception Stores'!$A$6,"YES","NO")</f>
        <v>#VALUE!</v>
      </c>
      <c r="CP155" s="1">
        <f t="shared" si="208"/>
        <v>0</v>
      </c>
      <c r="CQ155" s="1">
        <f t="shared" si="209"/>
        <v>0</v>
      </c>
      <c r="CR155" s="1">
        <f t="shared" si="210"/>
        <v>0</v>
      </c>
      <c r="CS155" s="1">
        <f t="shared" si="211"/>
        <v>0</v>
      </c>
      <c r="CT155" s="1">
        <f t="shared" si="212"/>
        <v>0</v>
      </c>
      <c r="CU155" s="1">
        <f t="shared" si="213"/>
        <v>0</v>
      </c>
      <c r="CW155" s="1" t="e">
        <f t="shared" ca="1" si="154"/>
        <v>#VALUE!</v>
      </c>
      <c r="CX155" s="1" t="e">
        <f t="shared" ca="1" si="155"/>
        <v>#VALUE!</v>
      </c>
      <c r="CY155" s="1" t="e">
        <f t="shared" ca="1" si="156"/>
        <v>#VALUE!</v>
      </c>
      <c r="CZ155" s="1" t="e">
        <f t="shared" ca="1" si="157"/>
        <v>#VALUE!</v>
      </c>
      <c r="DA155" s="1" t="e">
        <f t="shared" ca="1" si="158"/>
        <v>#VALUE!</v>
      </c>
      <c r="DB155" s="26" t="e">
        <f t="shared" ca="1" si="214"/>
        <v>#VALUE!</v>
      </c>
      <c r="DC155" s="1">
        <f t="shared" si="159"/>
        <v>0</v>
      </c>
      <c r="DD155" s="1">
        <f t="shared" si="160"/>
        <v>0</v>
      </c>
      <c r="DE155" s="1">
        <f t="shared" si="161"/>
        <v>0</v>
      </c>
      <c r="DF155" s="1">
        <f t="shared" si="162"/>
        <v>0</v>
      </c>
      <c r="DG155" s="1">
        <f t="shared" si="163"/>
        <v>0</v>
      </c>
      <c r="DH155" s="26">
        <f t="shared" si="215"/>
        <v>0</v>
      </c>
      <c r="DI155" s="1" t="e">
        <f t="shared" ca="1" si="216"/>
        <v>#VALUE!</v>
      </c>
      <c r="DK155" s="11" t="str">
        <f t="shared" si="164"/>
        <v/>
      </c>
      <c r="DL155" s="11" t="e">
        <f ca="1">IF(AND(NOT(ISBLANK('Exception Stores'!$A$6)),CO155="YES"),S155-$BH$2-(DI155*$BS$2)-(CU155*$BS$2),S155-(DB155*$BS$2))</f>
        <v>#VALUE!</v>
      </c>
      <c r="DM155" s="11" t="str">
        <f>IF(ISBLANK(A155),"",IF(COUNTIF(Remaps!$A$2:$A$200,B155)&gt;0,"YES",""))</f>
        <v>YES</v>
      </c>
      <c r="DN155" s="29">
        <f>IFERROR(INDEX(Remaps!$B$2:$B$200,MATCH(B155,Remaps!$A$2:$A$200,0),1),0)</f>
        <v>0</v>
      </c>
      <c r="DO155" s="11" t="e">
        <f t="shared" ca="1" si="165"/>
        <v>#VALUE!</v>
      </c>
      <c r="DP155" s="29" t="e">
        <f t="shared" si="166"/>
        <v>#VALUE!</v>
      </c>
      <c r="DQ155" s="11" t="e">
        <f ca="1">('Apollo Dock Status'!$Z$1-DP155)/DO155</f>
        <v>#VALUE!</v>
      </c>
      <c r="DR155" s="15" t="e">
        <f t="shared" ca="1" si="217"/>
        <v>#VALUE!</v>
      </c>
    </row>
    <row r="156" spans="1:122">
      <c r="A156" s="1" t="str">
        <f>IF(ISBLANK('Apollo Dock Status'!A156),"",'Apollo Dock Status'!A156)</f>
        <v/>
      </c>
      <c r="B156" s="1" t="str">
        <f>IF(ISBLANK('Apollo Dock Status'!B156),"",'Apollo Dock Status'!B156)</f>
        <v/>
      </c>
      <c r="C156" s="1" t="str">
        <f>IF(ISBLANK('Apollo Dock Status'!C156),"",'Apollo Dock Status'!C156)</f>
        <v/>
      </c>
      <c r="D156" s="1" t="str">
        <f>IF(ISBLANK('Apollo Dock Status'!D156),"",'Apollo Dock Status'!D156)</f>
        <v/>
      </c>
      <c r="E156" s="1" t="str">
        <f>IF(ISBLANK('Apollo Dock Status'!E156),"",'Apollo Dock Status'!E156)</f>
        <v/>
      </c>
      <c r="F156" s="1" t="str">
        <f>IF(ISBLANK('Apollo Dock Status'!F156),"",'Apollo Dock Status'!F156)</f>
        <v/>
      </c>
      <c r="G156" s="1" t="str">
        <f>IF(ISBLANK('Apollo Dock Status'!G156),"",'Apollo Dock Status'!G156)</f>
        <v/>
      </c>
      <c r="H156" s="1" t="str">
        <f>IF(ISBLANK('Apollo Dock Status'!H156),"",'Apollo Dock Status'!H156)</f>
        <v/>
      </c>
      <c r="I156" s="1" t="str">
        <f>IF(ISBLANK('Apollo Dock Status'!I156),"",'Apollo Dock Status'!I156)</f>
        <v/>
      </c>
      <c r="J156" s="1" t="str">
        <f>IF(ISBLANK('Apollo Dock Status'!J156),"",'Apollo Dock Status'!J156)</f>
        <v/>
      </c>
      <c r="K156" s="1" t="str">
        <f>IF(ISBLANK('Apollo Dock Status'!K156),"",'Apollo Dock Status'!K156)</f>
        <v/>
      </c>
      <c r="L156" s="1" t="str">
        <f>IF(ISBLANK('Apollo Dock Status'!L156),"",'Apollo Dock Status'!L156)</f>
        <v/>
      </c>
      <c r="M156" s="1" t="str">
        <f>IF(ISBLANK('Apollo Dock Status'!M156),"",'Apollo Dock Status'!M156)</f>
        <v/>
      </c>
      <c r="N156" s="1" t="str">
        <f>IF(ISBLANK('Apollo Dock Status'!N156),"",'Apollo Dock Status'!N156)</f>
        <v/>
      </c>
      <c r="O156" s="1" t="str">
        <f t="shared" si="167"/>
        <v/>
      </c>
      <c r="P156" s="1" t="str">
        <f t="shared" si="168"/>
        <v/>
      </c>
      <c r="Q156" s="1" t="str">
        <f t="shared" si="169"/>
        <v/>
      </c>
      <c r="R156" s="1" t="str">
        <f t="shared" si="170"/>
        <v/>
      </c>
      <c r="S156" s="11" t="str">
        <f t="shared" si="171"/>
        <v/>
      </c>
      <c r="T156" s="1" t="str">
        <f t="shared" si="172"/>
        <v/>
      </c>
      <c r="U156" s="11" t="str">
        <f t="shared" si="173"/>
        <v/>
      </c>
      <c r="V156" s="11" t="str">
        <f t="shared" si="174"/>
        <v/>
      </c>
      <c r="X156" s="1" t="str">
        <f t="shared" si="175"/>
        <v/>
      </c>
      <c r="Y156" s="1" t="str">
        <f t="shared" si="176"/>
        <v/>
      </c>
      <c r="Z156" s="1" t="str">
        <f t="shared" si="177"/>
        <v/>
      </c>
      <c r="AB156" s="13">
        <f t="shared" ca="1" si="178"/>
        <v>46176</v>
      </c>
      <c r="AC156" s="1">
        <f t="shared" ca="1" si="179"/>
        <v>2026</v>
      </c>
      <c r="AD156" s="1" t="str">
        <f t="shared" ca="1" si="180"/>
        <v>6</v>
      </c>
      <c r="AE156" s="1">
        <f t="shared" si="181"/>
        <v>1</v>
      </c>
      <c r="AF156" s="1" t="str">
        <f t="shared" si="182"/>
        <v/>
      </c>
      <c r="AG156" s="1">
        <f t="shared" ca="1" si="183"/>
        <v>2026</v>
      </c>
      <c r="AH156" s="1">
        <f t="shared" si="184"/>
        <v>1</v>
      </c>
      <c r="AI156" s="1" t="str">
        <f t="shared" ca="1" si="185"/>
        <v>6</v>
      </c>
      <c r="AJ156" s="13" t="e">
        <f t="shared" ca="1" si="186"/>
        <v>#VALUE!</v>
      </c>
      <c r="AK156" s="1" t="e">
        <f>IF(ISBLANK(A156),"",IFERROR(MID(F156,SEARCH(", ",F156)+LEN(", "),SEARCH(" "&amp;'Exception Stores'!$A$2,F156)-SEARCH(", ",F156)-LEN(", ")),MID(F156,SEARCH(", ",F156)+LEN(", "),SEARCH(" "&amp;'Exception Stores'!$B$2,F156)-SEARCH(", ",F156)-LEN(", "))))</f>
        <v>#VALUE!</v>
      </c>
      <c r="AL156" s="1" t="e">
        <f t="shared" si="187"/>
        <v>#VALUE!</v>
      </c>
      <c r="AM156" s="15" t="e">
        <f t="shared" ca="1" si="188"/>
        <v>#VALUE!</v>
      </c>
      <c r="AN156" s="24" t="e">
        <f t="shared" ca="1" si="189"/>
        <v>#VALUE!</v>
      </c>
      <c r="AO156" s="1" t="e">
        <f t="shared" ca="1" si="190"/>
        <v>#VALUE!</v>
      </c>
      <c r="AP156" s="13" t="e">
        <f t="shared" ca="1" si="191"/>
        <v>#VALUE!</v>
      </c>
      <c r="AQ156" s="17" t="e">
        <f t="shared" ca="1" si="192"/>
        <v>#VALUE!</v>
      </c>
      <c r="AS156" s="15" t="e">
        <f t="shared" ca="1" si="193"/>
        <v>#VALUE!</v>
      </c>
      <c r="AT156" s="5">
        <f>'Exception Stores'!$D$2</f>
        <v>0.125</v>
      </c>
      <c r="AU156" s="15" t="e">
        <f t="shared" ca="1" si="194"/>
        <v>#VALUE!</v>
      </c>
      <c r="AV156" s="15" t="e">
        <f t="shared" ca="1" si="195"/>
        <v>#VALUE!</v>
      </c>
      <c r="AW156" s="15" t="e">
        <f t="shared" ca="1" si="196"/>
        <v>#VALUE!</v>
      </c>
      <c r="AX156" s="15" t="e">
        <f t="shared" ca="1" si="197"/>
        <v>#VALUE!</v>
      </c>
      <c r="AY156" s="15" t="e">
        <f t="shared" ca="1" si="198"/>
        <v>#VALUE!</v>
      </c>
      <c r="AZ156" s="1" t="e">
        <f t="shared" ca="1" si="199"/>
        <v>#VALUE!</v>
      </c>
      <c r="BA156" s="15" t="e">
        <f t="shared" ca="1" si="200"/>
        <v>#VALUE!</v>
      </c>
      <c r="BB156" s="15" t="e">
        <f t="shared" ca="1" si="201"/>
        <v>#VALUE!</v>
      </c>
      <c r="BC156" s="1" t="e">
        <f t="shared" ca="1" si="202"/>
        <v>#VALUE!</v>
      </c>
      <c r="BE156" s="15" t="str">
        <f>IF(ISBLANK('Exception Stores'!$A$6),"",'Exception Stores'!$A$6)</f>
        <v/>
      </c>
      <c r="BF156" s="15" t="str">
        <f>IF(ISBLANK('Exception Stores'!$B$6),"",'Exception Stores'!$B$6)</f>
        <v/>
      </c>
      <c r="BG156" s="1">
        <f>IF(ISBLANK('Exception Stores'!$A$6),0,IF($AN$2&gt;$BF$2,($AN$2-$BF$2)*24,0))</f>
        <v>0</v>
      </c>
      <c r="BH156" s="11">
        <f>IF(ISBLANK('Exception Stores'!$A$6),0,($BF$2-$BE$2)*24)</f>
        <v>0</v>
      </c>
      <c r="BI15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56" s="1">
        <f>IF(ISBLANK('Exception Stores'!$A$6),0,IF($AN$2&gt;$BF$2,0,IF(AND($AN$2&lt;$BF$2,$BT$2="B"),(($BF$2-$AN$2)*24)-$BS$2,($BF$2-$AN$2)*24)))</f>
        <v>0</v>
      </c>
      <c r="BL156" s="5"/>
      <c r="BM156" s="5"/>
      <c r="BN156" s="5"/>
      <c r="BO156" s="5"/>
      <c r="BP156" s="5"/>
      <c r="BV156" s="1" t="e">
        <f t="shared" ca="1" si="203"/>
        <v>#VALUE!</v>
      </c>
      <c r="BW156" s="1" t="e">
        <f t="shared" ca="1" si="204"/>
        <v>#VALUE!</v>
      </c>
      <c r="BX156" s="1" t="e">
        <f t="shared" ca="1" si="205"/>
        <v>#VALUE!</v>
      </c>
      <c r="BY156" s="1" t="e">
        <f t="shared" ca="1" si="206"/>
        <v>#VALUE!</v>
      </c>
      <c r="BZ156" s="1" t="e">
        <f t="shared" ca="1" si="207"/>
        <v>#VALUE!</v>
      </c>
      <c r="CB156" s="1" t="str">
        <f>IF(ISBLANK('Exception Stores'!$A$6),"",WEEKDAY($BF$2))</f>
        <v/>
      </c>
      <c r="CC156" s="1" t="str">
        <f>IF(ISBLANK('Exception Stores'!$A$6),"NO",IF('Exception Stores'!$A$6&lt;$AU$2,"YES","NO"))</f>
        <v>NO</v>
      </c>
      <c r="CD156" s="1" t="str">
        <f>IF(ISBLANK('Exception Stores'!$A$6),"NO",IF('Exception Stores'!$A$6&lt;$AV$2,"YES","NO"))</f>
        <v>NO</v>
      </c>
      <c r="CE156" s="1" t="str">
        <f>IF(ISBLANK('Exception Stores'!$A$6),"NO",IF('Exception Stores'!$A$6&lt;$AW$2,"YES","NO"))</f>
        <v>NO</v>
      </c>
      <c r="CF156" s="1" t="str">
        <f>IF(ISBLANK('Exception Stores'!$A$6),"NO",IF('Exception Stores'!$A$6&lt;$AX$2,"YES","NO"))</f>
        <v>NO</v>
      </c>
      <c r="CG156" s="1" t="str">
        <f>IF(ISBLANK('Exception Stores'!$A$6),"NO",IF('Exception Stores'!$A$6&lt;$AY$2,"YES","NO"))</f>
        <v>NO</v>
      </c>
      <c r="CI156" s="42" t="str">
        <f>IF(ISBLANK('Exception Stores'!$B$6),"NO",IF('Exception Stores'!$B$6&lt;=$AU$2,"YES","NO"))</f>
        <v>NO</v>
      </c>
      <c r="CJ156" s="42" t="str">
        <f>IF(ISBLANK('Exception Stores'!$B$6),"NO",IF('Exception Stores'!$B$6&lt;=$AV$2,"YES","NO"))</f>
        <v>NO</v>
      </c>
      <c r="CK156" s="1" t="str">
        <f>IF(ISBLANK('Exception Stores'!$B$6),"NO",IF('Exception Stores'!$B$6&lt;=$AW$2,"YES","NO"))</f>
        <v>NO</v>
      </c>
      <c r="CL156" s="1" t="str">
        <f>IF(ISBLANK('Exception Stores'!$B$6),"NO",IF('Exception Stores'!$B$6&lt;=$AX$2,"YES","NO"))</f>
        <v>NO</v>
      </c>
      <c r="CM156" s="1" t="str">
        <f>IF(ISBLANK('Exception Stores'!$B$6),"NO",IF('Exception Stores'!$B$6&lt;=$AY$2,"YES","NO"))</f>
        <v>NO</v>
      </c>
      <c r="CO156" s="1" t="e">
        <f ca="1">IF(AM156&lt;'Exception Stores'!$A$6,"YES","NO")</f>
        <v>#VALUE!</v>
      </c>
      <c r="CP156" s="1">
        <f t="shared" si="208"/>
        <v>0</v>
      </c>
      <c r="CQ156" s="1">
        <f t="shared" si="209"/>
        <v>0</v>
      </c>
      <c r="CR156" s="1">
        <f t="shared" si="210"/>
        <v>0</v>
      </c>
      <c r="CS156" s="1">
        <f t="shared" si="211"/>
        <v>0</v>
      </c>
      <c r="CT156" s="1">
        <f t="shared" si="212"/>
        <v>0</v>
      </c>
      <c r="CU156" s="1">
        <f t="shared" si="213"/>
        <v>0</v>
      </c>
      <c r="CW156" s="1" t="e">
        <f t="shared" ca="1" si="154"/>
        <v>#VALUE!</v>
      </c>
      <c r="CX156" s="1" t="e">
        <f t="shared" ca="1" si="155"/>
        <v>#VALUE!</v>
      </c>
      <c r="CY156" s="1" t="e">
        <f t="shared" ca="1" si="156"/>
        <v>#VALUE!</v>
      </c>
      <c r="CZ156" s="1" t="e">
        <f t="shared" ca="1" si="157"/>
        <v>#VALUE!</v>
      </c>
      <c r="DA156" s="1" t="e">
        <f t="shared" ca="1" si="158"/>
        <v>#VALUE!</v>
      </c>
      <c r="DB156" s="26" t="e">
        <f t="shared" ca="1" si="214"/>
        <v>#VALUE!</v>
      </c>
      <c r="DC156" s="1">
        <f t="shared" si="159"/>
        <v>0</v>
      </c>
      <c r="DD156" s="1">
        <f t="shared" si="160"/>
        <v>0</v>
      </c>
      <c r="DE156" s="1">
        <f t="shared" si="161"/>
        <v>0</v>
      </c>
      <c r="DF156" s="1">
        <f t="shared" si="162"/>
        <v>0</v>
      </c>
      <c r="DG156" s="1">
        <f t="shared" si="163"/>
        <v>0</v>
      </c>
      <c r="DH156" s="26">
        <f t="shared" si="215"/>
        <v>0</v>
      </c>
      <c r="DI156" s="1" t="e">
        <f t="shared" ca="1" si="216"/>
        <v>#VALUE!</v>
      </c>
      <c r="DK156" s="11" t="str">
        <f t="shared" si="164"/>
        <v/>
      </c>
      <c r="DL156" s="11" t="e">
        <f ca="1">IF(AND(NOT(ISBLANK('Exception Stores'!$A$6)),CO156="YES"),S156-$BH$2-(DI156*$BS$2)-(CU156*$BS$2),S156-(DB156*$BS$2))</f>
        <v>#VALUE!</v>
      </c>
      <c r="DM156" s="11" t="str">
        <f>IF(ISBLANK(A156),"",IF(COUNTIF(Remaps!$A$2:$A$200,B156)&gt;0,"YES",""))</f>
        <v>YES</v>
      </c>
      <c r="DN156" s="29">
        <f>IFERROR(INDEX(Remaps!$B$2:$B$200,MATCH(B156,Remaps!$A$2:$A$200,0),1),0)</f>
        <v>0</v>
      </c>
      <c r="DO156" s="11" t="e">
        <f t="shared" ca="1" si="165"/>
        <v>#VALUE!</v>
      </c>
      <c r="DP156" s="29" t="e">
        <f t="shared" si="166"/>
        <v>#VALUE!</v>
      </c>
      <c r="DQ156" s="11" t="e">
        <f ca="1">('Apollo Dock Status'!$Z$1-DP156)/DO156</f>
        <v>#VALUE!</v>
      </c>
      <c r="DR156" s="15" t="e">
        <f t="shared" ca="1" si="217"/>
        <v>#VALUE!</v>
      </c>
    </row>
    <row r="157" spans="1:122">
      <c r="A157" s="1" t="str">
        <f>IF(ISBLANK('Apollo Dock Status'!A157),"",'Apollo Dock Status'!A157)</f>
        <v/>
      </c>
      <c r="B157" s="1" t="str">
        <f>IF(ISBLANK('Apollo Dock Status'!B157),"",'Apollo Dock Status'!B157)</f>
        <v/>
      </c>
      <c r="C157" s="1" t="str">
        <f>IF(ISBLANK('Apollo Dock Status'!C157),"",'Apollo Dock Status'!C157)</f>
        <v/>
      </c>
      <c r="D157" s="1" t="str">
        <f>IF(ISBLANK('Apollo Dock Status'!D157),"",'Apollo Dock Status'!D157)</f>
        <v/>
      </c>
      <c r="E157" s="1" t="str">
        <f>IF(ISBLANK('Apollo Dock Status'!E157),"",'Apollo Dock Status'!E157)</f>
        <v/>
      </c>
      <c r="F157" s="1" t="str">
        <f>IF(ISBLANK('Apollo Dock Status'!F157),"",'Apollo Dock Status'!F157)</f>
        <v/>
      </c>
      <c r="G157" s="1" t="str">
        <f>IF(ISBLANK('Apollo Dock Status'!G157),"",'Apollo Dock Status'!G157)</f>
        <v/>
      </c>
      <c r="H157" s="1" t="str">
        <f>IF(ISBLANK('Apollo Dock Status'!H157),"",'Apollo Dock Status'!H157)</f>
        <v/>
      </c>
      <c r="I157" s="1" t="str">
        <f>IF(ISBLANK('Apollo Dock Status'!I157),"",'Apollo Dock Status'!I157)</f>
        <v/>
      </c>
      <c r="J157" s="1" t="str">
        <f>IF(ISBLANK('Apollo Dock Status'!J157),"",'Apollo Dock Status'!J157)</f>
        <v/>
      </c>
      <c r="K157" s="1" t="str">
        <f>IF(ISBLANK('Apollo Dock Status'!K157),"",'Apollo Dock Status'!K157)</f>
        <v/>
      </c>
      <c r="L157" s="1" t="str">
        <f>IF(ISBLANK('Apollo Dock Status'!L157),"",'Apollo Dock Status'!L157)</f>
        <v/>
      </c>
      <c r="M157" s="1" t="str">
        <f>IF(ISBLANK('Apollo Dock Status'!M157),"",'Apollo Dock Status'!M157)</f>
        <v/>
      </c>
      <c r="N157" s="1" t="str">
        <f>IF(ISBLANK('Apollo Dock Status'!N157),"",'Apollo Dock Status'!N157)</f>
        <v/>
      </c>
      <c r="O157" s="1" t="str">
        <f t="shared" si="167"/>
        <v/>
      </c>
      <c r="P157" s="1" t="str">
        <f t="shared" si="168"/>
        <v/>
      </c>
      <c r="Q157" s="1" t="str">
        <f t="shared" si="169"/>
        <v/>
      </c>
      <c r="R157" s="1" t="str">
        <f t="shared" si="170"/>
        <v/>
      </c>
      <c r="S157" s="11" t="str">
        <f t="shared" si="171"/>
        <v/>
      </c>
      <c r="T157" s="1" t="str">
        <f t="shared" si="172"/>
        <v/>
      </c>
      <c r="U157" s="11" t="str">
        <f t="shared" si="173"/>
        <v/>
      </c>
      <c r="V157" s="11" t="str">
        <f t="shared" si="174"/>
        <v/>
      </c>
      <c r="X157" s="1" t="str">
        <f t="shared" si="175"/>
        <v/>
      </c>
      <c r="Y157" s="1" t="str">
        <f t="shared" si="176"/>
        <v/>
      </c>
      <c r="Z157" s="1" t="str">
        <f t="shared" si="177"/>
        <v/>
      </c>
      <c r="AB157" s="13">
        <f t="shared" ca="1" si="178"/>
        <v>46176</v>
      </c>
      <c r="AC157" s="1">
        <f t="shared" ca="1" si="179"/>
        <v>2026</v>
      </c>
      <c r="AD157" s="1" t="str">
        <f t="shared" ca="1" si="180"/>
        <v>6</v>
      </c>
      <c r="AE157" s="1">
        <f t="shared" si="181"/>
        <v>1</v>
      </c>
      <c r="AF157" s="1" t="str">
        <f t="shared" si="182"/>
        <v/>
      </c>
      <c r="AG157" s="1">
        <f t="shared" ca="1" si="183"/>
        <v>2026</v>
      </c>
      <c r="AH157" s="1">
        <f t="shared" si="184"/>
        <v>1</v>
      </c>
      <c r="AI157" s="1" t="str">
        <f t="shared" ca="1" si="185"/>
        <v>6</v>
      </c>
      <c r="AJ157" s="13" t="e">
        <f t="shared" ca="1" si="186"/>
        <v>#VALUE!</v>
      </c>
      <c r="AK157" s="1" t="e">
        <f>IF(ISBLANK(A157),"",IFERROR(MID(F157,SEARCH(", ",F157)+LEN(", "),SEARCH(" "&amp;'Exception Stores'!$A$2,F157)-SEARCH(", ",F157)-LEN(", ")),MID(F157,SEARCH(", ",F157)+LEN(", "),SEARCH(" "&amp;'Exception Stores'!$B$2,F157)-SEARCH(", ",F157)-LEN(", "))))</f>
        <v>#VALUE!</v>
      </c>
      <c r="AL157" s="1" t="e">
        <f t="shared" si="187"/>
        <v>#VALUE!</v>
      </c>
      <c r="AM157" s="15" t="e">
        <f t="shared" ca="1" si="188"/>
        <v>#VALUE!</v>
      </c>
      <c r="AN157" s="24" t="e">
        <f t="shared" ca="1" si="189"/>
        <v>#VALUE!</v>
      </c>
      <c r="AO157" s="1" t="e">
        <f t="shared" ca="1" si="190"/>
        <v>#VALUE!</v>
      </c>
      <c r="AP157" s="13" t="e">
        <f t="shared" ca="1" si="191"/>
        <v>#VALUE!</v>
      </c>
      <c r="AQ157" s="17" t="e">
        <f t="shared" ca="1" si="192"/>
        <v>#VALUE!</v>
      </c>
      <c r="AS157" s="15" t="e">
        <f t="shared" ca="1" si="193"/>
        <v>#VALUE!</v>
      </c>
      <c r="AT157" s="5">
        <f>'Exception Stores'!$D$2</f>
        <v>0.125</v>
      </c>
      <c r="AU157" s="15" t="e">
        <f t="shared" ca="1" si="194"/>
        <v>#VALUE!</v>
      </c>
      <c r="AV157" s="15" t="e">
        <f t="shared" ca="1" si="195"/>
        <v>#VALUE!</v>
      </c>
      <c r="AW157" s="15" t="e">
        <f t="shared" ca="1" si="196"/>
        <v>#VALUE!</v>
      </c>
      <c r="AX157" s="15" t="e">
        <f t="shared" ca="1" si="197"/>
        <v>#VALUE!</v>
      </c>
      <c r="AY157" s="15" t="e">
        <f t="shared" ca="1" si="198"/>
        <v>#VALUE!</v>
      </c>
      <c r="AZ157" s="1" t="e">
        <f t="shared" ca="1" si="199"/>
        <v>#VALUE!</v>
      </c>
      <c r="BA157" s="15" t="e">
        <f t="shared" ca="1" si="200"/>
        <v>#VALUE!</v>
      </c>
      <c r="BB157" s="15" t="e">
        <f t="shared" ca="1" si="201"/>
        <v>#VALUE!</v>
      </c>
      <c r="BC157" s="1" t="e">
        <f t="shared" ca="1" si="202"/>
        <v>#VALUE!</v>
      </c>
      <c r="BE157" s="15" t="str">
        <f>IF(ISBLANK('Exception Stores'!$A$6),"",'Exception Stores'!$A$6)</f>
        <v/>
      </c>
      <c r="BF157" s="15" t="str">
        <f>IF(ISBLANK('Exception Stores'!$B$6),"",'Exception Stores'!$B$6)</f>
        <v/>
      </c>
      <c r="BG157" s="1">
        <f>IF(ISBLANK('Exception Stores'!$A$6),0,IF($AN$2&gt;$BF$2,($AN$2-$BF$2)*24,0))</f>
        <v>0</v>
      </c>
      <c r="BH157" s="11">
        <f>IF(ISBLANK('Exception Stores'!$A$6),0,($BF$2-$BE$2)*24)</f>
        <v>0</v>
      </c>
      <c r="BI15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57" s="1">
        <f>IF(ISBLANK('Exception Stores'!$A$6),0,IF($AN$2&gt;$BF$2,0,IF(AND($AN$2&lt;$BF$2,$BT$2="B"),(($BF$2-$AN$2)*24)-$BS$2,($BF$2-$AN$2)*24)))</f>
        <v>0</v>
      </c>
      <c r="BL157" s="5"/>
      <c r="BM157" s="5"/>
      <c r="BN157" s="5"/>
      <c r="BO157" s="5"/>
      <c r="BP157" s="5"/>
      <c r="BV157" s="1" t="e">
        <f t="shared" ca="1" si="203"/>
        <v>#VALUE!</v>
      </c>
      <c r="BW157" s="1" t="e">
        <f t="shared" ca="1" si="204"/>
        <v>#VALUE!</v>
      </c>
      <c r="BX157" s="1" t="e">
        <f t="shared" ca="1" si="205"/>
        <v>#VALUE!</v>
      </c>
      <c r="BY157" s="1" t="e">
        <f t="shared" ca="1" si="206"/>
        <v>#VALUE!</v>
      </c>
      <c r="BZ157" s="1" t="e">
        <f t="shared" ca="1" si="207"/>
        <v>#VALUE!</v>
      </c>
      <c r="CB157" s="1" t="str">
        <f>IF(ISBLANK('Exception Stores'!$A$6),"",WEEKDAY($BF$2))</f>
        <v/>
      </c>
      <c r="CC157" s="1" t="str">
        <f>IF(ISBLANK('Exception Stores'!$A$6),"NO",IF('Exception Stores'!$A$6&lt;$AU$2,"YES","NO"))</f>
        <v>NO</v>
      </c>
      <c r="CD157" s="1" t="str">
        <f>IF(ISBLANK('Exception Stores'!$A$6),"NO",IF('Exception Stores'!$A$6&lt;$AV$2,"YES","NO"))</f>
        <v>NO</v>
      </c>
      <c r="CE157" s="1" t="str">
        <f>IF(ISBLANK('Exception Stores'!$A$6),"NO",IF('Exception Stores'!$A$6&lt;$AW$2,"YES","NO"))</f>
        <v>NO</v>
      </c>
      <c r="CF157" s="1" t="str">
        <f>IF(ISBLANK('Exception Stores'!$A$6),"NO",IF('Exception Stores'!$A$6&lt;$AX$2,"YES","NO"))</f>
        <v>NO</v>
      </c>
      <c r="CG157" s="1" t="str">
        <f>IF(ISBLANK('Exception Stores'!$A$6),"NO",IF('Exception Stores'!$A$6&lt;$AY$2,"YES","NO"))</f>
        <v>NO</v>
      </c>
      <c r="CI157" s="42" t="str">
        <f>IF(ISBLANK('Exception Stores'!$B$6),"NO",IF('Exception Stores'!$B$6&lt;=$AU$2,"YES","NO"))</f>
        <v>NO</v>
      </c>
      <c r="CJ157" s="42" t="str">
        <f>IF(ISBLANK('Exception Stores'!$B$6),"NO",IF('Exception Stores'!$B$6&lt;=$AV$2,"YES","NO"))</f>
        <v>NO</v>
      </c>
      <c r="CK157" s="1" t="str">
        <f>IF(ISBLANK('Exception Stores'!$B$6),"NO",IF('Exception Stores'!$B$6&lt;=$AW$2,"YES","NO"))</f>
        <v>NO</v>
      </c>
      <c r="CL157" s="1" t="str">
        <f>IF(ISBLANK('Exception Stores'!$B$6),"NO",IF('Exception Stores'!$B$6&lt;=$AX$2,"YES","NO"))</f>
        <v>NO</v>
      </c>
      <c r="CM157" s="1" t="str">
        <f>IF(ISBLANK('Exception Stores'!$B$6),"NO",IF('Exception Stores'!$B$6&lt;=$AY$2,"YES","NO"))</f>
        <v>NO</v>
      </c>
      <c r="CO157" s="1" t="e">
        <f ca="1">IF(AM157&lt;'Exception Stores'!$A$6,"YES","NO")</f>
        <v>#VALUE!</v>
      </c>
      <c r="CP157" s="1">
        <f t="shared" si="208"/>
        <v>0</v>
      </c>
      <c r="CQ157" s="1">
        <f t="shared" si="209"/>
        <v>0</v>
      </c>
      <c r="CR157" s="1">
        <f t="shared" si="210"/>
        <v>0</v>
      </c>
      <c r="CS157" s="1">
        <f t="shared" si="211"/>
        <v>0</v>
      </c>
      <c r="CT157" s="1">
        <f t="shared" si="212"/>
        <v>0</v>
      </c>
      <c r="CU157" s="1">
        <f t="shared" si="213"/>
        <v>0</v>
      </c>
      <c r="CW157" s="1" t="e">
        <f t="shared" ca="1" si="154"/>
        <v>#VALUE!</v>
      </c>
      <c r="CX157" s="1" t="e">
        <f t="shared" ca="1" si="155"/>
        <v>#VALUE!</v>
      </c>
      <c r="CY157" s="1" t="e">
        <f t="shared" ca="1" si="156"/>
        <v>#VALUE!</v>
      </c>
      <c r="CZ157" s="1" t="e">
        <f t="shared" ca="1" si="157"/>
        <v>#VALUE!</v>
      </c>
      <c r="DA157" s="1" t="e">
        <f t="shared" ca="1" si="158"/>
        <v>#VALUE!</v>
      </c>
      <c r="DB157" s="26" t="e">
        <f t="shared" ca="1" si="214"/>
        <v>#VALUE!</v>
      </c>
      <c r="DC157" s="1">
        <f t="shared" si="159"/>
        <v>0</v>
      </c>
      <c r="DD157" s="1">
        <f t="shared" si="160"/>
        <v>0</v>
      </c>
      <c r="DE157" s="1">
        <f t="shared" si="161"/>
        <v>0</v>
      </c>
      <c r="DF157" s="1">
        <f t="shared" si="162"/>
        <v>0</v>
      </c>
      <c r="DG157" s="1">
        <f t="shared" si="163"/>
        <v>0</v>
      </c>
      <c r="DH157" s="26">
        <f t="shared" si="215"/>
        <v>0</v>
      </c>
      <c r="DI157" s="1" t="e">
        <f t="shared" ca="1" si="216"/>
        <v>#VALUE!</v>
      </c>
      <c r="DK157" s="11" t="str">
        <f t="shared" si="164"/>
        <v/>
      </c>
      <c r="DL157" s="11" t="e">
        <f ca="1">IF(AND(NOT(ISBLANK('Exception Stores'!$A$6)),CO157="YES"),S157-$BH$2-(DI157*$BS$2)-(CU157*$BS$2),S157-(DB157*$BS$2))</f>
        <v>#VALUE!</v>
      </c>
      <c r="DM157" s="11" t="str">
        <f>IF(ISBLANK(A157),"",IF(COUNTIF(Remaps!$A$2:$A$200,B157)&gt;0,"YES",""))</f>
        <v>YES</v>
      </c>
      <c r="DN157" s="29">
        <f>IFERROR(INDEX(Remaps!$B$2:$B$200,MATCH(B157,Remaps!$A$2:$A$200,0),1),0)</f>
        <v>0</v>
      </c>
      <c r="DO157" s="11" t="e">
        <f t="shared" ca="1" si="165"/>
        <v>#VALUE!</v>
      </c>
      <c r="DP157" s="29" t="e">
        <f t="shared" si="166"/>
        <v>#VALUE!</v>
      </c>
      <c r="DQ157" s="11" t="e">
        <f ca="1">('Apollo Dock Status'!$Z$1-DP157)/DO157</f>
        <v>#VALUE!</v>
      </c>
      <c r="DR157" s="15" t="e">
        <f t="shared" ca="1" si="217"/>
        <v>#VALUE!</v>
      </c>
    </row>
    <row r="158" spans="1:122">
      <c r="A158" s="1" t="str">
        <f>IF(ISBLANK('Apollo Dock Status'!A158),"",'Apollo Dock Status'!A158)</f>
        <v/>
      </c>
      <c r="B158" s="1" t="str">
        <f>IF(ISBLANK('Apollo Dock Status'!B158),"",'Apollo Dock Status'!B158)</f>
        <v/>
      </c>
      <c r="C158" s="1" t="str">
        <f>IF(ISBLANK('Apollo Dock Status'!C158),"",'Apollo Dock Status'!C158)</f>
        <v/>
      </c>
      <c r="D158" s="1" t="str">
        <f>IF(ISBLANK('Apollo Dock Status'!D158),"",'Apollo Dock Status'!D158)</f>
        <v/>
      </c>
      <c r="E158" s="1" t="str">
        <f>IF(ISBLANK('Apollo Dock Status'!E158),"",'Apollo Dock Status'!E158)</f>
        <v/>
      </c>
      <c r="F158" s="1" t="str">
        <f>IF(ISBLANK('Apollo Dock Status'!F158),"",'Apollo Dock Status'!F158)</f>
        <v/>
      </c>
      <c r="G158" s="1" t="str">
        <f>IF(ISBLANK('Apollo Dock Status'!G158),"",'Apollo Dock Status'!G158)</f>
        <v/>
      </c>
      <c r="H158" s="1" t="str">
        <f>IF(ISBLANK('Apollo Dock Status'!H158),"",'Apollo Dock Status'!H158)</f>
        <v/>
      </c>
      <c r="I158" s="1" t="str">
        <f>IF(ISBLANK('Apollo Dock Status'!I158),"",'Apollo Dock Status'!I158)</f>
        <v/>
      </c>
      <c r="J158" s="1" t="str">
        <f>IF(ISBLANK('Apollo Dock Status'!J158),"",'Apollo Dock Status'!J158)</f>
        <v/>
      </c>
      <c r="K158" s="1" t="str">
        <f>IF(ISBLANK('Apollo Dock Status'!K158),"",'Apollo Dock Status'!K158)</f>
        <v/>
      </c>
      <c r="L158" s="1" t="str">
        <f>IF(ISBLANK('Apollo Dock Status'!L158),"",'Apollo Dock Status'!L158)</f>
        <v/>
      </c>
      <c r="M158" s="1" t="str">
        <f>IF(ISBLANK('Apollo Dock Status'!M158),"",'Apollo Dock Status'!M158)</f>
        <v/>
      </c>
      <c r="N158" s="1" t="str">
        <f>IF(ISBLANK('Apollo Dock Status'!N158),"",'Apollo Dock Status'!N158)</f>
        <v/>
      </c>
      <c r="O158" s="1" t="str">
        <f t="shared" si="167"/>
        <v/>
      </c>
      <c r="P158" s="1" t="str">
        <f t="shared" si="168"/>
        <v/>
      </c>
      <c r="Q158" s="1" t="str">
        <f t="shared" si="169"/>
        <v/>
      </c>
      <c r="R158" s="1" t="str">
        <f t="shared" si="170"/>
        <v/>
      </c>
      <c r="S158" s="11" t="str">
        <f t="shared" si="171"/>
        <v/>
      </c>
      <c r="T158" s="1" t="str">
        <f t="shared" si="172"/>
        <v/>
      </c>
      <c r="U158" s="11" t="str">
        <f t="shared" si="173"/>
        <v/>
      </c>
      <c r="V158" s="11" t="str">
        <f t="shared" si="174"/>
        <v/>
      </c>
      <c r="X158" s="1" t="str">
        <f t="shared" si="175"/>
        <v/>
      </c>
      <c r="Y158" s="1" t="str">
        <f t="shared" si="176"/>
        <v/>
      </c>
      <c r="Z158" s="1" t="str">
        <f t="shared" si="177"/>
        <v/>
      </c>
      <c r="AB158" s="13">
        <f t="shared" ca="1" si="178"/>
        <v>46176</v>
      </c>
      <c r="AC158" s="1">
        <f t="shared" ca="1" si="179"/>
        <v>2026</v>
      </c>
      <c r="AD158" s="1" t="str">
        <f t="shared" ca="1" si="180"/>
        <v>6</v>
      </c>
      <c r="AE158" s="1">
        <f t="shared" si="181"/>
        <v>1</v>
      </c>
      <c r="AF158" s="1" t="str">
        <f t="shared" si="182"/>
        <v/>
      </c>
      <c r="AG158" s="1">
        <f t="shared" ca="1" si="183"/>
        <v>2026</v>
      </c>
      <c r="AH158" s="1">
        <f t="shared" si="184"/>
        <v>1</v>
      </c>
      <c r="AI158" s="1" t="str">
        <f t="shared" ca="1" si="185"/>
        <v>6</v>
      </c>
      <c r="AJ158" s="13" t="e">
        <f t="shared" ca="1" si="186"/>
        <v>#VALUE!</v>
      </c>
      <c r="AK158" s="1" t="e">
        <f>IF(ISBLANK(A158),"",IFERROR(MID(F158,SEARCH(", ",F158)+LEN(", "),SEARCH(" "&amp;'Exception Stores'!$A$2,F158)-SEARCH(", ",F158)-LEN(", ")),MID(F158,SEARCH(", ",F158)+LEN(", "),SEARCH(" "&amp;'Exception Stores'!$B$2,F158)-SEARCH(", ",F158)-LEN(", "))))</f>
        <v>#VALUE!</v>
      </c>
      <c r="AL158" s="1" t="e">
        <f t="shared" si="187"/>
        <v>#VALUE!</v>
      </c>
      <c r="AM158" s="15" t="e">
        <f t="shared" ca="1" si="188"/>
        <v>#VALUE!</v>
      </c>
      <c r="AN158" s="24" t="e">
        <f t="shared" ca="1" si="189"/>
        <v>#VALUE!</v>
      </c>
      <c r="AO158" s="1" t="e">
        <f t="shared" ca="1" si="190"/>
        <v>#VALUE!</v>
      </c>
      <c r="AP158" s="13" t="e">
        <f t="shared" ca="1" si="191"/>
        <v>#VALUE!</v>
      </c>
      <c r="AQ158" s="17" t="e">
        <f t="shared" ca="1" si="192"/>
        <v>#VALUE!</v>
      </c>
      <c r="AS158" s="15" t="e">
        <f t="shared" ca="1" si="193"/>
        <v>#VALUE!</v>
      </c>
      <c r="AT158" s="5">
        <f>'Exception Stores'!$D$2</f>
        <v>0.125</v>
      </c>
      <c r="AU158" s="15" t="e">
        <f t="shared" ca="1" si="194"/>
        <v>#VALUE!</v>
      </c>
      <c r="AV158" s="15" t="e">
        <f t="shared" ca="1" si="195"/>
        <v>#VALUE!</v>
      </c>
      <c r="AW158" s="15" t="e">
        <f t="shared" ca="1" si="196"/>
        <v>#VALUE!</v>
      </c>
      <c r="AX158" s="15" t="e">
        <f t="shared" ca="1" si="197"/>
        <v>#VALUE!</v>
      </c>
      <c r="AY158" s="15" t="e">
        <f t="shared" ca="1" si="198"/>
        <v>#VALUE!</v>
      </c>
      <c r="AZ158" s="1" t="e">
        <f t="shared" ca="1" si="199"/>
        <v>#VALUE!</v>
      </c>
      <c r="BA158" s="15" t="e">
        <f t="shared" ca="1" si="200"/>
        <v>#VALUE!</v>
      </c>
      <c r="BB158" s="15" t="e">
        <f t="shared" ca="1" si="201"/>
        <v>#VALUE!</v>
      </c>
      <c r="BC158" s="1" t="e">
        <f t="shared" ca="1" si="202"/>
        <v>#VALUE!</v>
      </c>
      <c r="BE158" s="15" t="str">
        <f>IF(ISBLANK('Exception Stores'!$A$6),"",'Exception Stores'!$A$6)</f>
        <v/>
      </c>
      <c r="BF158" s="15" t="str">
        <f>IF(ISBLANK('Exception Stores'!$B$6),"",'Exception Stores'!$B$6)</f>
        <v/>
      </c>
      <c r="BG158" s="1">
        <f>IF(ISBLANK('Exception Stores'!$A$6),0,IF($AN$2&gt;$BF$2,($AN$2-$BF$2)*24,0))</f>
        <v>0</v>
      </c>
      <c r="BH158" s="11">
        <f>IF(ISBLANK('Exception Stores'!$A$6),0,($BF$2-$BE$2)*24)</f>
        <v>0</v>
      </c>
      <c r="BI15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58" s="1">
        <f>IF(ISBLANK('Exception Stores'!$A$6),0,IF($AN$2&gt;$BF$2,0,IF(AND($AN$2&lt;$BF$2,$BT$2="B"),(($BF$2-$AN$2)*24)-$BS$2,($BF$2-$AN$2)*24)))</f>
        <v>0</v>
      </c>
      <c r="BL158" s="5"/>
      <c r="BM158" s="5"/>
      <c r="BN158" s="5"/>
      <c r="BO158" s="5"/>
      <c r="BP158" s="5"/>
      <c r="BV158" s="1" t="e">
        <f t="shared" ca="1" si="203"/>
        <v>#VALUE!</v>
      </c>
      <c r="BW158" s="1" t="e">
        <f t="shared" ca="1" si="204"/>
        <v>#VALUE!</v>
      </c>
      <c r="BX158" s="1" t="e">
        <f t="shared" ca="1" si="205"/>
        <v>#VALUE!</v>
      </c>
      <c r="BY158" s="1" t="e">
        <f t="shared" ca="1" si="206"/>
        <v>#VALUE!</v>
      </c>
      <c r="BZ158" s="1" t="e">
        <f t="shared" ca="1" si="207"/>
        <v>#VALUE!</v>
      </c>
      <c r="CB158" s="1" t="str">
        <f>IF(ISBLANK('Exception Stores'!$A$6),"",WEEKDAY($BF$2))</f>
        <v/>
      </c>
      <c r="CC158" s="1" t="str">
        <f>IF(ISBLANK('Exception Stores'!$A$6),"NO",IF('Exception Stores'!$A$6&lt;$AU$2,"YES","NO"))</f>
        <v>NO</v>
      </c>
      <c r="CD158" s="1" t="str">
        <f>IF(ISBLANK('Exception Stores'!$A$6),"NO",IF('Exception Stores'!$A$6&lt;$AV$2,"YES","NO"))</f>
        <v>NO</v>
      </c>
      <c r="CE158" s="1" t="str">
        <f>IF(ISBLANK('Exception Stores'!$A$6),"NO",IF('Exception Stores'!$A$6&lt;$AW$2,"YES","NO"))</f>
        <v>NO</v>
      </c>
      <c r="CF158" s="1" t="str">
        <f>IF(ISBLANK('Exception Stores'!$A$6),"NO",IF('Exception Stores'!$A$6&lt;$AX$2,"YES","NO"))</f>
        <v>NO</v>
      </c>
      <c r="CG158" s="1" t="str">
        <f>IF(ISBLANK('Exception Stores'!$A$6),"NO",IF('Exception Stores'!$A$6&lt;$AY$2,"YES","NO"))</f>
        <v>NO</v>
      </c>
      <c r="CI158" s="42" t="str">
        <f>IF(ISBLANK('Exception Stores'!$B$6),"NO",IF('Exception Stores'!$B$6&lt;=$AU$2,"YES","NO"))</f>
        <v>NO</v>
      </c>
      <c r="CJ158" s="42" t="str">
        <f>IF(ISBLANK('Exception Stores'!$B$6),"NO",IF('Exception Stores'!$B$6&lt;=$AV$2,"YES","NO"))</f>
        <v>NO</v>
      </c>
      <c r="CK158" s="1" t="str">
        <f>IF(ISBLANK('Exception Stores'!$B$6),"NO",IF('Exception Stores'!$B$6&lt;=$AW$2,"YES","NO"))</f>
        <v>NO</v>
      </c>
      <c r="CL158" s="1" t="str">
        <f>IF(ISBLANK('Exception Stores'!$B$6),"NO",IF('Exception Stores'!$B$6&lt;=$AX$2,"YES","NO"))</f>
        <v>NO</v>
      </c>
      <c r="CM158" s="1" t="str">
        <f>IF(ISBLANK('Exception Stores'!$B$6),"NO",IF('Exception Stores'!$B$6&lt;=$AY$2,"YES","NO"))</f>
        <v>NO</v>
      </c>
      <c r="CO158" s="1" t="e">
        <f ca="1">IF(AM158&lt;'Exception Stores'!$A$6,"YES","NO")</f>
        <v>#VALUE!</v>
      </c>
      <c r="CP158" s="1">
        <f t="shared" si="208"/>
        <v>0</v>
      </c>
      <c r="CQ158" s="1">
        <f t="shared" si="209"/>
        <v>0</v>
      </c>
      <c r="CR158" s="1">
        <f t="shared" si="210"/>
        <v>0</v>
      </c>
      <c r="CS158" s="1">
        <f t="shared" si="211"/>
        <v>0</v>
      </c>
      <c r="CT158" s="1">
        <f t="shared" si="212"/>
        <v>0</v>
      </c>
      <c r="CU158" s="1">
        <f t="shared" si="213"/>
        <v>0</v>
      </c>
      <c r="CW158" s="1" t="e">
        <f t="shared" ca="1" si="154"/>
        <v>#VALUE!</v>
      </c>
      <c r="CX158" s="1" t="e">
        <f t="shared" ca="1" si="155"/>
        <v>#VALUE!</v>
      </c>
      <c r="CY158" s="1" t="e">
        <f t="shared" ca="1" si="156"/>
        <v>#VALUE!</v>
      </c>
      <c r="CZ158" s="1" t="e">
        <f t="shared" ca="1" si="157"/>
        <v>#VALUE!</v>
      </c>
      <c r="DA158" s="1" t="e">
        <f t="shared" ca="1" si="158"/>
        <v>#VALUE!</v>
      </c>
      <c r="DB158" s="26" t="e">
        <f t="shared" ca="1" si="214"/>
        <v>#VALUE!</v>
      </c>
      <c r="DC158" s="1">
        <f t="shared" si="159"/>
        <v>0</v>
      </c>
      <c r="DD158" s="1">
        <f t="shared" si="160"/>
        <v>0</v>
      </c>
      <c r="DE158" s="1">
        <f t="shared" si="161"/>
        <v>0</v>
      </c>
      <c r="DF158" s="1">
        <f t="shared" si="162"/>
        <v>0</v>
      </c>
      <c r="DG158" s="1">
        <f t="shared" si="163"/>
        <v>0</v>
      </c>
      <c r="DH158" s="26">
        <f t="shared" si="215"/>
        <v>0</v>
      </c>
      <c r="DI158" s="1" t="e">
        <f t="shared" ca="1" si="216"/>
        <v>#VALUE!</v>
      </c>
      <c r="DK158" s="11" t="str">
        <f t="shared" si="164"/>
        <v/>
      </c>
      <c r="DL158" s="11" t="e">
        <f ca="1">IF(AND(NOT(ISBLANK('Exception Stores'!$A$6)),CO158="YES"),S158-$BH$2-(DI158*$BS$2)-(CU158*$BS$2),S158-(DB158*$BS$2))</f>
        <v>#VALUE!</v>
      </c>
      <c r="DM158" s="11" t="str">
        <f>IF(ISBLANK(A158),"",IF(COUNTIF(Remaps!$A$2:$A$200,B158)&gt;0,"YES",""))</f>
        <v>YES</v>
      </c>
      <c r="DN158" s="29">
        <f>IFERROR(INDEX(Remaps!$B$2:$B$200,MATCH(B158,Remaps!$A$2:$A$200,0),1),0)</f>
        <v>0</v>
      </c>
      <c r="DO158" s="11" t="e">
        <f t="shared" ca="1" si="165"/>
        <v>#VALUE!</v>
      </c>
      <c r="DP158" s="29" t="e">
        <f t="shared" si="166"/>
        <v>#VALUE!</v>
      </c>
      <c r="DQ158" s="11" t="e">
        <f ca="1">('Apollo Dock Status'!$Z$1-DP158)/DO158</f>
        <v>#VALUE!</v>
      </c>
      <c r="DR158" s="15" t="e">
        <f t="shared" ca="1" si="217"/>
        <v>#VALUE!</v>
      </c>
    </row>
    <row r="159" spans="1:122">
      <c r="A159" s="1" t="str">
        <f>IF(ISBLANK('Apollo Dock Status'!A159),"",'Apollo Dock Status'!A159)</f>
        <v/>
      </c>
      <c r="B159" s="1" t="str">
        <f>IF(ISBLANK('Apollo Dock Status'!B159),"",'Apollo Dock Status'!B159)</f>
        <v/>
      </c>
      <c r="C159" s="1" t="str">
        <f>IF(ISBLANK('Apollo Dock Status'!C159),"",'Apollo Dock Status'!C159)</f>
        <v/>
      </c>
      <c r="D159" s="1" t="str">
        <f>IF(ISBLANK('Apollo Dock Status'!D159),"",'Apollo Dock Status'!D159)</f>
        <v/>
      </c>
      <c r="E159" s="1" t="str">
        <f>IF(ISBLANK('Apollo Dock Status'!E159),"",'Apollo Dock Status'!E159)</f>
        <v/>
      </c>
      <c r="F159" s="1" t="str">
        <f>IF(ISBLANK('Apollo Dock Status'!F159),"",'Apollo Dock Status'!F159)</f>
        <v/>
      </c>
      <c r="G159" s="1" t="str">
        <f>IF(ISBLANK('Apollo Dock Status'!G159),"",'Apollo Dock Status'!G159)</f>
        <v/>
      </c>
      <c r="H159" s="1" t="str">
        <f>IF(ISBLANK('Apollo Dock Status'!H159),"",'Apollo Dock Status'!H159)</f>
        <v/>
      </c>
      <c r="I159" s="1" t="str">
        <f>IF(ISBLANK('Apollo Dock Status'!I159),"",'Apollo Dock Status'!I159)</f>
        <v/>
      </c>
      <c r="J159" s="1" t="str">
        <f>IF(ISBLANK('Apollo Dock Status'!J159),"",'Apollo Dock Status'!J159)</f>
        <v/>
      </c>
      <c r="K159" s="1" t="str">
        <f>IF(ISBLANK('Apollo Dock Status'!K159),"",'Apollo Dock Status'!K159)</f>
        <v/>
      </c>
      <c r="L159" s="1" t="str">
        <f>IF(ISBLANK('Apollo Dock Status'!L159),"",'Apollo Dock Status'!L159)</f>
        <v/>
      </c>
      <c r="M159" s="1" t="str">
        <f>IF(ISBLANK('Apollo Dock Status'!M159),"",'Apollo Dock Status'!M159)</f>
        <v/>
      </c>
      <c r="N159" s="1" t="str">
        <f>IF(ISBLANK('Apollo Dock Status'!N159),"",'Apollo Dock Status'!N159)</f>
        <v/>
      </c>
      <c r="O159" s="1" t="str">
        <f t="shared" si="167"/>
        <v/>
      </c>
      <c r="P159" s="1" t="str">
        <f t="shared" si="168"/>
        <v/>
      </c>
      <c r="Q159" s="1" t="str">
        <f t="shared" si="169"/>
        <v/>
      </c>
      <c r="R159" s="1" t="str">
        <f t="shared" si="170"/>
        <v/>
      </c>
      <c r="S159" s="11" t="str">
        <f t="shared" si="171"/>
        <v/>
      </c>
      <c r="T159" s="1" t="str">
        <f t="shared" si="172"/>
        <v/>
      </c>
      <c r="U159" s="11" t="str">
        <f t="shared" si="173"/>
        <v/>
      </c>
      <c r="V159" s="11" t="str">
        <f t="shared" si="174"/>
        <v/>
      </c>
      <c r="X159" s="1" t="str">
        <f t="shared" si="175"/>
        <v/>
      </c>
      <c r="Y159" s="1" t="str">
        <f t="shared" si="176"/>
        <v/>
      </c>
      <c r="Z159" s="1" t="str">
        <f t="shared" si="177"/>
        <v/>
      </c>
      <c r="AB159" s="13">
        <f t="shared" ca="1" si="178"/>
        <v>46176</v>
      </c>
      <c r="AC159" s="1">
        <f t="shared" ca="1" si="179"/>
        <v>2026</v>
      </c>
      <c r="AD159" s="1" t="str">
        <f t="shared" ca="1" si="180"/>
        <v>6</v>
      </c>
      <c r="AE159" s="1">
        <f t="shared" si="181"/>
        <v>1</v>
      </c>
      <c r="AF159" s="1" t="str">
        <f t="shared" si="182"/>
        <v/>
      </c>
      <c r="AG159" s="1">
        <f t="shared" ca="1" si="183"/>
        <v>2026</v>
      </c>
      <c r="AH159" s="1">
        <f t="shared" si="184"/>
        <v>1</v>
      </c>
      <c r="AI159" s="1" t="str">
        <f t="shared" ca="1" si="185"/>
        <v>6</v>
      </c>
      <c r="AJ159" s="13" t="e">
        <f t="shared" ca="1" si="186"/>
        <v>#VALUE!</v>
      </c>
      <c r="AK159" s="1" t="e">
        <f>IF(ISBLANK(A159),"",IFERROR(MID(F159,SEARCH(", ",F159)+LEN(", "),SEARCH(" "&amp;'Exception Stores'!$A$2,F159)-SEARCH(", ",F159)-LEN(", ")),MID(F159,SEARCH(", ",F159)+LEN(", "),SEARCH(" "&amp;'Exception Stores'!$B$2,F159)-SEARCH(", ",F159)-LEN(", "))))</f>
        <v>#VALUE!</v>
      </c>
      <c r="AL159" s="1" t="e">
        <f t="shared" si="187"/>
        <v>#VALUE!</v>
      </c>
      <c r="AM159" s="15" t="e">
        <f t="shared" ca="1" si="188"/>
        <v>#VALUE!</v>
      </c>
      <c r="AN159" s="24" t="e">
        <f t="shared" ca="1" si="189"/>
        <v>#VALUE!</v>
      </c>
      <c r="AO159" s="1" t="e">
        <f t="shared" ca="1" si="190"/>
        <v>#VALUE!</v>
      </c>
      <c r="AP159" s="13" t="e">
        <f t="shared" ca="1" si="191"/>
        <v>#VALUE!</v>
      </c>
      <c r="AQ159" s="17" t="e">
        <f t="shared" ca="1" si="192"/>
        <v>#VALUE!</v>
      </c>
      <c r="AS159" s="15" t="e">
        <f t="shared" ca="1" si="193"/>
        <v>#VALUE!</v>
      </c>
      <c r="AT159" s="5">
        <f>'Exception Stores'!$D$2</f>
        <v>0.125</v>
      </c>
      <c r="AU159" s="15" t="e">
        <f t="shared" ca="1" si="194"/>
        <v>#VALUE!</v>
      </c>
      <c r="AV159" s="15" t="e">
        <f t="shared" ca="1" si="195"/>
        <v>#VALUE!</v>
      </c>
      <c r="AW159" s="15" t="e">
        <f t="shared" ca="1" si="196"/>
        <v>#VALUE!</v>
      </c>
      <c r="AX159" s="15" t="e">
        <f t="shared" ca="1" si="197"/>
        <v>#VALUE!</v>
      </c>
      <c r="AY159" s="15" t="e">
        <f t="shared" ca="1" si="198"/>
        <v>#VALUE!</v>
      </c>
      <c r="AZ159" s="1" t="e">
        <f t="shared" ca="1" si="199"/>
        <v>#VALUE!</v>
      </c>
      <c r="BA159" s="15" t="e">
        <f t="shared" ca="1" si="200"/>
        <v>#VALUE!</v>
      </c>
      <c r="BB159" s="15" t="e">
        <f t="shared" ca="1" si="201"/>
        <v>#VALUE!</v>
      </c>
      <c r="BC159" s="1" t="e">
        <f t="shared" ca="1" si="202"/>
        <v>#VALUE!</v>
      </c>
      <c r="BE159" s="15" t="str">
        <f>IF(ISBLANK('Exception Stores'!$A$6),"",'Exception Stores'!$A$6)</f>
        <v/>
      </c>
      <c r="BF159" s="15" t="str">
        <f>IF(ISBLANK('Exception Stores'!$B$6),"",'Exception Stores'!$B$6)</f>
        <v/>
      </c>
      <c r="BG159" s="1">
        <f>IF(ISBLANK('Exception Stores'!$A$6),0,IF($AN$2&gt;$BF$2,($AN$2-$BF$2)*24,0))</f>
        <v>0</v>
      </c>
      <c r="BH159" s="11">
        <f>IF(ISBLANK('Exception Stores'!$A$6),0,($BF$2-$BE$2)*24)</f>
        <v>0</v>
      </c>
      <c r="BI15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59" s="1">
        <f>IF(ISBLANK('Exception Stores'!$A$6),0,IF($AN$2&gt;$BF$2,0,IF(AND($AN$2&lt;$BF$2,$BT$2="B"),(($BF$2-$AN$2)*24)-$BS$2,($BF$2-$AN$2)*24)))</f>
        <v>0</v>
      </c>
      <c r="BL159" s="5"/>
      <c r="BM159" s="5"/>
      <c r="BN159" s="5"/>
      <c r="BO159" s="5"/>
      <c r="BP159" s="5"/>
      <c r="BV159" s="1" t="e">
        <f t="shared" ca="1" si="203"/>
        <v>#VALUE!</v>
      </c>
      <c r="BW159" s="1" t="e">
        <f t="shared" ca="1" si="204"/>
        <v>#VALUE!</v>
      </c>
      <c r="BX159" s="1" t="e">
        <f t="shared" ca="1" si="205"/>
        <v>#VALUE!</v>
      </c>
      <c r="BY159" s="1" t="e">
        <f t="shared" ca="1" si="206"/>
        <v>#VALUE!</v>
      </c>
      <c r="BZ159" s="1" t="e">
        <f t="shared" ca="1" si="207"/>
        <v>#VALUE!</v>
      </c>
      <c r="CB159" s="1" t="str">
        <f>IF(ISBLANK('Exception Stores'!$A$6),"",WEEKDAY($BF$2))</f>
        <v/>
      </c>
      <c r="CC159" s="1" t="str">
        <f>IF(ISBLANK('Exception Stores'!$A$6),"NO",IF('Exception Stores'!$A$6&lt;$AU$2,"YES","NO"))</f>
        <v>NO</v>
      </c>
      <c r="CD159" s="1" t="str">
        <f>IF(ISBLANK('Exception Stores'!$A$6),"NO",IF('Exception Stores'!$A$6&lt;$AV$2,"YES","NO"))</f>
        <v>NO</v>
      </c>
      <c r="CE159" s="1" t="str">
        <f>IF(ISBLANK('Exception Stores'!$A$6),"NO",IF('Exception Stores'!$A$6&lt;$AW$2,"YES","NO"))</f>
        <v>NO</v>
      </c>
      <c r="CF159" s="1" t="str">
        <f>IF(ISBLANK('Exception Stores'!$A$6),"NO",IF('Exception Stores'!$A$6&lt;$AX$2,"YES","NO"))</f>
        <v>NO</v>
      </c>
      <c r="CG159" s="1" t="str">
        <f>IF(ISBLANK('Exception Stores'!$A$6),"NO",IF('Exception Stores'!$A$6&lt;$AY$2,"YES","NO"))</f>
        <v>NO</v>
      </c>
      <c r="CI159" s="42" t="str">
        <f>IF(ISBLANK('Exception Stores'!$B$6),"NO",IF('Exception Stores'!$B$6&lt;=$AU$2,"YES","NO"))</f>
        <v>NO</v>
      </c>
      <c r="CJ159" s="42" t="str">
        <f>IF(ISBLANK('Exception Stores'!$B$6),"NO",IF('Exception Stores'!$B$6&lt;=$AV$2,"YES","NO"))</f>
        <v>NO</v>
      </c>
      <c r="CK159" s="1" t="str">
        <f>IF(ISBLANK('Exception Stores'!$B$6),"NO",IF('Exception Stores'!$B$6&lt;=$AW$2,"YES","NO"))</f>
        <v>NO</v>
      </c>
      <c r="CL159" s="1" t="str">
        <f>IF(ISBLANK('Exception Stores'!$B$6),"NO",IF('Exception Stores'!$B$6&lt;=$AX$2,"YES","NO"))</f>
        <v>NO</v>
      </c>
      <c r="CM159" s="1" t="str">
        <f>IF(ISBLANK('Exception Stores'!$B$6),"NO",IF('Exception Stores'!$B$6&lt;=$AY$2,"YES","NO"))</f>
        <v>NO</v>
      </c>
      <c r="CO159" s="1" t="e">
        <f ca="1">IF(AM159&lt;'Exception Stores'!$A$6,"YES","NO")</f>
        <v>#VALUE!</v>
      </c>
      <c r="CP159" s="1">
        <f t="shared" si="208"/>
        <v>0</v>
      </c>
      <c r="CQ159" s="1">
        <f t="shared" si="209"/>
        <v>0</v>
      </c>
      <c r="CR159" s="1">
        <f t="shared" si="210"/>
        <v>0</v>
      </c>
      <c r="CS159" s="1">
        <f t="shared" si="211"/>
        <v>0</v>
      </c>
      <c r="CT159" s="1">
        <f t="shared" si="212"/>
        <v>0</v>
      </c>
      <c r="CU159" s="1">
        <f t="shared" si="213"/>
        <v>0</v>
      </c>
      <c r="CW159" s="1" t="e">
        <f t="shared" ca="1" si="154"/>
        <v>#VALUE!</v>
      </c>
      <c r="CX159" s="1" t="e">
        <f t="shared" ca="1" si="155"/>
        <v>#VALUE!</v>
      </c>
      <c r="CY159" s="1" t="e">
        <f t="shared" ca="1" si="156"/>
        <v>#VALUE!</v>
      </c>
      <c r="CZ159" s="1" t="e">
        <f t="shared" ca="1" si="157"/>
        <v>#VALUE!</v>
      </c>
      <c r="DA159" s="1" t="e">
        <f t="shared" ca="1" si="158"/>
        <v>#VALUE!</v>
      </c>
      <c r="DB159" s="26" t="e">
        <f t="shared" ca="1" si="214"/>
        <v>#VALUE!</v>
      </c>
      <c r="DC159" s="1">
        <f t="shared" si="159"/>
        <v>0</v>
      </c>
      <c r="DD159" s="1">
        <f t="shared" si="160"/>
        <v>0</v>
      </c>
      <c r="DE159" s="1">
        <f t="shared" si="161"/>
        <v>0</v>
      </c>
      <c r="DF159" s="1">
        <f t="shared" si="162"/>
        <v>0</v>
      </c>
      <c r="DG159" s="1">
        <f t="shared" si="163"/>
        <v>0</v>
      </c>
      <c r="DH159" s="26">
        <f t="shared" si="215"/>
        <v>0</v>
      </c>
      <c r="DI159" s="1" t="e">
        <f t="shared" ca="1" si="216"/>
        <v>#VALUE!</v>
      </c>
      <c r="DK159" s="11" t="str">
        <f t="shared" si="164"/>
        <v/>
      </c>
      <c r="DL159" s="11" t="e">
        <f ca="1">IF(AND(NOT(ISBLANK('Exception Stores'!$A$6)),CO159="YES"),S159-$BH$2-(DI159*$BS$2)-(CU159*$BS$2),S159-(DB159*$BS$2))</f>
        <v>#VALUE!</v>
      </c>
      <c r="DM159" s="11" t="str">
        <f>IF(ISBLANK(A159),"",IF(COUNTIF(Remaps!$A$2:$A$200,B159)&gt;0,"YES",""))</f>
        <v>YES</v>
      </c>
      <c r="DN159" s="29">
        <f>IFERROR(INDEX(Remaps!$B$2:$B$200,MATCH(B159,Remaps!$A$2:$A$200,0),1),0)</f>
        <v>0</v>
      </c>
      <c r="DO159" s="11" t="e">
        <f t="shared" ca="1" si="165"/>
        <v>#VALUE!</v>
      </c>
      <c r="DP159" s="29" t="e">
        <f t="shared" si="166"/>
        <v>#VALUE!</v>
      </c>
      <c r="DQ159" s="11" t="e">
        <f ca="1">('Apollo Dock Status'!$Z$1-DP159)/DO159</f>
        <v>#VALUE!</v>
      </c>
      <c r="DR159" s="15" t="e">
        <f t="shared" ca="1" si="217"/>
        <v>#VALUE!</v>
      </c>
    </row>
    <row r="160" spans="1:122">
      <c r="A160" s="1" t="str">
        <f>IF(ISBLANK('Apollo Dock Status'!A160),"",'Apollo Dock Status'!A160)</f>
        <v/>
      </c>
      <c r="B160" s="1" t="str">
        <f>IF(ISBLANK('Apollo Dock Status'!B160),"",'Apollo Dock Status'!B160)</f>
        <v/>
      </c>
      <c r="C160" s="1" t="str">
        <f>IF(ISBLANK('Apollo Dock Status'!C160),"",'Apollo Dock Status'!C160)</f>
        <v/>
      </c>
      <c r="D160" s="1" t="str">
        <f>IF(ISBLANK('Apollo Dock Status'!D160),"",'Apollo Dock Status'!D160)</f>
        <v/>
      </c>
      <c r="E160" s="1" t="str">
        <f>IF(ISBLANK('Apollo Dock Status'!E160),"",'Apollo Dock Status'!E160)</f>
        <v/>
      </c>
      <c r="F160" s="1" t="str">
        <f>IF(ISBLANK('Apollo Dock Status'!F160),"",'Apollo Dock Status'!F160)</f>
        <v/>
      </c>
      <c r="G160" s="1" t="str">
        <f>IF(ISBLANK('Apollo Dock Status'!G160),"",'Apollo Dock Status'!G160)</f>
        <v/>
      </c>
      <c r="H160" s="1" t="str">
        <f>IF(ISBLANK('Apollo Dock Status'!H160),"",'Apollo Dock Status'!H160)</f>
        <v/>
      </c>
      <c r="I160" s="1" t="str">
        <f>IF(ISBLANK('Apollo Dock Status'!I160),"",'Apollo Dock Status'!I160)</f>
        <v/>
      </c>
      <c r="J160" s="1" t="str">
        <f>IF(ISBLANK('Apollo Dock Status'!J160),"",'Apollo Dock Status'!J160)</f>
        <v/>
      </c>
      <c r="K160" s="1" t="str">
        <f>IF(ISBLANK('Apollo Dock Status'!K160),"",'Apollo Dock Status'!K160)</f>
        <v/>
      </c>
      <c r="L160" s="1" t="str">
        <f>IF(ISBLANK('Apollo Dock Status'!L160),"",'Apollo Dock Status'!L160)</f>
        <v/>
      </c>
      <c r="M160" s="1" t="str">
        <f>IF(ISBLANK('Apollo Dock Status'!M160),"",'Apollo Dock Status'!M160)</f>
        <v/>
      </c>
      <c r="N160" s="1" t="str">
        <f>IF(ISBLANK('Apollo Dock Status'!N160),"",'Apollo Dock Status'!N160)</f>
        <v/>
      </c>
      <c r="O160" s="1" t="str">
        <f t="shared" si="167"/>
        <v/>
      </c>
      <c r="P160" s="1" t="str">
        <f t="shared" si="168"/>
        <v/>
      </c>
      <c r="Q160" s="1" t="str">
        <f t="shared" si="169"/>
        <v/>
      </c>
      <c r="R160" s="1" t="str">
        <f t="shared" si="170"/>
        <v/>
      </c>
      <c r="S160" s="11" t="str">
        <f t="shared" si="171"/>
        <v/>
      </c>
      <c r="T160" s="1" t="str">
        <f t="shared" si="172"/>
        <v/>
      </c>
      <c r="U160" s="11" t="str">
        <f t="shared" si="173"/>
        <v/>
      </c>
      <c r="V160" s="11" t="str">
        <f t="shared" si="174"/>
        <v/>
      </c>
      <c r="X160" s="1" t="str">
        <f t="shared" si="175"/>
        <v/>
      </c>
      <c r="Y160" s="1" t="str">
        <f t="shared" si="176"/>
        <v/>
      </c>
      <c r="Z160" s="1" t="str">
        <f t="shared" si="177"/>
        <v/>
      </c>
      <c r="AB160" s="13">
        <f t="shared" ca="1" si="178"/>
        <v>46176</v>
      </c>
      <c r="AC160" s="1">
        <f t="shared" ca="1" si="179"/>
        <v>2026</v>
      </c>
      <c r="AD160" s="1" t="str">
        <f t="shared" ca="1" si="180"/>
        <v>6</v>
      </c>
      <c r="AE160" s="1">
        <f t="shared" si="181"/>
        <v>1</v>
      </c>
      <c r="AF160" s="1" t="str">
        <f t="shared" si="182"/>
        <v/>
      </c>
      <c r="AG160" s="1">
        <f t="shared" ca="1" si="183"/>
        <v>2026</v>
      </c>
      <c r="AH160" s="1">
        <f t="shared" si="184"/>
        <v>1</v>
      </c>
      <c r="AI160" s="1" t="str">
        <f t="shared" ca="1" si="185"/>
        <v>6</v>
      </c>
      <c r="AJ160" s="13" t="e">
        <f t="shared" ca="1" si="186"/>
        <v>#VALUE!</v>
      </c>
      <c r="AK160" s="1" t="e">
        <f>IF(ISBLANK(A160),"",IFERROR(MID(F160,SEARCH(", ",F160)+LEN(", "),SEARCH(" "&amp;'Exception Stores'!$A$2,F160)-SEARCH(", ",F160)-LEN(", ")),MID(F160,SEARCH(", ",F160)+LEN(", "),SEARCH(" "&amp;'Exception Stores'!$B$2,F160)-SEARCH(", ",F160)-LEN(", "))))</f>
        <v>#VALUE!</v>
      </c>
      <c r="AL160" s="1" t="e">
        <f t="shared" si="187"/>
        <v>#VALUE!</v>
      </c>
      <c r="AM160" s="15" t="e">
        <f t="shared" ca="1" si="188"/>
        <v>#VALUE!</v>
      </c>
      <c r="AN160" s="24" t="e">
        <f t="shared" ca="1" si="189"/>
        <v>#VALUE!</v>
      </c>
      <c r="AO160" s="1" t="e">
        <f t="shared" ca="1" si="190"/>
        <v>#VALUE!</v>
      </c>
      <c r="AP160" s="13" t="e">
        <f t="shared" ca="1" si="191"/>
        <v>#VALUE!</v>
      </c>
      <c r="AQ160" s="17" t="e">
        <f t="shared" ca="1" si="192"/>
        <v>#VALUE!</v>
      </c>
      <c r="AS160" s="15" t="e">
        <f t="shared" ca="1" si="193"/>
        <v>#VALUE!</v>
      </c>
      <c r="AT160" s="5">
        <f>'Exception Stores'!$D$2</f>
        <v>0.125</v>
      </c>
      <c r="AU160" s="15" t="e">
        <f t="shared" ca="1" si="194"/>
        <v>#VALUE!</v>
      </c>
      <c r="AV160" s="15" t="e">
        <f t="shared" ca="1" si="195"/>
        <v>#VALUE!</v>
      </c>
      <c r="AW160" s="15" t="e">
        <f t="shared" ca="1" si="196"/>
        <v>#VALUE!</v>
      </c>
      <c r="AX160" s="15" t="e">
        <f t="shared" ca="1" si="197"/>
        <v>#VALUE!</v>
      </c>
      <c r="AY160" s="15" t="e">
        <f t="shared" ca="1" si="198"/>
        <v>#VALUE!</v>
      </c>
      <c r="AZ160" s="1" t="e">
        <f t="shared" ca="1" si="199"/>
        <v>#VALUE!</v>
      </c>
      <c r="BA160" s="15" t="e">
        <f t="shared" ca="1" si="200"/>
        <v>#VALUE!</v>
      </c>
      <c r="BB160" s="15" t="e">
        <f t="shared" ca="1" si="201"/>
        <v>#VALUE!</v>
      </c>
      <c r="BC160" s="1" t="e">
        <f t="shared" ca="1" si="202"/>
        <v>#VALUE!</v>
      </c>
      <c r="BE160" s="15" t="str">
        <f>IF(ISBLANK('Exception Stores'!$A$6),"",'Exception Stores'!$A$6)</f>
        <v/>
      </c>
      <c r="BF160" s="15" t="str">
        <f>IF(ISBLANK('Exception Stores'!$B$6),"",'Exception Stores'!$B$6)</f>
        <v/>
      </c>
      <c r="BG160" s="1">
        <f>IF(ISBLANK('Exception Stores'!$A$6),0,IF($AN$2&gt;$BF$2,($AN$2-$BF$2)*24,0))</f>
        <v>0</v>
      </c>
      <c r="BH160" s="11">
        <f>IF(ISBLANK('Exception Stores'!$A$6),0,($BF$2-$BE$2)*24)</f>
        <v>0</v>
      </c>
      <c r="BI16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60" s="1">
        <f>IF(ISBLANK('Exception Stores'!$A$6),0,IF($AN$2&gt;$BF$2,0,IF(AND($AN$2&lt;$BF$2,$BT$2="B"),(($BF$2-$AN$2)*24)-$BS$2,($BF$2-$AN$2)*24)))</f>
        <v>0</v>
      </c>
      <c r="BL160" s="5"/>
      <c r="BM160" s="5"/>
      <c r="BN160" s="5"/>
      <c r="BO160" s="5"/>
      <c r="BP160" s="5"/>
      <c r="BV160" s="1" t="e">
        <f t="shared" ca="1" si="203"/>
        <v>#VALUE!</v>
      </c>
      <c r="BW160" s="1" t="e">
        <f t="shared" ca="1" si="204"/>
        <v>#VALUE!</v>
      </c>
      <c r="BX160" s="1" t="e">
        <f t="shared" ca="1" si="205"/>
        <v>#VALUE!</v>
      </c>
      <c r="BY160" s="1" t="e">
        <f t="shared" ca="1" si="206"/>
        <v>#VALUE!</v>
      </c>
      <c r="BZ160" s="1" t="e">
        <f t="shared" ca="1" si="207"/>
        <v>#VALUE!</v>
      </c>
      <c r="CB160" s="1" t="str">
        <f>IF(ISBLANK('Exception Stores'!$A$6),"",WEEKDAY($BF$2))</f>
        <v/>
      </c>
      <c r="CC160" s="1" t="str">
        <f>IF(ISBLANK('Exception Stores'!$A$6),"NO",IF('Exception Stores'!$A$6&lt;$AU$2,"YES","NO"))</f>
        <v>NO</v>
      </c>
      <c r="CD160" s="1" t="str">
        <f>IF(ISBLANK('Exception Stores'!$A$6),"NO",IF('Exception Stores'!$A$6&lt;$AV$2,"YES","NO"))</f>
        <v>NO</v>
      </c>
      <c r="CE160" s="1" t="str">
        <f>IF(ISBLANK('Exception Stores'!$A$6),"NO",IF('Exception Stores'!$A$6&lt;$AW$2,"YES","NO"))</f>
        <v>NO</v>
      </c>
      <c r="CF160" s="1" t="str">
        <f>IF(ISBLANK('Exception Stores'!$A$6),"NO",IF('Exception Stores'!$A$6&lt;$AX$2,"YES","NO"))</f>
        <v>NO</v>
      </c>
      <c r="CG160" s="1" t="str">
        <f>IF(ISBLANK('Exception Stores'!$A$6),"NO",IF('Exception Stores'!$A$6&lt;$AY$2,"YES","NO"))</f>
        <v>NO</v>
      </c>
      <c r="CI160" s="42" t="str">
        <f>IF(ISBLANK('Exception Stores'!$B$6),"NO",IF('Exception Stores'!$B$6&lt;=$AU$2,"YES","NO"))</f>
        <v>NO</v>
      </c>
      <c r="CJ160" s="42" t="str">
        <f>IF(ISBLANK('Exception Stores'!$B$6),"NO",IF('Exception Stores'!$B$6&lt;=$AV$2,"YES","NO"))</f>
        <v>NO</v>
      </c>
      <c r="CK160" s="1" t="str">
        <f>IF(ISBLANK('Exception Stores'!$B$6),"NO",IF('Exception Stores'!$B$6&lt;=$AW$2,"YES","NO"))</f>
        <v>NO</v>
      </c>
      <c r="CL160" s="1" t="str">
        <f>IF(ISBLANK('Exception Stores'!$B$6),"NO",IF('Exception Stores'!$B$6&lt;=$AX$2,"YES","NO"))</f>
        <v>NO</v>
      </c>
      <c r="CM160" s="1" t="str">
        <f>IF(ISBLANK('Exception Stores'!$B$6),"NO",IF('Exception Stores'!$B$6&lt;=$AY$2,"YES","NO"))</f>
        <v>NO</v>
      </c>
      <c r="CO160" s="1" t="e">
        <f ca="1">IF(AM160&lt;'Exception Stores'!$A$6,"YES","NO")</f>
        <v>#VALUE!</v>
      </c>
      <c r="CP160" s="1">
        <f t="shared" si="208"/>
        <v>0</v>
      </c>
      <c r="CQ160" s="1">
        <f t="shared" si="209"/>
        <v>0</v>
      </c>
      <c r="CR160" s="1">
        <f t="shared" si="210"/>
        <v>0</v>
      </c>
      <c r="CS160" s="1">
        <f t="shared" si="211"/>
        <v>0</v>
      </c>
      <c r="CT160" s="1">
        <f t="shared" si="212"/>
        <v>0</v>
      </c>
      <c r="CU160" s="1">
        <f t="shared" si="213"/>
        <v>0</v>
      </c>
      <c r="CW160" s="1" t="e">
        <f t="shared" ca="1" si="154"/>
        <v>#VALUE!</v>
      </c>
      <c r="CX160" s="1" t="e">
        <f t="shared" ca="1" si="155"/>
        <v>#VALUE!</v>
      </c>
      <c r="CY160" s="1" t="e">
        <f t="shared" ca="1" si="156"/>
        <v>#VALUE!</v>
      </c>
      <c r="CZ160" s="1" t="e">
        <f t="shared" ca="1" si="157"/>
        <v>#VALUE!</v>
      </c>
      <c r="DA160" s="1" t="e">
        <f t="shared" ca="1" si="158"/>
        <v>#VALUE!</v>
      </c>
      <c r="DB160" s="26" t="e">
        <f t="shared" ca="1" si="214"/>
        <v>#VALUE!</v>
      </c>
      <c r="DC160" s="1">
        <f t="shared" si="159"/>
        <v>0</v>
      </c>
      <c r="DD160" s="1">
        <f t="shared" si="160"/>
        <v>0</v>
      </c>
      <c r="DE160" s="1">
        <f t="shared" si="161"/>
        <v>0</v>
      </c>
      <c r="DF160" s="1">
        <f t="shared" si="162"/>
        <v>0</v>
      </c>
      <c r="DG160" s="1">
        <f t="shared" si="163"/>
        <v>0</v>
      </c>
      <c r="DH160" s="26">
        <f t="shared" si="215"/>
        <v>0</v>
      </c>
      <c r="DI160" s="1" t="e">
        <f t="shared" ca="1" si="216"/>
        <v>#VALUE!</v>
      </c>
      <c r="DK160" s="11" t="str">
        <f t="shared" si="164"/>
        <v/>
      </c>
      <c r="DL160" s="11" t="e">
        <f ca="1">IF(AND(NOT(ISBLANK('Exception Stores'!$A$6)),CO160="YES"),S160-$BH$2-(DI160*$BS$2)-(CU160*$BS$2),S160-(DB160*$BS$2))</f>
        <v>#VALUE!</v>
      </c>
      <c r="DM160" s="11" t="str">
        <f>IF(ISBLANK(A160),"",IF(COUNTIF(Remaps!$A$2:$A$200,B160)&gt;0,"YES",""))</f>
        <v>YES</v>
      </c>
      <c r="DN160" s="29">
        <f>IFERROR(INDEX(Remaps!$B$2:$B$200,MATCH(B160,Remaps!$A$2:$A$200,0),1),0)</f>
        <v>0</v>
      </c>
      <c r="DO160" s="11" t="e">
        <f t="shared" ca="1" si="165"/>
        <v>#VALUE!</v>
      </c>
      <c r="DP160" s="29" t="e">
        <f t="shared" si="166"/>
        <v>#VALUE!</v>
      </c>
      <c r="DQ160" s="11" t="e">
        <f ca="1">('Apollo Dock Status'!$Z$1-DP160)/DO160</f>
        <v>#VALUE!</v>
      </c>
      <c r="DR160" s="15" t="e">
        <f t="shared" ca="1" si="217"/>
        <v>#VALUE!</v>
      </c>
    </row>
    <row r="161" spans="1:122">
      <c r="A161" s="1" t="str">
        <f>IF(ISBLANK('Apollo Dock Status'!A161),"",'Apollo Dock Status'!A161)</f>
        <v/>
      </c>
      <c r="B161" s="1" t="str">
        <f>IF(ISBLANK('Apollo Dock Status'!B161),"",'Apollo Dock Status'!B161)</f>
        <v/>
      </c>
      <c r="C161" s="1" t="str">
        <f>IF(ISBLANK('Apollo Dock Status'!C161),"",'Apollo Dock Status'!C161)</f>
        <v/>
      </c>
      <c r="D161" s="1" t="str">
        <f>IF(ISBLANK('Apollo Dock Status'!D161),"",'Apollo Dock Status'!D161)</f>
        <v/>
      </c>
      <c r="E161" s="1" t="str">
        <f>IF(ISBLANK('Apollo Dock Status'!E161),"",'Apollo Dock Status'!E161)</f>
        <v/>
      </c>
      <c r="F161" s="1" t="str">
        <f>IF(ISBLANK('Apollo Dock Status'!F161),"",'Apollo Dock Status'!F161)</f>
        <v/>
      </c>
      <c r="G161" s="1" t="str">
        <f>IF(ISBLANK('Apollo Dock Status'!G161),"",'Apollo Dock Status'!G161)</f>
        <v/>
      </c>
      <c r="H161" s="1" t="str">
        <f>IF(ISBLANK('Apollo Dock Status'!H161),"",'Apollo Dock Status'!H161)</f>
        <v/>
      </c>
      <c r="I161" s="1" t="str">
        <f>IF(ISBLANK('Apollo Dock Status'!I161),"",'Apollo Dock Status'!I161)</f>
        <v/>
      </c>
      <c r="J161" s="1" t="str">
        <f>IF(ISBLANK('Apollo Dock Status'!J161),"",'Apollo Dock Status'!J161)</f>
        <v/>
      </c>
      <c r="K161" s="1" t="str">
        <f>IF(ISBLANK('Apollo Dock Status'!K161),"",'Apollo Dock Status'!K161)</f>
        <v/>
      </c>
      <c r="L161" s="1" t="str">
        <f>IF(ISBLANK('Apollo Dock Status'!L161),"",'Apollo Dock Status'!L161)</f>
        <v/>
      </c>
      <c r="M161" s="1" t="str">
        <f>IF(ISBLANK('Apollo Dock Status'!M161),"",'Apollo Dock Status'!M161)</f>
        <v/>
      </c>
      <c r="N161" s="1" t="str">
        <f>IF(ISBLANK('Apollo Dock Status'!N161),"",'Apollo Dock Status'!N161)</f>
        <v/>
      </c>
      <c r="O161" s="1" t="str">
        <f t="shared" si="167"/>
        <v/>
      </c>
      <c r="P161" s="1" t="str">
        <f t="shared" si="168"/>
        <v/>
      </c>
      <c r="Q161" s="1" t="str">
        <f t="shared" si="169"/>
        <v/>
      </c>
      <c r="R161" s="1" t="str">
        <f t="shared" si="170"/>
        <v/>
      </c>
      <c r="S161" s="11" t="str">
        <f t="shared" si="171"/>
        <v/>
      </c>
      <c r="T161" s="1" t="str">
        <f t="shared" si="172"/>
        <v/>
      </c>
      <c r="U161" s="11" t="str">
        <f t="shared" si="173"/>
        <v/>
      </c>
      <c r="V161" s="11" t="str">
        <f t="shared" si="174"/>
        <v/>
      </c>
      <c r="X161" s="1" t="str">
        <f t="shared" si="175"/>
        <v/>
      </c>
      <c r="Y161" s="1" t="str">
        <f t="shared" si="176"/>
        <v/>
      </c>
      <c r="Z161" s="1" t="str">
        <f t="shared" si="177"/>
        <v/>
      </c>
      <c r="AB161" s="13">
        <f t="shared" ca="1" si="178"/>
        <v>46176</v>
      </c>
      <c r="AC161" s="1">
        <f t="shared" ca="1" si="179"/>
        <v>2026</v>
      </c>
      <c r="AD161" s="1" t="str">
        <f t="shared" ca="1" si="180"/>
        <v>6</v>
      </c>
      <c r="AE161" s="1">
        <f t="shared" si="181"/>
        <v>1</v>
      </c>
      <c r="AF161" s="1" t="str">
        <f t="shared" si="182"/>
        <v/>
      </c>
      <c r="AG161" s="1">
        <f t="shared" ca="1" si="183"/>
        <v>2026</v>
      </c>
      <c r="AH161" s="1">
        <f t="shared" si="184"/>
        <v>1</v>
      </c>
      <c r="AI161" s="1" t="str">
        <f t="shared" ca="1" si="185"/>
        <v>6</v>
      </c>
      <c r="AJ161" s="13" t="e">
        <f t="shared" ca="1" si="186"/>
        <v>#VALUE!</v>
      </c>
      <c r="AK161" s="1" t="e">
        <f>IF(ISBLANK(A161),"",IFERROR(MID(F161,SEARCH(", ",F161)+LEN(", "),SEARCH(" "&amp;'Exception Stores'!$A$2,F161)-SEARCH(", ",F161)-LEN(", ")),MID(F161,SEARCH(", ",F161)+LEN(", "),SEARCH(" "&amp;'Exception Stores'!$B$2,F161)-SEARCH(", ",F161)-LEN(", "))))</f>
        <v>#VALUE!</v>
      </c>
      <c r="AL161" s="1" t="e">
        <f t="shared" si="187"/>
        <v>#VALUE!</v>
      </c>
      <c r="AM161" s="15" t="e">
        <f t="shared" ca="1" si="188"/>
        <v>#VALUE!</v>
      </c>
      <c r="AN161" s="24" t="e">
        <f t="shared" ca="1" si="189"/>
        <v>#VALUE!</v>
      </c>
      <c r="AO161" s="1" t="e">
        <f t="shared" ca="1" si="190"/>
        <v>#VALUE!</v>
      </c>
      <c r="AP161" s="13" t="e">
        <f t="shared" ca="1" si="191"/>
        <v>#VALUE!</v>
      </c>
      <c r="AQ161" s="17" t="e">
        <f t="shared" ca="1" si="192"/>
        <v>#VALUE!</v>
      </c>
      <c r="AS161" s="15" t="e">
        <f t="shared" ca="1" si="193"/>
        <v>#VALUE!</v>
      </c>
      <c r="AT161" s="5">
        <f>'Exception Stores'!$D$2</f>
        <v>0.125</v>
      </c>
      <c r="AU161" s="15" t="e">
        <f t="shared" ca="1" si="194"/>
        <v>#VALUE!</v>
      </c>
      <c r="AV161" s="15" t="e">
        <f t="shared" ca="1" si="195"/>
        <v>#VALUE!</v>
      </c>
      <c r="AW161" s="15" t="e">
        <f t="shared" ca="1" si="196"/>
        <v>#VALUE!</v>
      </c>
      <c r="AX161" s="15" t="e">
        <f t="shared" ca="1" si="197"/>
        <v>#VALUE!</v>
      </c>
      <c r="AY161" s="15" t="e">
        <f t="shared" ca="1" si="198"/>
        <v>#VALUE!</v>
      </c>
      <c r="AZ161" s="1" t="e">
        <f t="shared" ca="1" si="199"/>
        <v>#VALUE!</v>
      </c>
      <c r="BA161" s="15" t="e">
        <f t="shared" ca="1" si="200"/>
        <v>#VALUE!</v>
      </c>
      <c r="BB161" s="15" t="e">
        <f t="shared" ca="1" si="201"/>
        <v>#VALUE!</v>
      </c>
      <c r="BC161" s="1" t="e">
        <f t="shared" ca="1" si="202"/>
        <v>#VALUE!</v>
      </c>
      <c r="BE161" s="15" t="str">
        <f>IF(ISBLANK('Exception Stores'!$A$6),"",'Exception Stores'!$A$6)</f>
        <v/>
      </c>
      <c r="BF161" s="15" t="str">
        <f>IF(ISBLANK('Exception Stores'!$B$6),"",'Exception Stores'!$B$6)</f>
        <v/>
      </c>
      <c r="BG161" s="1">
        <f>IF(ISBLANK('Exception Stores'!$A$6),0,IF($AN$2&gt;$BF$2,($AN$2-$BF$2)*24,0))</f>
        <v>0</v>
      </c>
      <c r="BH161" s="11">
        <f>IF(ISBLANK('Exception Stores'!$A$6),0,($BF$2-$BE$2)*24)</f>
        <v>0</v>
      </c>
      <c r="BI16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61" s="1">
        <f>IF(ISBLANK('Exception Stores'!$A$6),0,IF($AN$2&gt;$BF$2,0,IF(AND($AN$2&lt;$BF$2,$BT$2="B"),(($BF$2-$AN$2)*24)-$BS$2,($BF$2-$AN$2)*24)))</f>
        <v>0</v>
      </c>
      <c r="BL161" s="5"/>
      <c r="BM161" s="5"/>
      <c r="BN161" s="5"/>
      <c r="BO161" s="5"/>
      <c r="BP161" s="5"/>
      <c r="BV161" s="1" t="e">
        <f t="shared" ca="1" si="203"/>
        <v>#VALUE!</v>
      </c>
      <c r="BW161" s="1" t="e">
        <f t="shared" ca="1" si="204"/>
        <v>#VALUE!</v>
      </c>
      <c r="BX161" s="1" t="e">
        <f t="shared" ca="1" si="205"/>
        <v>#VALUE!</v>
      </c>
      <c r="BY161" s="1" t="e">
        <f t="shared" ca="1" si="206"/>
        <v>#VALUE!</v>
      </c>
      <c r="BZ161" s="1" t="e">
        <f t="shared" ca="1" si="207"/>
        <v>#VALUE!</v>
      </c>
      <c r="CB161" s="1" t="str">
        <f>IF(ISBLANK('Exception Stores'!$A$6),"",WEEKDAY($BF$2))</f>
        <v/>
      </c>
      <c r="CC161" s="1" t="str">
        <f>IF(ISBLANK('Exception Stores'!$A$6),"NO",IF('Exception Stores'!$A$6&lt;$AU$2,"YES","NO"))</f>
        <v>NO</v>
      </c>
      <c r="CD161" s="1" t="str">
        <f>IF(ISBLANK('Exception Stores'!$A$6),"NO",IF('Exception Stores'!$A$6&lt;$AV$2,"YES","NO"))</f>
        <v>NO</v>
      </c>
      <c r="CE161" s="1" t="str">
        <f>IF(ISBLANK('Exception Stores'!$A$6),"NO",IF('Exception Stores'!$A$6&lt;$AW$2,"YES","NO"))</f>
        <v>NO</v>
      </c>
      <c r="CF161" s="1" t="str">
        <f>IF(ISBLANK('Exception Stores'!$A$6),"NO",IF('Exception Stores'!$A$6&lt;$AX$2,"YES","NO"))</f>
        <v>NO</v>
      </c>
      <c r="CG161" s="1" t="str">
        <f>IF(ISBLANK('Exception Stores'!$A$6),"NO",IF('Exception Stores'!$A$6&lt;$AY$2,"YES","NO"))</f>
        <v>NO</v>
      </c>
      <c r="CI161" s="42" t="str">
        <f>IF(ISBLANK('Exception Stores'!$B$6),"NO",IF('Exception Stores'!$B$6&lt;=$AU$2,"YES","NO"))</f>
        <v>NO</v>
      </c>
      <c r="CJ161" s="42" t="str">
        <f>IF(ISBLANK('Exception Stores'!$B$6),"NO",IF('Exception Stores'!$B$6&lt;=$AV$2,"YES","NO"))</f>
        <v>NO</v>
      </c>
      <c r="CK161" s="1" t="str">
        <f>IF(ISBLANK('Exception Stores'!$B$6),"NO",IF('Exception Stores'!$B$6&lt;=$AW$2,"YES","NO"))</f>
        <v>NO</v>
      </c>
      <c r="CL161" s="1" t="str">
        <f>IF(ISBLANK('Exception Stores'!$B$6),"NO",IF('Exception Stores'!$B$6&lt;=$AX$2,"YES","NO"))</f>
        <v>NO</v>
      </c>
      <c r="CM161" s="1" t="str">
        <f>IF(ISBLANK('Exception Stores'!$B$6),"NO",IF('Exception Stores'!$B$6&lt;=$AY$2,"YES","NO"))</f>
        <v>NO</v>
      </c>
      <c r="CO161" s="1" t="e">
        <f ca="1">IF(AM161&lt;'Exception Stores'!$A$6,"YES","NO")</f>
        <v>#VALUE!</v>
      </c>
      <c r="CP161" s="1">
        <f t="shared" si="208"/>
        <v>0</v>
      </c>
      <c r="CQ161" s="1">
        <f t="shared" si="209"/>
        <v>0</v>
      </c>
      <c r="CR161" s="1">
        <f t="shared" si="210"/>
        <v>0</v>
      </c>
      <c r="CS161" s="1">
        <f t="shared" si="211"/>
        <v>0</v>
      </c>
      <c r="CT161" s="1">
        <f t="shared" si="212"/>
        <v>0</v>
      </c>
      <c r="CU161" s="1">
        <f t="shared" si="213"/>
        <v>0</v>
      </c>
      <c r="CW161" s="1" t="e">
        <f t="shared" ca="1" si="154"/>
        <v>#VALUE!</v>
      </c>
      <c r="CX161" s="1" t="e">
        <f t="shared" ca="1" si="155"/>
        <v>#VALUE!</v>
      </c>
      <c r="CY161" s="1" t="e">
        <f t="shared" ca="1" si="156"/>
        <v>#VALUE!</v>
      </c>
      <c r="CZ161" s="1" t="e">
        <f t="shared" ca="1" si="157"/>
        <v>#VALUE!</v>
      </c>
      <c r="DA161" s="1" t="e">
        <f t="shared" ca="1" si="158"/>
        <v>#VALUE!</v>
      </c>
      <c r="DB161" s="26" t="e">
        <f t="shared" ca="1" si="214"/>
        <v>#VALUE!</v>
      </c>
      <c r="DC161" s="1">
        <f t="shared" si="159"/>
        <v>0</v>
      </c>
      <c r="DD161" s="1">
        <f t="shared" si="160"/>
        <v>0</v>
      </c>
      <c r="DE161" s="1">
        <f t="shared" si="161"/>
        <v>0</v>
      </c>
      <c r="DF161" s="1">
        <f t="shared" si="162"/>
        <v>0</v>
      </c>
      <c r="DG161" s="1">
        <f t="shared" si="163"/>
        <v>0</v>
      </c>
      <c r="DH161" s="26">
        <f t="shared" si="215"/>
        <v>0</v>
      </c>
      <c r="DI161" s="1" t="e">
        <f t="shared" ca="1" si="216"/>
        <v>#VALUE!</v>
      </c>
      <c r="DK161" s="11" t="str">
        <f t="shared" si="164"/>
        <v/>
      </c>
      <c r="DL161" s="11" t="e">
        <f ca="1">IF(AND(NOT(ISBLANK('Exception Stores'!$A$6)),CO161="YES"),S161-$BH$2-(DI161*$BS$2)-(CU161*$BS$2),S161-(DB161*$BS$2))</f>
        <v>#VALUE!</v>
      </c>
      <c r="DM161" s="11" t="str">
        <f>IF(ISBLANK(A161),"",IF(COUNTIF(Remaps!$A$2:$A$200,B161)&gt;0,"YES",""))</f>
        <v>YES</v>
      </c>
      <c r="DN161" s="29">
        <f>IFERROR(INDEX(Remaps!$B$2:$B$200,MATCH(B161,Remaps!$A$2:$A$200,0),1),0)</f>
        <v>0</v>
      </c>
      <c r="DO161" s="11" t="e">
        <f t="shared" ca="1" si="165"/>
        <v>#VALUE!</v>
      </c>
      <c r="DP161" s="29" t="e">
        <f t="shared" si="166"/>
        <v>#VALUE!</v>
      </c>
      <c r="DQ161" s="11" t="e">
        <f ca="1">('Apollo Dock Status'!$Z$1-DP161)/DO161</f>
        <v>#VALUE!</v>
      </c>
      <c r="DR161" s="15" t="e">
        <f t="shared" ca="1" si="217"/>
        <v>#VALUE!</v>
      </c>
    </row>
    <row r="162" spans="1:122">
      <c r="A162" s="1" t="str">
        <f>IF(ISBLANK('Apollo Dock Status'!A162),"",'Apollo Dock Status'!A162)</f>
        <v/>
      </c>
      <c r="B162" s="1" t="str">
        <f>IF(ISBLANK('Apollo Dock Status'!B162),"",'Apollo Dock Status'!B162)</f>
        <v/>
      </c>
      <c r="C162" s="1" t="str">
        <f>IF(ISBLANK('Apollo Dock Status'!C162),"",'Apollo Dock Status'!C162)</f>
        <v/>
      </c>
      <c r="D162" s="1" t="str">
        <f>IF(ISBLANK('Apollo Dock Status'!D162),"",'Apollo Dock Status'!D162)</f>
        <v/>
      </c>
      <c r="E162" s="1" t="str">
        <f>IF(ISBLANK('Apollo Dock Status'!E162),"",'Apollo Dock Status'!E162)</f>
        <v/>
      </c>
      <c r="F162" s="1" t="str">
        <f>IF(ISBLANK('Apollo Dock Status'!F162),"",'Apollo Dock Status'!F162)</f>
        <v/>
      </c>
      <c r="G162" s="1" t="str">
        <f>IF(ISBLANK('Apollo Dock Status'!G162),"",'Apollo Dock Status'!G162)</f>
        <v/>
      </c>
      <c r="H162" s="1" t="str">
        <f>IF(ISBLANK('Apollo Dock Status'!H162),"",'Apollo Dock Status'!H162)</f>
        <v/>
      </c>
      <c r="I162" s="1" t="str">
        <f>IF(ISBLANK('Apollo Dock Status'!I162),"",'Apollo Dock Status'!I162)</f>
        <v/>
      </c>
      <c r="J162" s="1" t="str">
        <f>IF(ISBLANK('Apollo Dock Status'!J162),"",'Apollo Dock Status'!J162)</f>
        <v/>
      </c>
      <c r="K162" s="1" t="str">
        <f>IF(ISBLANK('Apollo Dock Status'!K162),"",'Apollo Dock Status'!K162)</f>
        <v/>
      </c>
      <c r="L162" s="1" t="str">
        <f>IF(ISBLANK('Apollo Dock Status'!L162),"",'Apollo Dock Status'!L162)</f>
        <v/>
      </c>
      <c r="M162" s="1" t="str">
        <f>IF(ISBLANK('Apollo Dock Status'!M162),"",'Apollo Dock Status'!M162)</f>
        <v/>
      </c>
      <c r="N162" s="1" t="str">
        <f>IF(ISBLANK('Apollo Dock Status'!N162),"",'Apollo Dock Status'!N162)</f>
        <v/>
      </c>
      <c r="O162" s="1" t="str">
        <f t="shared" si="167"/>
        <v/>
      </c>
      <c r="P162" s="1" t="str">
        <f t="shared" si="168"/>
        <v/>
      </c>
      <c r="Q162" s="1" t="str">
        <f t="shared" si="169"/>
        <v/>
      </c>
      <c r="R162" s="1" t="str">
        <f t="shared" si="170"/>
        <v/>
      </c>
      <c r="S162" s="11" t="str">
        <f t="shared" si="171"/>
        <v/>
      </c>
      <c r="T162" s="1" t="str">
        <f t="shared" si="172"/>
        <v/>
      </c>
      <c r="U162" s="11" t="str">
        <f t="shared" si="173"/>
        <v/>
      </c>
      <c r="V162" s="11" t="str">
        <f t="shared" si="174"/>
        <v/>
      </c>
      <c r="X162" s="1" t="str">
        <f t="shared" si="175"/>
        <v/>
      </c>
      <c r="Y162" s="1" t="str">
        <f t="shared" si="176"/>
        <v/>
      </c>
      <c r="Z162" s="1" t="str">
        <f t="shared" si="177"/>
        <v/>
      </c>
      <c r="AB162" s="13">
        <f t="shared" ca="1" si="178"/>
        <v>46176</v>
      </c>
      <c r="AC162" s="1">
        <f t="shared" ca="1" si="179"/>
        <v>2026</v>
      </c>
      <c r="AD162" s="1" t="str">
        <f t="shared" ca="1" si="180"/>
        <v>6</v>
      </c>
      <c r="AE162" s="1">
        <f t="shared" si="181"/>
        <v>1</v>
      </c>
      <c r="AF162" s="1" t="str">
        <f t="shared" si="182"/>
        <v/>
      </c>
      <c r="AG162" s="1">
        <f t="shared" ca="1" si="183"/>
        <v>2026</v>
      </c>
      <c r="AH162" s="1">
        <f t="shared" si="184"/>
        <v>1</v>
      </c>
      <c r="AI162" s="1" t="str">
        <f t="shared" ca="1" si="185"/>
        <v>6</v>
      </c>
      <c r="AJ162" s="13" t="e">
        <f t="shared" ca="1" si="186"/>
        <v>#VALUE!</v>
      </c>
      <c r="AK162" s="1" t="e">
        <f>IF(ISBLANK(A162),"",IFERROR(MID(F162,SEARCH(", ",F162)+LEN(", "),SEARCH(" "&amp;'Exception Stores'!$A$2,F162)-SEARCH(", ",F162)-LEN(", ")),MID(F162,SEARCH(", ",F162)+LEN(", "),SEARCH(" "&amp;'Exception Stores'!$B$2,F162)-SEARCH(", ",F162)-LEN(", "))))</f>
        <v>#VALUE!</v>
      </c>
      <c r="AL162" s="1" t="e">
        <f t="shared" si="187"/>
        <v>#VALUE!</v>
      </c>
      <c r="AM162" s="15" t="e">
        <f t="shared" ca="1" si="188"/>
        <v>#VALUE!</v>
      </c>
      <c r="AN162" s="24" t="e">
        <f t="shared" ca="1" si="189"/>
        <v>#VALUE!</v>
      </c>
      <c r="AO162" s="1" t="e">
        <f t="shared" ca="1" si="190"/>
        <v>#VALUE!</v>
      </c>
      <c r="AP162" s="13" t="e">
        <f t="shared" ca="1" si="191"/>
        <v>#VALUE!</v>
      </c>
      <c r="AQ162" s="17" t="e">
        <f t="shared" ca="1" si="192"/>
        <v>#VALUE!</v>
      </c>
      <c r="AS162" s="15" t="e">
        <f t="shared" ca="1" si="193"/>
        <v>#VALUE!</v>
      </c>
      <c r="AT162" s="5">
        <f>'Exception Stores'!$D$2</f>
        <v>0.125</v>
      </c>
      <c r="AU162" s="15" t="e">
        <f t="shared" ca="1" si="194"/>
        <v>#VALUE!</v>
      </c>
      <c r="AV162" s="15" t="e">
        <f t="shared" ca="1" si="195"/>
        <v>#VALUE!</v>
      </c>
      <c r="AW162" s="15" t="e">
        <f t="shared" ca="1" si="196"/>
        <v>#VALUE!</v>
      </c>
      <c r="AX162" s="15" t="e">
        <f t="shared" ca="1" si="197"/>
        <v>#VALUE!</v>
      </c>
      <c r="AY162" s="15" t="e">
        <f t="shared" ca="1" si="198"/>
        <v>#VALUE!</v>
      </c>
      <c r="AZ162" s="1" t="e">
        <f t="shared" ca="1" si="199"/>
        <v>#VALUE!</v>
      </c>
      <c r="BA162" s="15" t="e">
        <f t="shared" ca="1" si="200"/>
        <v>#VALUE!</v>
      </c>
      <c r="BB162" s="15" t="e">
        <f t="shared" ca="1" si="201"/>
        <v>#VALUE!</v>
      </c>
      <c r="BC162" s="1" t="e">
        <f t="shared" ca="1" si="202"/>
        <v>#VALUE!</v>
      </c>
      <c r="BE162" s="15" t="str">
        <f>IF(ISBLANK('Exception Stores'!$A$6),"",'Exception Stores'!$A$6)</f>
        <v/>
      </c>
      <c r="BF162" s="15" t="str">
        <f>IF(ISBLANK('Exception Stores'!$B$6),"",'Exception Stores'!$B$6)</f>
        <v/>
      </c>
      <c r="BG162" s="1">
        <f>IF(ISBLANK('Exception Stores'!$A$6),0,IF($AN$2&gt;$BF$2,($AN$2-$BF$2)*24,0))</f>
        <v>0</v>
      </c>
      <c r="BH162" s="11">
        <f>IF(ISBLANK('Exception Stores'!$A$6),0,($BF$2-$BE$2)*24)</f>
        <v>0</v>
      </c>
      <c r="BI16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62" s="1">
        <f>IF(ISBLANK('Exception Stores'!$A$6),0,IF($AN$2&gt;$BF$2,0,IF(AND($AN$2&lt;$BF$2,$BT$2="B"),(($BF$2-$AN$2)*24)-$BS$2,($BF$2-$AN$2)*24)))</f>
        <v>0</v>
      </c>
      <c r="BL162" s="5"/>
      <c r="BM162" s="5"/>
      <c r="BN162" s="5"/>
      <c r="BO162" s="5"/>
      <c r="BP162" s="5"/>
      <c r="BV162" s="1" t="e">
        <f t="shared" ca="1" si="203"/>
        <v>#VALUE!</v>
      </c>
      <c r="BW162" s="1" t="e">
        <f t="shared" ca="1" si="204"/>
        <v>#VALUE!</v>
      </c>
      <c r="BX162" s="1" t="e">
        <f t="shared" ca="1" si="205"/>
        <v>#VALUE!</v>
      </c>
      <c r="BY162" s="1" t="e">
        <f t="shared" ca="1" si="206"/>
        <v>#VALUE!</v>
      </c>
      <c r="BZ162" s="1" t="e">
        <f t="shared" ca="1" si="207"/>
        <v>#VALUE!</v>
      </c>
      <c r="CB162" s="1" t="str">
        <f>IF(ISBLANK('Exception Stores'!$A$6),"",WEEKDAY($BF$2))</f>
        <v/>
      </c>
      <c r="CC162" s="1" t="str">
        <f>IF(ISBLANK('Exception Stores'!$A$6),"NO",IF('Exception Stores'!$A$6&lt;$AU$2,"YES","NO"))</f>
        <v>NO</v>
      </c>
      <c r="CD162" s="1" t="str">
        <f>IF(ISBLANK('Exception Stores'!$A$6),"NO",IF('Exception Stores'!$A$6&lt;$AV$2,"YES","NO"))</f>
        <v>NO</v>
      </c>
      <c r="CE162" s="1" t="str">
        <f>IF(ISBLANK('Exception Stores'!$A$6),"NO",IF('Exception Stores'!$A$6&lt;$AW$2,"YES","NO"))</f>
        <v>NO</v>
      </c>
      <c r="CF162" s="1" t="str">
        <f>IF(ISBLANK('Exception Stores'!$A$6),"NO",IF('Exception Stores'!$A$6&lt;$AX$2,"YES","NO"))</f>
        <v>NO</v>
      </c>
      <c r="CG162" s="1" t="str">
        <f>IF(ISBLANK('Exception Stores'!$A$6),"NO",IF('Exception Stores'!$A$6&lt;$AY$2,"YES","NO"))</f>
        <v>NO</v>
      </c>
      <c r="CI162" s="42" t="str">
        <f>IF(ISBLANK('Exception Stores'!$B$6),"NO",IF('Exception Stores'!$B$6&lt;=$AU$2,"YES","NO"))</f>
        <v>NO</v>
      </c>
      <c r="CJ162" s="42" t="str">
        <f>IF(ISBLANK('Exception Stores'!$B$6),"NO",IF('Exception Stores'!$B$6&lt;=$AV$2,"YES","NO"))</f>
        <v>NO</v>
      </c>
      <c r="CK162" s="1" t="str">
        <f>IF(ISBLANK('Exception Stores'!$B$6),"NO",IF('Exception Stores'!$B$6&lt;=$AW$2,"YES","NO"))</f>
        <v>NO</v>
      </c>
      <c r="CL162" s="1" t="str">
        <f>IF(ISBLANK('Exception Stores'!$B$6),"NO",IF('Exception Stores'!$B$6&lt;=$AX$2,"YES","NO"))</f>
        <v>NO</v>
      </c>
      <c r="CM162" s="1" t="str">
        <f>IF(ISBLANK('Exception Stores'!$B$6),"NO",IF('Exception Stores'!$B$6&lt;=$AY$2,"YES","NO"))</f>
        <v>NO</v>
      </c>
      <c r="CO162" s="1" t="e">
        <f ca="1">IF(AM162&lt;'Exception Stores'!$A$6,"YES","NO")</f>
        <v>#VALUE!</v>
      </c>
      <c r="CP162" s="1">
        <f t="shared" si="208"/>
        <v>0</v>
      </c>
      <c r="CQ162" s="1">
        <f t="shared" si="209"/>
        <v>0</v>
      </c>
      <c r="CR162" s="1">
        <f t="shared" si="210"/>
        <v>0</v>
      </c>
      <c r="CS162" s="1">
        <f t="shared" si="211"/>
        <v>0</v>
      </c>
      <c r="CT162" s="1">
        <f t="shared" si="212"/>
        <v>0</v>
      </c>
      <c r="CU162" s="1">
        <f t="shared" si="213"/>
        <v>0</v>
      </c>
      <c r="CW162" s="1" t="e">
        <f t="shared" ref="CW162:CW193" ca="1" si="218">IF(BV162="NO",0,1)</f>
        <v>#VALUE!</v>
      </c>
      <c r="CX162" s="1" t="e">
        <f t="shared" ref="CX162:CX193" ca="1" si="219">IF(BW162="NO",0,1)</f>
        <v>#VALUE!</v>
      </c>
      <c r="CY162" s="1" t="e">
        <f t="shared" ref="CY162:CY193" ca="1" si="220">IF(BX162="NO",0,1)</f>
        <v>#VALUE!</v>
      </c>
      <c r="CZ162" s="1" t="e">
        <f t="shared" ref="CZ162:CZ193" ca="1" si="221">IF(BY162="NO",0,1)</f>
        <v>#VALUE!</v>
      </c>
      <c r="DA162" s="1" t="e">
        <f t="shared" ref="DA162:DA193" ca="1" si="222">IF(BZ162="NO",0,1)</f>
        <v>#VALUE!</v>
      </c>
      <c r="DB162" s="26" t="e">
        <f t="shared" ca="1" si="214"/>
        <v>#VALUE!</v>
      </c>
      <c r="DC162" s="1">
        <f t="shared" ref="DC162:DC193" si="223">IF(CC162="NO",0,1)</f>
        <v>0</v>
      </c>
      <c r="DD162" s="1">
        <f t="shared" ref="DD162:DD193" si="224">IF(CD162="NO",0,1)</f>
        <v>0</v>
      </c>
      <c r="DE162" s="1">
        <f t="shared" ref="DE162:DE193" si="225">IF(CE162="NO",0,1)</f>
        <v>0</v>
      </c>
      <c r="DF162" s="1">
        <f t="shared" ref="DF162:DF193" si="226">IF(CF162="NO",0,1)</f>
        <v>0</v>
      </c>
      <c r="DG162" s="1">
        <f t="shared" ref="DG162:DG193" si="227">IF(CG162="NO",0,1)</f>
        <v>0</v>
      </c>
      <c r="DH162" s="26">
        <f t="shared" si="215"/>
        <v>0</v>
      </c>
      <c r="DI162" s="1" t="e">
        <f t="shared" ca="1" si="216"/>
        <v>#VALUE!</v>
      </c>
      <c r="DK162" s="11" t="str">
        <f t="shared" ref="DK162:DK193" si="228">S162</f>
        <v/>
      </c>
      <c r="DL162" s="11" t="e">
        <f ca="1">IF(AND(NOT(ISBLANK('Exception Stores'!$A$6)),CO162="YES"),S162-$BH$2-(DI162*$BS$2)-(CU162*$BS$2),S162-(DB162*$BS$2))</f>
        <v>#VALUE!</v>
      </c>
      <c r="DM162" s="11" t="str">
        <f>IF(ISBLANK(A162),"",IF(COUNTIF(Remaps!$A$2:$A$200,B162)&gt;0,"YES",""))</f>
        <v>YES</v>
      </c>
      <c r="DN162" s="29">
        <f>IFERROR(INDEX(Remaps!$B$2:$B$200,MATCH(B162,Remaps!$A$2:$A$200,0),1),0)</f>
        <v>0</v>
      </c>
      <c r="DO162" s="11" t="e">
        <f t="shared" ref="DO162:DO193" ca="1" si="229">K162/DL162</f>
        <v>#VALUE!</v>
      </c>
      <c r="DP162" s="29" t="e">
        <f t="shared" ref="DP162:DP193" si="230">DN162+K162</f>
        <v>#VALUE!</v>
      </c>
      <c r="DQ162" s="11" t="e">
        <f ca="1">('Apollo Dock Status'!$Z$1-DP162)/DO162</f>
        <v>#VALUE!</v>
      </c>
      <c r="DR162" s="15" t="e">
        <f t="shared" ca="1" si="217"/>
        <v>#VALUE!</v>
      </c>
    </row>
    <row r="163" spans="1:122">
      <c r="A163" s="1" t="str">
        <f>IF(ISBLANK('Apollo Dock Status'!A163),"",'Apollo Dock Status'!A163)</f>
        <v/>
      </c>
      <c r="B163" s="1" t="str">
        <f>IF(ISBLANK('Apollo Dock Status'!B163),"",'Apollo Dock Status'!B163)</f>
        <v/>
      </c>
      <c r="C163" s="1" t="str">
        <f>IF(ISBLANK('Apollo Dock Status'!C163),"",'Apollo Dock Status'!C163)</f>
        <v/>
      </c>
      <c r="D163" s="1" t="str">
        <f>IF(ISBLANK('Apollo Dock Status'!D163),"",'Apollo Dock Status'!D163)</f>
        <v/>
      </c>
      <c r="E163" s="1" t="str">
        <f>IF(ISBLANK('Apollo Dock Status'!E163),"",'Apollo Dock Status'!E163)</f>
        <v/>
      </c>
      <c r="F163" s="1" t="str">
        <f>IF(ISBLANK('Apollo Dock Status'!F163),"",'Apollo Dock Status'!F163)</f>
        <v/>
      </c>
      <c r="G163" s="1" t="str">
        <f>IF(ISBLANK('Apollo Dock Status'!G163),"",'Apollo Dock Status'!G163)</f>
        <v/>
      </c>
      <c r="H163" s="1" t="str">
        <f>IF(ISBLANK('Apollo Dock Status'!H163),"",'Apollo Dock Status'!H163)</f>
        <v/>
      </c>
      <c r="I163" s="1" t="str">
        <f>IF(ISBLANK('Apollo Dock Status'!I163),"",'Apollo Dock Status'!I163)</f>
        <v/>
      </c>
      <c r="J163" s="1" t="str">
        <f>IF(ISBLANK('Apollo Dock Status'!J163),"",'Apollo Dock Status'!J163)</f>
        <v/>
      </c>
      <c r="K163" s="1" t="str">
        <f>IF(ISBLANK('Apollo Dock Status'!K163),"",'Apollo Dock Status'!K163)</f>
        <v/>
      </c>
      <c r="L163" s="1" t="str">
        <f>IF(ISBLANK('Apollo Dock Status'!L163),"",'Apollo Dock Status'!L163)</f>
        <v/>
      </c>
      <c r="M163" s="1" t="str">
        <f>IF(ISBLANK('Apollo Dock Status'!M163),"",'Apollo Dock Status'!M163)</f>
        <v/>
      </c>
      <c r="N163" s="1" t="str">
        <f>IF(ISBLANK('Apollo Dock Status'!N163),"",'Apollo Dock Status'!N163)</f>
        <v/>
      </c>
      <c r="O163" s="1" t="str">
        <f t="shared" si="167"/>
        <v/>
      </c>
      <c r="P163" s="1" t="str">
        <f t="shared" si="168"/>
        <v/>
      </c>
      <c r="Q163" s="1" t="str">
        <f t="shared" si="169"/>
        <v/>
      </c>
      <c r="R163" s="1" t="str">
        <f t="shared" si="170"/>
        <v/>
      </c>
      <c r="S163" s="11" t="str">
        <f t="shared" si="171"/>
        <v/>
      </c>
      <c r="T163" s="1" t="str">
        <f t="shared" si="172"/>
        <v/>
      </c>
      <c r="U163" s="11" t="str">
        <f t="shared" si="173"/>
        <v/>
      </c>
      <c r="V163" s="11" t="str">
        <f t="shared" si="174"/>
        <v/>
      </c>
      <c r="X163" s="1" t="str">
        <f t="shared" si="175"/>
        <v/>
      </c>
      <c r="Y163" s="1" t="str">
        <f t="shared" si="176"/>
        <v/>
      </c>
      <c r="Z163" s="1" t="str">
        <f t="shared" si="177"/>
        <v/>
      </c>
      <c r="AB163" s="13">
        <f t="shared" ca="1" si="178"/>
        <v>46176</v>
      </c>
      <c r="AC163" s="1">
        <f t="shared" ca="1" si="179"/>
        <v>2026</v>
      </c>
      <c r="AD163" s="1" t="str">
        <f t="shared" ca="1" si="180"/>
        <v>6</v>
      </c>
      <c r="AE163" s="1">
        <f t="shared" si="181"/>
        <v>1</v>
      </c>
      <c r="AF163" s="1" t="str">
        <f t="shared" si="182"/>
        <v/>
      </c>
      <c r="AG163" s="1">
        <f t="shared" ca="1" si="183"/>
        <v>2026</v>
      </c>
      <c r="AH163" s="1">
        <f t="shared" si="184"/>
        <v>1</v>
      </c>
      <c r="AI163" s="1" t="str">
        <f t="shared" ca="1" si="185"/>
        <v>6</v>
      </c>
      <c r="AJ163" s="13" t="e">
        <f t="shared" ca="1" si="186"/>
        <v>#VALUE!</v>
      </c>
      <c r="AK163" s="1" t="e">
        <f>IF(ISBLANK(A163),"",IFERROR(MID(F163,SEARCH(", ",F163)+LEN(", "),SEARCH(" "&amp;'Exception Stores'!$A$2,F163)-SEARCH(", ",F163)-LEN(", ")),MID(F163,SEARCH(", ",F163)+LEN(", "),SEARCH(" "&amp;'Exception Stores'!$B$2,F163)-SEARCH(", ",F163)-LEN(", "))))</f>
        <v>#VALUE!</v>
      </c>
      <c r="AL163" s="1" t="e">
        <f t="shared" si="187"/>
        <v>#VALUE!</v>
      </c>
      <c r="AM163" s="15" t="e">
        <f t="shared" ca="1" si="188"/>
        <v>#VALUE!</v>
      </c>
      <c r="AN163" s="24" t="e">
        <f t="shared" ca="1" si="189"/>
        <v>#VALUE!</v>
      </c>
      <c r="AO163" s="1" t="e">
        <f t="shared" ca="1" si="190"/>
        <v>#VALUE!</v>
      </c>
      <c r="AP163" s="13" t="e">
        <f t="shared" ca="1" si="191"/>
        <v>#VALUE!</v>
      </c>
      <c r="AQ163" s="17" t="e">
        <f t="shared" ca="1" si="192"/>
        <v>#VALUE!</v>
      </c>
      <c r="AS163" s="15" t="e">
        <f t="shared" ca="1" si="193"/>
        <v>#VALUE!</v>
      </c>
      <c r="AT163" s="5">
        <f>'Exception Stores'!$D$2</f>
        <v>0.125</v>
      </c>
      <c r="AU163" s="15" t="e">
        <f t="shared" ca="1" si="194"/>
        <v>#VALUE!</v>
      </c>
      <c r="AV163" s="15" t="e">
        <f t="shared" ca="1" si="195"/>
        <v>#VALUE!</v>
      </c>
      <c r="AW163" s="15" t="e">
        <f t="shared" ca="1" si="196"/>
        <v>#VALUE!</v>
      </c>
      <c r="AX163" s="15" t="e">
        <f t="shared" ca="1" si="197"/>
        <v>#VALUE!</v>
      </c>
      <c r="AY163" s="15" t="e">
        <f t="shared" ca="1" si="198"/>
        <v>#VALUE!</v>
      </c>
      <c r="AZ163" s="1" t="e">
        <f t="shared" ca="1" si="199"/>
        <v>#VALUE!</v>
      </c>
      <c r="BA163" s="15" t="e">
        <f t="shared" ca="1" si="200"/>
        <v>#VALUE!</v>
      </c>
      <c r="BB163" s="15" t="e">
        <f t="shared" ca="1" si="201"/>
        <v>#VALUE!</v>
      </c>
      <c r="BC163" s="1" t="e">
        <f t="shared" ca="1" si="202"/>
        <v>#VALUE!</v>
      </c>
      <c r="BE163" s="15" t="str">
        <f>IF(ISBLANK('Exception Stores'!$A$6),"",'Exception Stores'!$A$6)</f>
        <v/>
      </c>
      <c r="BF163" s="15" t="str">
        <f>IF(ISBLANK('Exception Stores'!$B$6),"",'Exception Stores'!$B$6)</f>
        <v/>
      </c>
      <c r="BG163" s="1">
        <f>IF(ISBLANK('Exception Stores'!$A$6),0,IF($AN$2&gt;$BF$2,($AN$2-$BF$2)*24,0))</f>
        <v>0</v>
      </c>
      <c r="BH163" s="11">
        <f>IF(ISBLANK('Exception Stores'!$A$6),0,($BF$2-$BE$2)*24)</f>
        <v>0</v>
      </c>
      <c r="BI16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63" s="1">
        <f>IF(ISBLANK('Exception Stores'!$A$6),0,IF($AN$2&gt;$BF$2,0,IF(AND($AN$2&lt;$BF$2,$BT$2="B"),(($BF$2-$AN$2)*24)-$BS$2,($BF$2-$AN$2)*24)))</f>
        <v>0</v>
      </c>
      <c r="BL163" s="5"/>
      <c r="BM163" s="5"/>
      <c r="BN163" s="5"/>
      <c r="BO163" s="5"/>
      <c r="BP163" s="5"/>
      <c r="BV163" s="1" t="e">
        <f t="shared" ca="1" si="203"/>
        <v>#VALUE!</v>
      </c>
      <c r="BW163" s="1" t="e">
        <f t="shared" ca="1" si="204"/>
        <v>#VALUE!</v>
      </c>
      <c r="BX163" s="1" t="e">
        <f t="shared" ca="1" si="205"/>
        <v>#VALUE!</v>
      </c>
      <c r="BY163" s="1" t="e">
        <f t="shared" ca="1" si="206"/>
        <v>#VALUE!</v>
      </c>
      <c r="BZ163" s="1" t="e">
        <f t="shared" ca="1" si="207"/>
        <v>#VALUE!</v>
      </c>
      <c r="CB163" s="1" t="str">
        <f>IF(ISBLANK('Exception Stores'!$A$6),"",WEEKDAY($BF$2))</f>
        <v/>
      </c>
      <c r="CC163" s="1" t="str">
        <f>IF(ISBLANK('Exception Stores'!$A$6),"NO",IF('Exception Stores'!$A$6&lt;$AU$2,"YES","NO"))</f>
        <v>NO</v>
      </c>
      <c r="CD163" s="1" t="str">
        <f>IF(ISBLANK('Exception Stores'!$A$6),"NO",IF('Exception Stores'!$A$6&lt;$AV$2,"YES","NO"))</f>
        <v>NO</v>
      </c>
      <c r="CE163" s="1" t="str">
        <f>IF(ISBLANK('Exception Stores'!$A$6),"NO",IF('Exception Stores'!$A$6&lt;$AW$2,"YES","NO"))</f>
        <v>NO</v>
      </c>
      <c r="CF163" s="1" t="str">
        <f>IF(ISBLANK('Exception Stores'!$A$6),"NO",IF('Exception Stores'!$A$6&lt;$AX$2,"YES","NO"))</f>
        <v>NO</v>
      </c>
      <c r="CG163" s="1" t="str">
        <f>IF(ISBLANK('Exception Stores'!$A$6),"NO",IF('Exception Stores'!$A$6&lt;$AY$2,"YES","NO"))</f>
        <v>NO</v>
      </c>
      <c r="CI163" s="42" t="str">
        <f>IF(ISBLANK('Exception Stores'!$B$6),"NO",IF('Exception Stores'!$B$6&lt;=$AU$2,"YES","NO"))</f>
        <v>NO</v>
      </c>
      <c r="CJ163" s="42" t="str">
        <f>IF(ISBLANK('Exception Stores'!$B$6),"NO",IF('Exception Stores'!$B$6&lt;=$AV$2,"YES","NO"))</f>
        <v>NO</v>
      </c>
      <c r="CK163" s="1" t="str">
        <f>IF(ISBLANK('Exception Stores'!$B$6),"NO",IF('Exception Stores'!$B$6&lt;=$AW$2,"YES","NO"))</f>
        <v>NO</v>
      </c>
      <c r="CL163" s="1" t="str">
        <f>IF(ISBLANK('Exception Stores'!$B$6),"NO",IF('Exception Stores'!$B$6&lt;=$AX$2,"YES","NO"))</f>
        <v>NO</v>
      </c>
      <c r="CM163" s="1" t="str">
        <f>IF(ISBLANK('Exception Stores'!$B$6),"NO",IF('Exception Stores'!$B$6&lt;=$AY$2,"YES","NO"))</f>
        <v>NO</v>
      </c>
      <c r="CO163" s="1" t="e">
        <f ca="1">IF(AM163&lt;'Exception Stores'!$A$6,"YES","NO")</f>
        <v>#VALUE!</v>
      </c>
      <c r="CP163" s="1">
        <f t="shared" si="208"/>
        <v>0</v>
      </c>
      <c r="CQ163" s="1">
        <f t="shared" si="209"/>
        <v>0</v>
      </c>
      <c r="CR163" s="1">
        <f t="shared" si="210"/>
        <v>0</v>
      </c>
      <c r="CS163" s="1">
        <f t="shared" si="211"/>
        <v>0</v>
      </c>
      <c r="CT163" s="1">
        <f t="shared" si="212"/>
        <v>0</v>
      </c>
      <c r="CU163" s="1">
        <f t="shared" si="213"/>
        <v>0</v>
      </c>
      <c r="CW163" s="1" t="e">
        <f t="shared" ca="1" si="218"/>
        <v>#VALUE!</v>
      </c>
      <c r="CX163" s="1" t="e">
        <f t="shared" ca="1" si="219"/>
        <v>#VALUE!</v>
      </c>
      <c r="CY163" s="1" t="e">
        <f t="shared" ca="1" si="220"/>
        <v>#VALUE!</v>
      </c>
      <c r="CZ163" s="1" t="e">
        <f t="shared" ca="1" si="221"/>
        <v>#VALUE!</v>
      </c>
      <c r="DA163" s="1" t="e">
        <f t="shared" ca="1" si="222"/>
        <v>#VALUE!</v>
      </c>
      <c r="DB163" s="26" t="e">
        <f t="shared" ca="1" si="214"/>
        <v>#VALUE!</v>
      </c>
      <c r="DC163" s="1">
        <f t="shared" si="223"/>
        <v>0</v>
      </c>
      <c r="DD163" s="1">
        <f t="shared" si="224"/>
        <v>0</v>
      </c>
      <c r="DE163" s="1">
        <f t="shared" si="225"/>
        <v>0</v>
      </c>
      <c r="DF163" s="1">
        <f t="shared" si="226"/>
        <v>0</v>
      </c>
      <c r="DG163" s="1">
        <f t="shared" si="227"/>
        <v>0</v>
      </c>
      <c r="DH163" s="26">
        <f t="shared" si="215"/>
        <v>0</v>
      </c>
      <c r="DI163" s="1" t="e">
        <f t="shared" ca="1" si="216"/>
        <v>#VALUE!</v>
      </c>
      <c r="DK163" s="11" t="str">
        <f t="shared" si="228"/>
        <v/>
      </c>
      <c r="DL163" s="11" t="e">
        <f ca="1">IF(AND(NOT(ISBLANK('Exception Stores'!$A$6)),CO163="YES"),S163-$BH$2-(DI163*$BS$2)-(CU163*$BS$2),S163-(DB163*$BS$2))</f>
        <v>#VALUE!</v>
      </c>
      <c r="DM163" s="11" t="str">
        <f>IF(ISBLANK(A163),"",IF(COUNTIF(Remaps!$A$2:$A$200,B163)&gt;0,"YES",""))</f>
        <v>YES</v>
      </c>
      <c r="DN163" s="29">
        <f>IFERROR(INDEX(Remaps!$B$2:$B$200,MATCH(B163,Remaps!$A$2:$A$200,0),1),0)</f>
        <v>0</v>
      </c>
      <c r="DO163" s="11" t="e">
        <f t="shared" ca="1" si="229"/>
        <v>#VALUE!</v>
      </c>
      <c r="DP163" s="29" t="e">
        <f t="shared" si="230"/>
        <v>#VALUE!</v>
      </c>
      <c r="DQ163" s="11" t="e">
        <f ca="1">('Apollo Dock Status'!$Z$1-DP163)/DO163</f>
        <v>#VALUE!</v>
      </c>
      <c r="DR163" s="15" t="e">
        <f t="shared" ca="1" si="217"/>
        <v>#VALUE!</v>
      </c>
    </row>
    <row r="164" spans="1:122">
      <c r="A164" s="1" t="str">
        <f>IF(ISBLANK('Apollo Dock Status'!A164),"",'Apollo Dock Status'!A164)</f>
        <v/>
      </c>
      <c r="B164" s="1" t="str">
        <f>IF(ISBLANK('Apollo Dock Status'!B164),"",'Apollo Dock Status'!B164)</f>
        <v/>
      </c>
      <c r="C164" s="1" t="str">
        <f>IF(ISBLANK('Apollo Dock Status'!C164),"",'Apollo Dock Status'!C164)</f>
        <v/>
      </c>
      <c r="D164" s="1" t="str">
        <f>IF(ISBLANK('Apollo Dock Status'!D164),"",'Apollo Dock Status'!D164)</f>
        <v/>
      </c>
      <c r="E164" s="1" t="str">
        <f>IF(ISBLANK('Apollo Dock Status'!E164),"",'Apollo Dock Status'!E164)</f>
        <v/>
      </c>
      <c r="F164" s="1" t="str">
        <f>IF(ISBLANK('Apollo Dock Status'!F164),"",'Apollo Dock Status'!F164)</f>
        <v/>
      </c>
      <c r="G164" s="1" t="str">
        <f>IF(ISBLANK('Apollo Dock Status'!G164),"",'Apollo Dock Status'!G164)</f>
        <v/>
      </c>
      <c r="H164" s="1" t="str">
        <f>IF(ISBLANK('Apollo Dock Status'!H164),"",'Apollo Dock Status'!H164)</f>
        <v/>
      </c>
      <c r="I164" s="1" t="str">
        <f>IF(ISBLANK('Apollo Dock Status'!I164),"",'Apollo Dock Status'!I164)</f>
        <v/>
      </c>
      <c r="J164" s="1" t="str">
        <f>IF(ISBLANK('Apollo Dock Status'!J164),"",'Apollo Dock Status'!J164)</f>
        <v/>
      </c>
      <c r="K164" s="1" t="str">
        <f>IF(ISBLANK('Apollo Dock Status'!K164),"",'Apollo Dock Status'!K164)</f>
        <v/>
      </c>
      <c r="L164" s="1" t="str">
        <f>IF(ISBLANK('Apollo Dock Status'!L164),"",'Apollo Dock Status'!L164)</f>
        <v/>
      </c>
      <c r="M164" s="1" t="str">
        <f>IF(ISBLANK('Apollo Dock Status'!M164),"",'Apollo Dock Status'!M164)</f>
        <v/>
      </c>
      <c r="N164" s="1" t="str">
        <f>IF(ISBLANK('Apollo Dock Status'!N164),"",'Apollo Dock Status'!N164)</f>
        <v/>
      </c>
      <c r="O164" s="1" t="str">
        <f t="shared" si="167"/>
        <v/>
      </c>
      <c r="P164" s="1" t="str">
        <f t="shared" si="168"/>
        <v/>
      </c>
      <c r="Q164" s="1" t="str">
        <f t="shared" si="169"/>
        <v/>
      </c>
      <c r="R164" s="1" t="str">
        <f t="shared" si="170"/>
        <v/>
      </c>
      <c r="S164" s="11" t="str">
        <f t="shared" si="171"/>
        <v/>
      </c>
      <c r="T164" s="1" t="str">
        <f t="shared" si="172"/>
        <v/>
      </c>
      <c r="U164" s="11" t="str">
        <f t="shared" si="173"/>
        <v/>
      </c>
      <c r="V164" s="11" t="str">
        <f t="shared" si="174"/>
        <v/>
      </c>
      <c r="X164" s="1" t="str">
        <f t="shared" si="175"/>
        <v/>
      </c>
      <c r="Y164" s="1" t="str">
        <f t="shared" si="176"/>
        <v/>
      </c>
      <c r="Z164" s="1" t="str">
        <f t="shared" si="177"/>
        <v/>
      </c>
      <c r="AB164" s="13">
        <f t="shared" ca="1" si="178"/>
        <v>46176</v>
      </c>
      <c r="AC164" s="1">
        <f t="shared" ca="1" si="179"/>
        <v>2026</v>
      </c>
      <c r="AD164" s="1" t="str">
        <f t="shared" ca="1" si="180"/>
        <v>6</v>
      </c>
      <c r="AE164" s="1">
        <f t="shared" si="181"/>
        <v>1</v>
      </c>
      <c r="AF164" s="1" t="str">
        <f t="shared" si="182"/>
        <v/>
      </c>
      <c r="AG164" s="1">
        <f t="shared" ca="1" si="183"/>
        <v>2026</v>
      </c>
      <c r="AH164" s="1">
        <f t="shared" si="184"/>
        <v>1</v>
      </c>
      <c r="AI164" s="1" t="str">
        <f t="shared" ca="1" si="185"/>
        <v>6</v>
      </c>
      <c r="AJ164" s="13" t="e">
        <f t="shared" ca="1" si="186"/>
        <v>#VALUE!</v>
      </c>
      <c r="AK164" s="1" t="e">
        <f>IF(ISBLANK(A164),"",IFERROR(MID(F164,SEARCH(", ",F164)+LEN(", "),SEARCH(" "&amp;'Exception Stores'!$A$2,F164)-SEARCH(", ",F164)-LEN(", ")),MID(F164,SEARCH(", ",F164)+LEN(", "),SEARCH(" "&amp;'Exception Stores'!$B$2,F164)-SEARCH(", ",F164)-LEN(", "))))</f>
        <v>#VALUE!</v>
      </c>
      <c r="AL164" s="1" t="e">
        <f t="shared" si="187"/>
        <v>#VALUE!</v>
      </c>
      <c r="AM164" s="15" t="e">
        <f t="shared" ca="1" si="188"/>
        <v>#VALUE!</v>
      </c>
      <c r="AN164" s="24" t="e">
        <f t="shared" ca="1" si="189"/>
        <v>#VALUE!</v>
      </c>
      <c r="AO164" s="1" t="e">
        <f t="shared" ca="1" si="190"/>
        <v>#VALUE!</v>
      </c>
      <c r="AP164" s="13" t="e">
        <f t="shared" ca="1" si="191"/>
        <v>#VALUE!</v>
      </c>
      <c r="AQ164" s="17" t="e">
        <f t="shared" ca="1" si="192"/>
        <v>#VALUE!</v>
      </c>
      <c r="AS164" s="15" t="e">
        <f t="shared" ca="1" si="193"/>
        <v>#VALUE!</v>
      </c>
      <c r="AT164" s="5">
        <f>'Exception Stores'!$D$2</f>
        <v>0.125</v>
      </c>
      <c r="AU164" s="15" t="e">
        <f t="shared" ca="1" si="194"/>
        <v>#VALUE!</v>
      </c>
      <c r="AV164" s="15" t="e">
        <f t="shared" ca="1" si="195"/>
        <v>#VALUE!</v>
      </c>
      <c r="AW164" s="15" t="e">
        <f t="shared" ca="1" si="196"/>
        <v>#VALUE!</v>
      </c>
      <c r="AX164" s="15" t="e">
        <f t="shared" ca="1" si="197"/>
        <v>#VALUE!</v>
      </c>
      <c r="AY164" s="15" t="e">
        <f t="shared" ca="1" si="198"/>
        <v>#VALUE!</v>
      </c>
      <c r="AZ164" s="1" t="e">
        <f t="shared" ca="1" si="199"/>
        <v>#VALUE!</v>
      </c>
      <c r="BA164" s="15" t="e">
        <f t="shared" ca="1" si="200"/>
        <v>#VALUE!</v>
      </c>
      <c r="BB164" s="15" t="e">
        <f t="shared" ca="1" si="201"/>
        <v>#VALUE!</v>
      </c>
      <c r="BC164" s="1" t="e">
        <f t="shared" ca="1" si="202"/>
        <v>#VALUE!</v>
      </c>
      <c r="BE164" s="15" t="str">
        <f>IF(ISBLANK('Exception Stores'!$A$6),"",'Exception Stores'!$A$6)</f>
        <v/>
      </c>
      <c r="BF164" s="15" t="str">
        <f>IF(ISBLANK('Exception Stores'!$B$6),"",'Exception Stores'!$B$6)</f>
        <v/>
      </c>
      <c r="BG164" s="1">
        <f>IF(ISBLANK('Exception Stores'!$A$6),0,IF($AN$2&gt;$BF$2,($AN$2-$BF$2)*24,0))</f>
        <v>0</v>
      </c>
      <c r="BH164" s="11">
        <f>IF(ISBLANK('Exception Stores'!$A$6),0,($BF$2-$BE$2)*24)</f>
        <v>0</v>
      </c>
      <c r="BI16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64" s="1">
        <f>IF(ISBLANK('Exception Stores'!$A$6),0,IF($AN$2&gt;$BF$2,0,IF(AND($AN$2&lt;$BF$2,$BT$2="B"),(($BF$2-$AN$2)*24)-$BS$2,($BF$2-$AN$2)*24)))</f>
        <v>0</v>
      </c>
      <c r="BL164" s="5"/>
      <c r="BM164" s="5"/>
      <c r="BN164" s="5"/>
      <c r="BO164" s="5"/>
      <c r="BP164" s="5"/>
      <c r="BV164" s="1" t="e">
        <f t="shared" ca="1" si="203"/>
        <v>#VALUE!</v>
      </c>
      <c r="BW164" s="1" t="e">
        <f t="shared" ca="1" si="204"/>
        <v>#VALUE!</v>
      </c>
      <c r="BX164" s="1" t="e">
        <f t="shared" ca="1" si="205"/>
        <v>#VALUE!</v>
      </c>
      <c r="BY164" s="1" t="e">
        <f t="shared" ca="1" si="206"/>
        <v>#VALUE!</v>
      </c>
      <c r="BZ164" s="1" t="e">
        <f t="shared" ca="1" si="207"/>
        <v>#VALUE!</v>
      </c>
      <c r="CB164" s="1" t="str">
        <f>IF(ISBLANK('Exception Stores'!$A$6),"",WEEKDAY($BF$2))</f>
        <v/>
      </c>
      <c r="CC164" s="1" t="str">
        <f>IF(ISBLANK('Exception Stores'!$A$6),"NO",IF('Exception Stores'!$A$6&lt;$AU$2,"YES","NO"))</f>
        <v>NO</v>
      </c>
      <c r="CD164" s="1" t="str">
        <f>IF(ISBLANK('Exception Stores'!$A$6),"NO",IF('Exception Stores'!$A$6&lt;$AV$2,"YES","NO"))</f>
        <v>NO</v>
      </c>
      <c r="CE164" s="1" t="str">
        <f>IF(ISBLANK('Exception Stores'!$A$6),"NO",IF('Exception Stores'!$A$6&lt;$AW$2,"YES","NO"))</f>
        <v>NO</v>
      </c>
      <c r="CF164" s="1" t="str">
        <f>IF(ISBLANK('Exception Stores'!$A$6),"NO",IF('Exception Stores'!$A$6&lt;$AX$2,"YES","NO"))</f>
        <v>NO</v>
      </c>
      <c r="CG164" s="1" t="str">
        <f>IF(ISBLANK('Exception Stores'!$A$6),"NO",IF('Exception Stores'!$A$6&lt;$AY$2,"YES","NO"))</f>
        <v>NO</v>
      </c>
      <c r="CI164" s="42" t="str">
        <f>IF(ISBLANK('Exception Stores'!$B$6),"NO",IF('Exception Stores'!$B$6&lt;=$AU$2,"YES","NO"))</f>
        <v>NO</v>
      </c>
      <c r="CJ164" s="42" t="str">
        <f>IF(ISBLANK('Exception Stores'!$B$6),"NO",IF('Exception Stores'!$B$6&lt;=$AV$2,"YES","NO"))</f>
        <v>NO</v>
      </c>
      <c r="CK164" s="1" t="str">
        <f>IF(ISBLANK('Exception Stores'!$B$6),"NO",IF('Exception Stores'!$B$6&lt;=$AW$2,"YES","NO"))</f>
        <v>NO</v>
      </c>
      <c r="CL164" s="1" t="str">
        <f>IF(ISBLANK('Exception Stores'!$B$6),"NO",IF('Exception Stores'!$B$6&lt;=$AX$2,"YES","NO"))</f>
        <v>NO</v>
      </c>
      <c r="CM164" s="1" t="str">
        <f>IF(ISBLANK('Exception Stores'!$B$6),"NO",IF('Exception Stores'!$B$6&lt;=$AY$2,"YES","NO"))</f>
        <v>NO</v>
      </c>
      <c r="CO164" s="1" t="e">
        <f ca="1">IF(AM164&lt;'Exception Stores'!$A$6,"YES","NO")</f>
        <v>#VALUE!</v>
      </c>
      <c r="CP164" s="1">
        <f t="shared" si="208"/>
        <v>0</v>
      </c>
      <c r="CQ164" s="1">
        <f t="shared" si="209"/>
        <v>0</v>
      </c>
      <c r="CR164" s="1">
        <f t="shared" si="210"/>
        <v>0</v>
      </c>
      <c r="CS164" s="1">
        <f t="shared" si="211"/>
        <v>0</v>
      </c>
      <c r="CT164" s="1">
        <f t="shared" si="212"/>
        <v>0</v>
      </c>
      <c r="CU164" s="1">
        <f t="shared" si="213"/>
        <v>0</v>
      </c>
      <c r="CW164" s="1" t="e">
        <f t="shared" ca="1" si="218"/>
        <v>#VALUE!</v>
      </c>
      <c r="CX164" s="1" t="e">
        <f t="shared" ca="1" si="219"/>
        <v>#VALUE!</v>
      </c>
      <c r="CY164" s="1" t="e">
        <f t="shared" ca="1" si="220"/>
        <v>#VALUE!</v>
      </c>
      <c r="CZ164" s="1" t="e">
        <f t="shared" ca="1" si="221"/>
        <v>#VALUE!</v>
      </c>
      <c r="DA164" s="1" t="e">
        <f t="shared" ca="1" si="222"/>
        <v>#VALUE!</v>
      </c>
      <c r="DB164" s="26" t="e">
        <f t="shared" ca="1" si="214"/>
        <v>#VALUE!</v>
      </c>
      <c r="DC164" s="1">
        <f t="shared" si="223"/>
        <v>0</v>
      </c>
      <c r="DD164" s="1">
        <f t="shared" si="224"/>
        <v>0</v>
      </c>
      <c r="DE164" s="1">
        <f t="shared" si="225"/>
        <v>0</v>
      </c>
      <c r="DF164" s="1">
        <f t="shared" si="226"/>
        <v>0</v>
      </c>
      <c r="DG164" s="1">
        <f t="shared" si="227"/>
        <v>0</v>
      </c>
      <c r="DH164" s="26">
        <f t="shared" si="215"/>
        <v>0</v>
      </c>
      <c r="DI164" s="1" t="e">
        <f t="shared" ca="1" si="216"/>
        <v>#VALUE!</v>
      </c>
      <c r="DK164" s="11" t="str">
        <f t="shared" si="228"/>
        <v/>
      </c>
      <c r="DL164" s="11" t="e">
        <f ca="1">IF(AND(NOT(ISBLANK('Exception Stores'!$A$6)),CO164="YES"),S164-$BH$2-(DI164*$BS$2)-(CU164*$BS$2),S164-(DB164*$BS$2))</f>
        <v>#VALUE!</v>
      </c>
      <c r="DM164" s="11" t="str">
        <f>IF(ISBLANK(A164),"",IF(COUNTIF(Remaps!$A$2:$A$200,B164)&gt;0,"YES",""))</f>
        <v>YES</v>
      </c>
      <c r="DN164" s="29">
        <f>IFERROR(INDEX(Remaps!$B$2:$B$200,MATCH(B164,Remaps!$A$2:$A$200,0),1),0)</f>
        <v>0</v>
      </c>
      <c r="DO164" s="11" t="e">
        <f t="shared" ca="1" si="229"/>
        <v>#VALUE!</v>
      </c>
      <c r="DP164" s="29" t="e">
        <f t="shared" si="230"/>
        <v>#VALUE!</v>
      </c>
      <c r="DQ164" s="11" t="e">
        <f ca="1">('Apollo Dock Status'!$Z$1-DP164)/DO164</f>
        <v>#VALUE!</v>
      </c>
      <c r="DR164" s="15" t="e">
        <f t="shared" ca="1" si="217"/>
        <v>#VALUE!</v>
      </c>
    </row>
    <row r="165" spans="1:122">
      <c r="A165" s="1" t="str">
        <f>IF(ISBLANK('Apollo Dock Status'!A165),"",'Apollo Dock Status'!A165)</f>
        <v/>
      </c>
      <c r="B165" s="1" t="str">
        <f>IF(ISBLANK('Apollo Dock Status'!B165),"",'Apollo Dock Status'!B165)</f>
        <v/>
      </c>
      <c r="C165" s="1" t="str">
        <f>IF(ISBLANK('Apollo Dock Status'!C165),"",'Apollo Dock Status'!C165)</f>
        <v/>
      </c>
      <c r="D165" s="1" t="str">
        <f>IF(ISBLANK('Apollo Dock Status'!D165),"",'Apollo Dock Status'!D165)</f>
        <v/>
      </c>
      <c r="E165" s="1" t="str">
        <f>IF(ISBLANK('Apollo Dock Status'!E165),"",'Apollo Dock Status'!E165)</f>
        <v/>
      </c>
      <c r="F165" s="1" t="str">
        <f>IF(ISBLANK('Apollo Dock Status'!F165),"",'Apollo Dock Status'!F165)</f>
        <v/>
      </c>
      <c r="G165" s="1" t="str">
        <f>IF(ISBLANK('Apollo Dock Status'!G165),"",'Apollo Dock Status'!G165)</f>
        <v/>
      </c>
      <c r="H165" s="1" t="str">
        <f>IF(ISBLANK('Apollo Dock Status'!H165),"",'Apollo Dock Status'!H165)</f>
        <v/>
      </c>
      <c r="I165" s="1" t="str">
        <f>IF(ISBLANK('Apollo Dock Status'!I165),"",'Apollo Dock Status'!I165)</f>
        <v/>
      </c>
      <c r="J165" s="1" t="str">
        <f>IF(ISBLANK('Apollo Dock Status'!J165),"",'Apollo Dock Status'!J165)</f>
        <v/>
      </c>
      <c r="K165" s="1" t="str">
        <f>IF(ISBLANK('Apollo Dock Status'!K165),"",'Apollo Dock Status'!K165)</f>
        <v/>
      </c>
      <c r="L165" s="1" t="str">
        <f>IF(ISBLANK('Apollo Dock Status'!L165),"",'Apollo Dock Status'!L165)</f>
        <v/>
      </c>
      <c r="M165" s="1" t="str">
        <f>IF(ISBLANK('Apollo Dock Status'!M165),"",'Apollo Dock Status'!M165)</f>
        <v/>
      </c>
      <c r="N165" s="1" t="str">
        <f>IF(ISBLANK('Apollo Dock Status'!N165),"",'Apollo Dock Status'!N165)</f>
        <v/>
      </c>
      <c r="O165" s="1" t="str">
        <f t="shared" si="167"/>
        <v/>
      </c>
      <c r="P165" s="1" t="str">
        <f t="shared" si="168"/>
        <v/>
      </c>
      <c r="Q165" s="1" t="str">
        <f t="shared" si="169"/>
        <v/>
      </c>
      <c r="R165" s="1" t="str">
        <f t="shared" si="170"/>
        <v/>
      </c>
      <c r="S165" s="11" t="str">
        <f t="shared" si="171"/>
        <v/>
      </c>
      <c r="T165" s="1" t="str">
        <f t="shared" si="172"/>
        <v/>
      </c>
      <c r="U165" s="11" t="str">
        <f t="shared" si="173"/>
        <v/>
      </c>
      <c r="V165" s="11" t="str">
        <f t="shared" si="174"/>
        <v/>
      </c>
      <c r="X165" s="1" t="str">
        <f t="shared" si="175"/>
        <v/>
      </c>
      <c r="Y165" s="1" t="str">
        <f t="shared" si="176"/>
        <v/>
      </c>
      <c r="Z165" s="1" t="str">
        <f t="shared" si="177"/>
        <v/>
      </c>
      <c r="AB165" s="13">
        <f t="shared" ca="1" si="178"/>
        <v>46176</v>
      </c>
      <c r="AC165" s="1">
        <f t="shared" ca="1" si="179"/>
        <v>2026</v>
      </c>
      <c r="AD165" s="1" t="str">
        <f t="shared" ca="1" si="180"/>
        <v>6</v>
      </c>
      <c r="AE165" s="1">
        <f t="shared" si="181"/>
        <v>1</v>
      </c>
      <c r="AF165" s="1" t="str">
        <f t="shared" si="182"/>
        <v/>
      </c>
      <c r="AG165" s="1">
        <f t="shared" ca="1" si="183"/>
        <v>2026</v>
      </c>
      <c r="AH165" s="1">
        <f t="shared" si="184"/>
        <v>1</v>
      </c>
      <c r="AI165" s="1" t="str">
        <f t="shared" ca="1" si="185"/>
        <v>6</v>
      </c>
      <c r="AJ165" s="13" t="e">
        <f t="shared" ca="1" si="186"/>
        <v>#VALUE!</v>
      </c>
      <c r="AK165" s="1" t="e">
        <f>IF(ISBLANK(A165),"",IFERROR(MID(F165,SEARCH(", ",F165)+LEN(", "),SEARCH(" "&amp;'Exception Stores'!$A$2,F165)-SEARCH(", ",F165)-LEN(", ")),MID(F165,SEARCH(", ",F165)+LEN(", "),SEARCH(" "&amp;'Exception Stores'!$B$2,F165)-SEARCH(", ",F165)-LEN(", "))))</f>
        <v>#VALUE!</v>
      </c>
      <c r="AL165" s="1" t="e">
        <f t="shared" si="187"/>
        <v>#VALUE!</v>
      </c>
      <c r="AM165" s="15" t="e">
        <f t="shared" ca="1" si="188"/>
        <v>#VALUE!</v>
      </c>
      <c r="AN165" s="24" t="e">
        <f t="shared" ca="1" si="189"/>
        <v>#VALUE!</v>
      </c>
      <c r="AO165" s="1" t="e">
        <f t="shared" ca="1" si="190"/>
        <v>#VALUE!</v>
      </c>
      <c r="AP165" s="13" t="e">
        <f t="shared" ca="1" si="191"/>
        <v>#VALUE!</v>
      </c>
      <c r="AQ165" s="17" t="e">
        <f t="shared" ca="1" si="192"/>
        <v>#VALUE!</v>
      </c>
      <c r="AS165" s="15" t="e">
        <f t="shared" ca="1" si="193"/>
        <v>#VALUE!</v>
      </c>
      <c r="AT165" s="5">
        <f>'Exception Stores'!$D$2</f>
        <v>0.125</v>
      </c>
      <c r="AU165" s="15" t="e">
        <f t="shared" ca="1" si="194"/>
        <v>#VALUE!</v>
      </c>
      <c r="AV165" s="15" t="e">
        <f t="shared" ca="1" si="195"/>
        <v>#VALUE!</v>
      </c>
      <c r="AW165" s="15" t="e">
        <f t="shared" ca="1" si="196"/>
        <v>#VALUE!</v>
      </c>
      <c r="AX165" s="15" t="e">
        <f t="shared" ca="1" si="197"/>
        <v>#VALUE!</v>
      </c>
      <c r="AY165" s="15" t="e">
        <f t="shared" ca="1" si="198"/>
        <v>#VALUE!</v>
      </c>
      <c r="AZ165" s="1" t="e">
        <f t="shared" ca="1" si="199"/>
        <v>#VALUE!</v>
      </c>
      <c r="BA165" s="15" t="e">
        <f t="shared" ca="1" si="200"/>
        <v>#VALUE!</v>
      </c>
      <c r="BB165" s="15" t="e">
        <f t="shared" ca="1" si="201"/>
        <v>#VALUE!</v>
      </c>
      <c r="BC165" s="1" t="e">
        <f t="shared" ca="1" si="202"/>
        <v>#VALUE!</v>
      </c>
      <c r="BE165" s="15" t="str">
        <f>IF(ISBLANK('Exception Stores'!$A$6),"",'Exception Stores'!$A$6)</f>
        <v/>
      </c>
      <c r="BF165" s="15" t="str">
        <f>IF(ISBLANK('Exception Stores'!$B$6),"",'Exception Stores'!$B$6)</f>
        <v/>
      </c>
      <c r="BG165" s="1">
        <f>IF(ISBLANK('Exception Stores'!$A$6),0,IF($AN$2&gt;$BF$2,($AN$2-$BF$2)*24,0))</f>
        <v>0</v>
      </c>
      <c r="BH165" s="11">
        <f>IF(ISBLANK('Exception Stores'!$A$6),0,($BF$2-$BE$2)*24)</f>
        <v>0</v>
      </c>
      <c r="BI16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65" s="1">
        <f>IF(ISBLANK('Exception Stores'!$A$6),0,IF($AN$2&gt;$BF$2,0,IF(AND($AN$2&lt;$BF$2,$BT$2="B"),(($BF$2-$AN$2)*24)-$BS$2,($BF$2-$AN$2)*24)))</f>
        <v>0</v>
      </c>
      <c r="BL165" s="5"/>
      <c r="BM165" s="5"/>
      <c r="BN165" s="5"/>
      <c r="BO165" s="5"/>
      <c r="BP165" s="5"/>
      <c r="BV165" s="1" t="e">
        <f t="shared" ca="1" si="203"/>
        <v>#VALUE!</v>
      </c>
      <c r="BW165" s="1" t="e">
        <f t="shared" ca="1" si="204"/>
        <v>#VALUE!</v>
      </c>
      <c r="BX165" s="1" t="e">
        <f t="shared" ca="1" si="205"/>
        <v>#VALUE!</v>
      </c>
      <c r="BY165" s="1" t="e">
        <f t="shared" ca="1" si="206"/>
        <v>#VALUE!</v>
      </c>
      <c r="BZ165" s="1" t="e">
        <f t="shared" ca="1" si="207"/>
        <v>#VALUE!</v>
      </c>
      <c r="CB165" s="1" t="str">
        <f>IF(ISBLANK('Exception Stores'!$A$6),"",WEEKDAY($BF$2))</f>
        <v/>
      </c>
      <c r="CC165" s="1" t="str">
        <f>IF(ISBLANK('Exception Stores'!$A$6),"NO",IF('Exception Stores'!$A$6&lt;$AU$2,"YES","NO"))</f>
        <v>NO</v>
      </c>
      <c r="CD165" s="1" t="str">
        <f>IF(ISBLANK('Exception Stores'!$A$6),"NO",IF('Exception Stores'!$A$6&lt;$AV$2,"YES","NO"))</f>
        <v>NO</v>
      </c>
      <c r="CE165" s="1" t="str">
        <f>IF(ISBLANK('Exception Stores'!$A$6),"NO",IF('Exception Stores'!$A$6&lt;$AW$2,"YES","NO"))</f>
        <v>NO</v>
      </c>
      <c r="CF165" s="1" t="str">
        <f>IF(ISBLANK('Exception Stores'!$A$6),"NO",IF('Exception Stores'!$A$6&lt;$AX$2,"YES","NO"))</f>
        <v>NO</v>
      </c>
      <c r="CG165" s="1" t="str">
        <f>IF(ISBLANK('Exception Stores'!$A$6),"NO",IF('Exception Stores'!$A$6&lt;$AY$2,"YES","NO"))</f>
        <v>NO</v>
      </c>
      <c r="CI165" s="42" t="str">
        <f>IF(ISBLANK('Exception Stores'!$B$6),"NO",IF('Exception Stores'!$B$6&lt;=$AU$2,"YES","NO"))</f>
        <v>NO</v>
      </c>
      <c r="CJ165" s="42" t="str">
        <f>IF(ISBLANK('Exception Stores'!$B$6),"NO",IF('Exception Stores'!$B$6&lt;=$AV$2,"YES","NO"))</f>
        <v>NO</v>
      </c>
      <c r="CK165" s="1" t="str">
        <f>IF(ISBLANK('Exception Stores'!$B$6),"NO",IF('Exception Stores'!$B$6&lt;=$AW$2,"YES","NO"))</f>
        <v>NO</v>
      </c>
      <c r="CL165" s="1" t="str">
        <f>IF(ISBLANK('Exception Stores'!$B$6),"NO",IF('Exception Stores'!$B$6&lt;=$AX$2,"YES","NO"))</f>
        <v>NO</v>
      </c>
      <c r="CM165" s="1" t="str">
        <f>IF(ISBLANK('Exception Stores'!$B$6),"NO",IF('Exception Stores'!$B$6&lt;=$AY$2,"YES","NO"))</f>
        <v>NO</v>
      </c>
      <c r="CO165" s="1" t="e">
        <f ca="1">IF(AM165&lt;'Exception Stores'!$A$6,"YES","NO")</f>
        <v>#VALUE!</v>
      </c>
      <c r="CP165" s="1">
        <f t="shared" si="208"/>
        <v>0</v>
      </c>
      <c r="CQ165" s="1">
        <f t="shared" si="209"/>
        <v>0</v>
      </c>
      <c r="CR165" s="1">
        <f t="shared" si="210"/>
        <v>0</v>
      </c>
      <c r="CS165" s="1">
        <f t="shared" si="211"/>
        <v>0</v>
      </c>
      <c r="CT165" s="1">
        <f t="shared" si="212"/>
        <v>0</v>
      </c>
      <c r="CU165" s="1">
        <f t="shared" si="213"/>
        <v>0</v>
      </c>
      <c r="CW165" s="1" t="e">
        <f t="shared" ca="1" si="218"/>
        <v>#VALUE!</v>
      </c>
      <c r="CX165" s="1" t="e">
        <f t="shared" ca="1" si="219"/>
        <v>#VALUE!</v>
      </c>
      <c r="CY165" s="1" t="e">
        <f t="shared" ca="1" si="220"/>
        <v>#VALUE!</v>
      </c>
      <c r="CZ165" s="1" t="e">
        <f t="shared" ca="1" si="221"/>
        <v>#VALUE!</v>
      </c>
      <c r="DA165" s="1" t="e">
        <f t="shared" ca="1" si="222"/>
        <v>#VALUE!</v>
      </c>
      <c r="DB165" s="26" t="e">
        <f t="shared" ca="1" si="214"/>
        <v>#VALUE!</v>
      </c>
      <c r="DC165" s="1">
        <f t="shared" si="223"/>
        <v>0</v>
      </c>
      <c r="DD165" s="1">
        <f t="shared" si="224"/>
        <v>0</v>
      </c>
      <c r="DE165" s="1">
        <f t="shared" si="225"/>
        <v>0</v>
      </c>
      <c r="DF165" s="1">
        <f t="shared" si="226"/>
        <v>0</v>
      </c>
      <c r="DG165" s="1">
        <f t="shared" si="227"/>
        <v>0</v>
      </c>
      <c r="DH165" s="26">
        <f t="shared" si="215"/>
        <v>0</v>
      </c>
      <c r="DI165" s="1" t="e">
        <f t="shared" ca="1" si="216"/>
        <v>#VALUE!</v>
      </c>
      <c r="DK165" s="11" t="str">
        <f t="shared" si="228"/>
        <v/>
      </c>
      <c r="DL165" s="11" t="e">
        <f ca="1">IF(AND(NOT(ISBLANK('Exception Stores'!$A$6)),CO165="YES"),S165-$BH$2-(DI165*$BS$2)-(CU165*$BS$2),S165-(DB165*$BS$2))</f>
        <v>#VALUE!</v>
      </c>
      <c r="DM165" s="11" t="str">
        <f>IF(ISBLANK(A165),"",IF(COUNTIF(Remaps!$A$2:$A$200,B165)&gt;0,"YES",""))</f>
        <v>YES</v>
      </c>
      <c r="DN165" s="29">
        <f>IFERROR(INDEX(Remaps!$B$2:$B$200,MATCH(B165,Remaps!$A$2:$A$200,0),1),0)</f>
        <v>0</v>
      </c>
      <c r="DO165" s="11" t="e">
        <f t="shared" ca="1" si="229"/>
        <v>#VALUE!</v>
      </c>
      <c r="DP165" s="29" t="e">
        <f t="shared" si="230"/>
        <v>#VALUE!</v>
      </c>
      <c r="DQ165" s="11" t="e">
        <f ca="1">('Apollo Dock Status'!$Z$1-DP165)/DO165</f>
        <v>#VALUE!</v>
      </c>
      <c r="DR165" s="15" t="e">
        <f t="shared" ca="1" si="217"/>
        <v>#VALUE!</v>
      </c>
    </row>
    <row r="166" spans="1:122">
      <c r="A166" s="1" t="str">
        <f>IF(ISBLANK('Apollo Dock Status'!A166),"",'Apollo Dock Status'!A166)</f>
        <v/>
      </c>
      <c r="B166" s="1" t="str">
        <f>IF(ISBLANK('Apollo Dock Status'!B166),"",'Apollo Dock Status'!B166)</f>
        <v/>
      </c>
      <c r="C166" s="1" t="str">
        <f>IF(ISBLANK('Apollo Dock Status'!C166),"",'Apollo Dock Status'!C166)</f>
        <v/>
      </c>
      <c r="D166" s="1" t="str">
        <f>IF(ISBLANK('Apollo Dock Status'!D166),"",'Apollo Dock Status'!D166)</f>
        <v/>
      </c>
      <c r="E166" s="1" t="str">
        <f>IF(ISBLANK('Apollo Dock Status'!E166),"",'Apollo Dock Status'!E166)</f>
        <v/>
      </c>
      <c r="F166" s="1" t="str">
        <f>IF(ISBLANK('Apollo Dock Status'!F166),"",'Apollo Dock Status'!F166)</f>
        <v/>
      </c>
      <c r="G166" s="1" t="str">
        <f>IF(ISBLANK('Apollo Dock Status'!G166),"",'Apollo Dock Status'!G166)</f>
        <v/>
      </c>
      <c r="H166" s="1" t="str">
        <f>IF(ISBLANK('Apollo Dock Status'!H166),"",'Apollo Dock Status'!H166)</f>
        <v/>
      </c>
      <c r="I166" s="1" t="str">
        <f>IF(ISBLANK('Apollo Dock Status'!I166),"",'Apollo Dock Status'!I166)</f>
        <v/>
      </c>
      <c r="J166" s="1" t="str">
        <f>IF(ISBLANK('Apollo Dock Status'!J166),"",'Apollo Dock Status'!J166)</f>
        <v/>
      </c>
      <c r="K166" s="1" t="str">
        <f>IF(ISBLANK('Apollo Dock Status'!K166),"",'Apollo Dock Status'!K166)</f>
        <v/>
      </c>
      <c r="L166" s="1" t="str">
        <f>IF(ISBLANK('Apollo Dock Status'!L166),"",'Apollo Dock Status'!L166)</f>
        <v/>
      </c>
      <c r="M166" s="1" t="str">
        <f>IF(ISBLANK('Apollo Dock Status'!M166),"",'Apollo Dock Status'!M166)</f>
        <v/>
      </c>
      <c r="N166" s="1" t="str">
        <f>IF(ISBLANK('Apollo Dock Status'!N166),"",'Apollo Dock Status'!N166)</f>
        <v/>
      </c>
      <c r="O166" s="1" t="str">
        <f t="shared" si="167"/>
        <v/>
      </c>
      <c r="P166" s="1" t="str">
        <f t="shared" si="168"/>
        <v/>
      </c>
      <c r="Q166" s="1" t="str">
        <f t="shared" si="169"/>
        <v/>
      </c>
      <c r="R166" s="1" t="str">
        <f t="shared" si="170"/>
        <v/>
      </c>
      <c r="S166" s="11" t="str">
        <f t="shared" si="171"/>
        <v/>
      </c>
      <c r="T166" s="1" t="str">
        <f t="shared" si="172"/>
        <v/>
      </c>
      <c r="U166" s="11" t="str">
        <f t="shared" si="173"/>
        <v/>
      </c>
      <c r="V166" s="11" t="str">
        <f t="shared" si="174"/>
        <v/>
      </c>
      <c r="X166" s="1" t="str">
        <f t="shared" si="175"/>
        <v/>
      </c>
      <c r="Y166" s="1" t="str">
        <f t="shared" si="176"/>
        <v/>
      </c>
      <c r="Z166" s="1" t="str">
        <f t="shared" si="177"/>
        <v/>
      </c>
      <c r="AB166" s="13">
        <f t="shared" ca="1" si="178"/>
        <v>46176</v>
      </c>
      <c r="AC166" s="1">
        <f t="shared" ca="1" si="179"/>
        <v>2026</v>
      </c>
      <c r="AD166" s="1" t="str">
        <f t="shared" ca="1" si="180"/>
        <v>6</v>
      </c>
      <c r="AE166" s="1">
        <f t="shared" si="181"/>
        <v>1</v>
      </c>
      <c r="AF166" s="1" t="str">
        <f t="shared" si="182"/>
        <v/>
      </c>
      <c r="AG166" s="1">
        <f t="shared" ca="1" si="183"/>
        <v>2026</v>
      </c>
      <c r="AH166" s="1">
        <f t="shared" si="184"/>
        <v>1</v>
      </c>
      <c r="AI166" s="1" t="str">
        <f t="shared" ca="1" si="185"/>
        <v>6</v>
      </c>
      <c r="AJ166" s="13" t="e">
        <f t="shared" ca="1" si="186"/>
        <v>#VALUE!</v>
      </c>
      <c r="AK166" s="1" t="e">
        <f>IF(ISBLANK(A166),"",IFERROR(MID(F166,SEARCH(", ",F166)+LEN(", "),SEARCH(" "&amp;'Exception Stores'!$A$2,F166)-SEARCH(", ",F166)-LEN(", ")),MID(F166,SEARCH(", ",F166)+LEN(", "),SEARCH(" "&amp;'Exception Stores'!$B$2,F166)-SEARCH(", ",F166)-LEN(", "))))</f>
        <v>#VALUE!</v>
      </c>
      <c r="AL166" s="1" t="e">
        <f t="shared" si="187"/>
        <v>#VALUE!</v>
      </c>
      <c r="AM166" s="15" t="e">
        <f t="shared" ca="1" si="188"/>
        <v>#VALUE!</v>
      </c>
      <c r="AN166" s="24" t="e">
        <f t="shared" ca="1" si="189"/>
        <v>#VALUE!</v>
      </c>
      <c r="AO166" s="1" t="e">
        <f t="shared" ca="1" si="190"/>
        <v>#VALUE!</v>
      </c>
      <c r="AP166" s="13" t="e">
        <f t="shared" ca="1" si="191"/>
        <v>#VALUE!</v>
      </c>
      <c r="AQ166" s="17" t="e">
        <f t="shared" ca="1" si="192"/>
        <v>#VALUE!</v>
      </c>
      <c r="AS166" s="15" t="e">
        <f t="shared" ca="1" si="193"/>
        <v>#VALUE!</v>
      </c>
      <c r="AT166" s="5">
        <f>'Exception Stores'!$D$2</f>
        <v>0.125</v>
      </c>
      <c r="AU166" s="15" t="e">
        <f t="shared" ca="1" si="194"/>
        <v>#VALUE!</v>
      </c>
      <c r="AV166" s="15" t="e">
        <f t="shared" ca="1" si="195"/>
        <v>#VALUE!</v>
      </c>
      <c r="AW166" s="15" t="e">
        <f t="shared" ca="1" si="196"/>
        <v>#VALUE!</v>
      </c>
      <c r="AX166" s="15" t="e">
        <f t="shared" ca="1" si="197"/>
        <v>#VALUE!</v>
      </c>
      <c r="AY166" s="15" t="e">
        <f t="shared" ca="1" si="198"/>
        <v>#VALUE!</v>
      </c>
      <c r="AZ166" s="1" t="e">
        <f t="shared" ca="1" si="199"/>
        <v>#VALUE!</v>
      </c>
      <c r="BA166" s="15" t="e">
        <f t="shared" ca="1" si="200"/>
        <v>#VALUE!</v>
      </c>
      <c r="BB166" s="15" t="e">
        <f t="shared" ca="1" si="201"/>
        <v>#VALUE!</v>
      </c>
      <c r="BC166" s="1" t="e">
        <f t="shared" ca="1" si="202"/>
        <v>#VALUE!</v>
      </c>
      <c r="BE166" s="15" t="str">
        <f>IF(ISBLANK('Exception Stores'!$A$6),"",'Exception Stores'!$A$6)</f>
        <v/>
      </c>
      <c r="BF166" s="15" t="str">
        <f>IF(ISBLANK('Exception Stores'!$B$6),"",'Exception Stores'!$B$6)</f>
        <v/>
      </c>
      <c r="BG166" s="1">
        <f>IF(ISBLANK('Exception Stores'!$A$6),0,IF($AN$2&gt;$BF$2,($AN$2-$BF$2)*24,0))</f>
        <v>0</v>
      </c>
      <c r="BH166" s="11">
        <f>IF(ISBLANK('Exception Stores'!$A$6),0,($BF$2-$BE$2)*24)</f>
        <v>0</v>
      </c>
      <c r="BI16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66" s="1">
        <f>IF(ISBLANK('Exception Stores'!$A$6),0,IF($AN$2&gt;$BF$2,0,IF(AND($AN$2&lt;$BF$2,$BT$2="B"),(($BF$2-$AN$2)*24)-$BS$2,($BF$2-$AN$2)*24)))</f>
        <v>0</v>
      </c>
      <c r="BL166" s="5"/>
      <c r="BM166" s="5"/>
      <c r="BN166" s="5"/>
      <c r="BO166" s="5"/>
      <c r="BP166" s="5"/>
      <c r="BV166" s="1" t="e">
        <f t="shared" ca="1" si="203"/>
        <v>#VALUE!</v>
      </c>
      <c r="BW166" s="1" t="e">
        <f t="shared" ca="1" si="204"/>
        <v>#VALUE!</v>
      </c>
      <c r="BX166" s="1" t="e">
        <f t="shared" ca="1" si="205"/>
        <v>#VALUE!</v>
      </c>
      <c r="BY166" s="1" t="e">
        <f t="shared" ca="1" si="206"/>
        <v>#VALUE!</v>
      </c>
      <c r="BZ166" s="1" t="e">
        <f t="shared" ca="1" si="207"/>
        <v>#VALUE!</v>
      </c>
      <c r="CB166" s="1" t="str">
        <f>IF(ISBLANK('Exception Stores'!$A$6),"",WEEKDAY($BF$2))</f>
        <v/>
      </c>
      <c r="CC166" s="1" t="str">
        <f>IF(ISBLANK('Exception Stores'!$A$6),"NO",IF('Exception Stores'!$A$6&lt;$AU$2,"YES","NO"))</f>
        <v>NO</v>
      </c>
      <c r="CD166" s="1" t="str">
        <f>IF(ISBLANK('Exception Stores'!$A$6),"NO",IF('Exception Stores'!$A$6&lt;$AV$2,"YES","NO"))</f>
        <v>NO</v>
      </c>
      <c r="CE166" s="1" t="str">
        <f>IF(ISBLANK('Exception Stores'!$A$6),"NO",IF('Exception Stores'!$A$6&lt;$AW$2,"YES","NO"))</f>
        <v>NO</v>
      </c>
      <c r="CF166" s="1" t="str">
        <f>IF(ISBLANK('Exception Stores'!$A$6),"NO",IF('Exception Stores'!$A$6&lt;$AX$2,"YES","NO"))</f>
        <v>NO</v>
      </c>
      <c r="CG166" s="1" t="str">
        <f>IF(ISBLANK('Exception Stores'!$A$6),"NO",IF('Exception Stores'!$A$6&lt;$AY$2,"YES","NO"))</f>
        <v>NO</v>
      </c>
      <c r="CI166" s="42" t="str">
        <f>IF(ISBLANK('Exception Stores'!$B$6),"NO",IF('Exception Stores'!$B$6&lt;=$AU$2,"YES","NO"))</f>
        <v>NO</v>
      </c>
      <c r="CJ166" s="42" t="str">
        <f>IF(ISBLANK('Exception Stores'!$B$6),"NO",IF('Exception Stores'!$B$6&lt;=$AV$2,"YES","NO"))</f>
        <v>NO</v>
      </c>
      <c r="CK166" s="1" t="str">
        <f>IF(ISBLANK('Exception Stores'!$B$6),"NO",IF('Exception Stores'!$B$6&lt;=$AW$2,"YES","NO"))</f>
        <v>NO</v>
      </c>
      <c r="CL166" s="1" t="str">
        <f>IF(ISBLANK('Exception Stores'!$B$6),"NO",IF('Exception Stores'!$B$6&lt;=$AX$2,"YES","NO"))</f>
        <v>NO</v>
      </c>
      <c r="CM166" s="1" t="str">
        <f>IF(ISBLANK('Exception Stores'!$B$6),"NO",IF('Exception Stores'!$B$6&lt;=$AY$2,"YES","NO"))</f>
        <v>NO</v>
      </c>
      <c r="CO166" s="1" t="e">
        <f ca="1">IF(AM166&lt;'Exception Stores'!$A$6,"YES","NO")</f>
        <v>#VALUE!</v>
      </c>
      <c r="CP166" s="1">
        <f t="shared" si="208"/>
        <v>0</v>
      </c>
      <c r="CQ166" s="1">
        <f t="shared" si="209"/>
        <v>0</v>
      </c>
      <c r="CR166" s="1">
        <f t="shared" si="210"/>
        <v>0</v>
      </c>
      <c r="CS166" s="1">
        <f t="shared" si="211"/>
        <v>0</v>
      </c>
      <c r="CT166" s="1">
        <f t="shared" si="212"/>
        <v>0</v>
      </c>
      <c r="CU166" s="1">
        <f t="shared" si="213"/>
        <v>0</v>
      </c>
      <c r="CW166" s="1" t="e">
        <f t="shared" ca="1" si="218"/>
        <v>#VALUE!</v>
      </c>
      <c r="CX166" s="1" t="e">
        <f t="shared" ca="1" si="219"/>
        <v>#VALUE!</v>
      </c>
      <c r="CY166" s="1" t="e">
        <f t="shared" ca="1" si="220"/>
        <v>#VALUE!</v>
      </c>
      <c r="CZ166" s="1" t="e">
        <f t="shared" ca="1" si="221"/>
        <v>#VALUE!</v>
      </c>
      <c r="DA166" s="1" t="e">
        <f t="shared" ca="1" si="222"/>
        <v>#VALUE!</v>
      </c>
      <c r="DB166" s="26" t="e">
        <f t="shared" ca="1" si="214"/>
        <v>#VALUE!</v>
      </c>
      <c r="DC166" s="1">
        <f t="shared" si="223"/>
        <v>0</v>
      </c>
      <c r="DD166" s="1">
        <f t="shared" si="224"/>
        <v>0</v>
      </c>
      <c r="DE166" s="1">
        <f t="shared" si="225"/>
        <v>0</v>
      </c>
      <c r="DF166" s="1">
        <f t="shared" si="226"/>
        <v>0</v>
      </c>
      <c r="DG166" s="1">
        <f t="shared" si="227"/>
        <v>0</v>
      </c>
      <c r="DH166" s="26">
        <f t="shared" si="215"/>
        <v>0</v>
      </c>
      <c r="DI166" s="1" t="e">
        <f t="shared" ca="1" si="216"/>
        <v>#VALUE!</v>
      </c>
      <c r="DK166" s="11" t="str">
        <f t="shared" si="228"/>
        <v/>
      </c>
      <c r="DL166" s="11" t="e">
        <f ca="1">IF(AND(NOT(ISBLANK('Exception Stores'!$A$6)),CO166="YES"),S166-$BH$2-(DI166*$BS$2)-(CU166*$BS$2),S166-(DB166*$BS$2))</f>
        <v>#VALUE!</v>
      </c>
      <c r="DM166" s="11" t="str">
        <f>IF(ISBLANK(A166),"",IF(COUNTIF(Remaps!$A$2:$A$200,B166)&gt;0,"YES",""))</f>
        <v>YES</v>
      </c>
      <c r="DN166" s="29">
        <f>IFERROR(INDEX(Remaps!$B$2:$B$200,MATCH(B166,Remaps!$A$2:$A$200,0),1),0)</f>
        <v>0</v>
      </c>
      <c r="DO166" s="11" t="e">
        <f t="shared" ca="1" si="229"/>
        <v>#VALUE!</v>
      </c>
      <c r="DP166" s="29" t="e">
        <f t="shared" si="230"/>
        <v>#VALUE!</v>
      </c>
      <c r="DQ166" s="11" t="e">
        <f ca="1">('Apollo Dock Status'!$Z$1-DP166)/DO166</f>
        <v>#VALUE!</v>
      </c>
      <c r="DR166" s="15" t="e">
        <f t="shared" ca="1" si="217"/>
        <v>#VALUE!</v>
      </c>
    </row>
    <row r="167" spans="1:122">
      <c r="A167" s="1" t="str">
        <f>IF(ISBLANK('Apollo Dock Status'!A167),"",'Apollo Dock Status'!A167)</f>
        <v/>
      </c>
      <c r="B167" s="1" t="str">
        <f>IF(ISBLANK('Apollo Dock Status'!B167),"",'Apollo Dock Status'!B167)</f>
        <v/>
      </c>
      <c r="C167" s="1" t="str">
        <f>IF(ISBLANK('Apollo Dock Status'!C167),"",'Apollo Dock Status'!C167)</f>
        <v/>
      </c>
      <c r="D167" s="1" t="str">
        <f>IF(ISBLANK('Apollo Dock Status'!D167),"",'Apollo Dock Status'!D167)</f>
        <v/>
      </c>
      <c r="E167" s="1" t="str">
        <f>IF(ISBLANK('Apollo Dock Status'!E167),"",'Apollo Dock Status'!E167)</f>
        <v/>
      </c>
      <c r="F167" s="1" t="str">
        <f>IF(ISBLANK('Apollo Dock Status'!F167),"",'Apollo Dock Status'!F167)</f>
        <v/>
      </c>
      <c r="G167" s="1" t="str">
        <f>IF(ISBLANK('Apollo Dock Status'!G167),"",'Apollo Dock Status'!G167)</f>
        <v/>
      </c>
      <c r="H167" s="1" t="str">
        <f>IF(ISBLANK('Apollo Dock Status'!H167),"",'Apollo Dock Status'!H167)</f>
        <v/>
      </c>
      <c r="I167" s="1" t="str">
        <f>IF(ISBLANK('Apollo Dock Status'!I167),"",'Apollo Dock Status'!I167)</f>
        <v/>
      </c>
      <c r="J167" s="1" t="str">
        <f>IF(ISBLANK('Apollo Dock Status'!J167),"",'Apollo Dock Status'!J167)</f>
        <v/>
      </c>
      <c r="K167" s="1" t="str">
        <f>IF(ISBLANK('Apollo Dock Status'!K167),"",'Apollo Dock Status'!K167)</f>
        <v/>
      </c>
      <c r="L167" s="1" t="str">
        <f>IF(ISBLANK('Apollo Dock Status'!L167),"",'Apollo Dock Status'!L167)</f>
        <v/>
      </c>
      <c r="M167" s="1" t="str">
        <f>IF(ISBLANK('Apollo Dock Status'!M167),"",'Apollo Dock Status'!M167)</f>
        <v/>
      </c>
      <c r="N167" s="1" t="str">
        <f>IF(ISBLANK('Apollo Dock Status'!N167),"",'Apollo Dock Status'!N167)</f>
        <v/>
      </c>
      <c r="O167" s="1" t="str">
        <f t="shared" si="167"/>
        <v/>
      </c>
      <c r="P167" s="1" t="str">
        <f t="shared" si="168"/>
        <v/>
      </c>
      <c r="Q167" s="1" t="str">
        <f t="shared" si="169"/>
        <v/>
      </c>
      <c r="R167" s="1" t="str">
        <f t="shared" si="170"/>
        <v/>
      </c>
      <c r="S167" s="11" t="str">
        <f t="shared" si="171"/>
        <v/>
      </c>
      <c r="T167" s="1" t="str">
        <f t="shared" si="172"/>
        <v/>
      </c>
      <c r="U167" s="11" t="str">
        <f t="shared" si="173"/>
        <v/>
      </c>
      <c r="V167" s="11" t="str">
        <f t="shared" si="174"/>
        <v/>
      </c>
      <c r="X167" s="1" t="str">
        <f t="shared" si="175"/>
        <v/>
      </c>
      <c r="Y167" s="1" t="str">
        <f t="shared" si="176"/>
        <v/>
      </c>
      <c r="Z167" s="1" t="str">
        <f t="shared" si="177"/>
        <v/>
      </c>
      <c r="AB167" s="13">
        <f t="shared" ca="1" si="178"/>
        <v>46176</v>
      </c>
      <c r="AC167" s="1">
        <f t="shared" ca="1" si="179"/>
        <v>2026</v>
      </c>
      <c r="AD167" s="1" t="str">
        <f t="shared" ca="1" si="180"/>
        <v>6</v>
      </c>
      <c r="AE167" s="1">
        <f t="shared" si="181"/>
        <v>1</v>
      </c>
      <c r="AF167" s="1" t="str">
        <f t="shared" si="182"/>
        <v/>
      </c>
      <c r="AG167" s="1">
        <f t="shared" ca="1" si="183"/>
        <v>2026</v>
      </c>
      <c r="AH167" s="1">
        <f t="shared" si="184"/>
        <v>1</v>
      </c>
      <c r="AI167" s="1" t="str">
        <f t="shared" ca="1" si="185"/>
        <v>6</v>
      </c>
      <c r="AJ167" s="13" t="e">
        <f t="shared" ca="1" si="186"/>
        <v>#VALUE!</v>
      </c>
      <c r="AK167" s="1" t="e">
        <f>IF(ISBLANK(A167),"",IFERROR(MID(F167,SEARCH(", ",F167)+LEN(", "),SEARCH(" "&amp;'Exception Stores'!$A$2,F167)-SEARCH(", ",F167)-LEN(", ")),MID(F167,SEARCH(", ",F167)+LEN(", "),SEARCH(" "&amp;'Exception Stores'!$B$2,F167)-SEARCH(", ",F167)-LEN(", "))))</f>
        <v>#VALUE!</v>
      </c>
      <c r="AL167" s="1" t="e">
        <f t="shared" si="187"/>
        <v>#VALUE!</v>
      </c>
      <c r="AM167" s="15" t="e">
        <f t="shared" ca="1" si="188"/>
        <v>#VALUE!</v>
      </c>
      <c r="AN167" s="24" t="e">
        <f t="shared" ca="1" si="189"/>
        <v>#VALUE!</v>
      </c>
      <c r="AO167" s="1" t="e">
        <f t="shared" ca="1" si="190"/>
        <v>#VALUE!</v>
      </c>
      <c r="AP167" s="13" t="e">
        <f t="shared" ca="1" si="191"/>
        <v>#VALUE!</v>
      </c>
      <c r="AQ167" s="17" t="e">
        <f t="shared" ca="1" si="192"/>
        <v>#VALUE!</v>
      </c>
      <c r="AS167" s="15" t="e">
        <f t="shared" ca="1" si="193"/>
        <v>#VALUE!</v>
      </c>
      <c r="AT167" s="5">
        <f>'Exception Stores'!$D$2</f>
        <v>0.125</v>
      </c>
      <c r="AU167" s="15" t="e">
        <f t="shared" ca="1" si="194"/>
        <v>#VALUE!</v>
      </c>
      <c r="AV167" s="15" t="e">
        <f t="shared" ca="1" si="195"/>
        <v>#VALUE!</v>
      </c>
      <c r="AW167" s="15" t="e">
        <f t="shared" ca="1" si="196"/>
        <v>#VALUE!</v>
      </c>
      <c r="AX167" s="15" t="e">
        <f t="shared" ca="1" si="197"/>
        <v>#VALUE!</v>
      </c>
      <c r="AY167" s="15" t="e">
        <f t="shared" ca="1" si="198"/>
        <v>#VALUE!</v>
      </c>
      <c r="AZ167" s="1" t="e">
        <f t="shared" ca="1" si="199"/>
        <v>#VALUE!</v>
      </c>
      <c r="BA167" s="15" t="e">
        <f t="shared" ca="1" si="200"/>
        <v>#VALUE!</v>
      </c>
      <c r="BB167" s="15" t="e">
        <f t="shared" ca="1" si="201"/>
        <v>#VALUE!</v>
      </c>
      <c r="BC167" s="1" t="e">
        <f t="shared" ca="1" si="202"/>
        <v>#VALUE!</v>
      </c>
      <c r="BE167" s="15" t="str">
        <f>IF(ISBLANK('Exception Stores'!$A$6),"",'Exception Stores'!$A$6)</f>
        <v/>
      </c>
      <c r="BF167" s="15" t="str">
        <f>IF(ISBLANK('Exception Stores'!$B$6),"",'Exception Stores'!$B$6)</f>
        <v/>
      </c>
      <c r="BG167" s="1">
        <f>IF(ISBLANK('Exception Stores'!$A$6),0,IF($AN$2&gt;$BF$2,($AN$2-$BF$2)*24,0))</f>
        <v>0</v>
      </c>
      <c r="BH167" s="11">
        <f>IF(ISBLANK('Exception Stores'!$A$6),0,($BF$2-$BE$2)*24)</f>
        <v>0</v>
      </c>
      <c r="BI16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67" s="1">
        <f>IF(ISBLANK('Exception Stores'!$A$6),0,IF($AN$2&gt;$BF$2,0,IF(AND($AN$2&lt;$BF$2,$BT$2="B"),(($BF$2-$AN$2)*24)-$BS$2,($BF$2-$AN$2)*24)))</f>
        <v>0</v>
      </c>
      <c r="BL167" s="5"/>
      <c r="BM167" s="5"/>
      <c r="BN167" s="5"/>
      <c r="BO167" s="5"/>
      <c r="BP167" s="5"/>
      <c r="BV167" s="1" t="e">
        <f t="shared" ca="1" si="203"/>
        <v>#VALUE!</v>
      </c>
      <c r="BW167" s="1" t="e">
        <f t="shared" ca="1" si="204"/>
        <v>#VALUE!</v>
      </c>
      <c r="BX167" s="1" t="e">
        <f t="shared" ca="1" si="205"/>
        <v>#VALUE!</v>
      </c>
      <c r="BY167" s="1" t="e">
        <f t="shared" ca="1" si="206"/>
        <v>#VALUE!</v>
      </c>
      <c r="BZ167" s="1" t="e">
        <f t="shared" ca="1" si="207"/>
        <v>#VALUE!</v>
      </c>
      <c r="CB167" s="1" t="str">
        <f>IF(ISBLANK('Exception Stores'!$A$6),"",WEEKDAY($BF$2))</f>
        <v/>
      </c>
      <c r="CC167" s="1" t="str">
        <f>IF(ISBLANK('Exception Stores'!$A$6),"NO",IF('Exception Stores'!$A$6&lt;$AU$2,"YES","NO"))</f>
        <v>NO</v>
      </c>
      <c r="CD167" s="1" t="str">
        <f>IF(ISBLANK('Exception Stores'!$A$6),"NO",IF('Exception Stores'!$A$6&lt;$AV$2,"YES","NO"))</f>
        <v>NO</v>
      </c>
      <c r="CE167" s="1" t="str">
        <f>IF(ISBLANK('Exception Stores'!$A$6),"NO",IF('Exception Stores'!$A$6&lt;$AW$2,"YES","NO"))</f>
        <v>NO</v>
      </c>
      <c r="CF167" s="1" t="str">
        <f>IF(ISBLANK('Exception Stores'!$A$6),"NO",IF('Exception Stores'!$A$6&lt;$AX$2,"YES","NO"))</f>
        <v>NO</v>
      </c>
      <c r="CG167" s="1" t="str">
        <f>IF(ISBLANK('Exception Stores'!$A$6),"NO",IF('Exception Stores'!$A$6&lt;$AY$2,"YES","NO"))</f>
        <v>NO</v>
      </c>
      <c r="CI167" s="42" t="str">
        <f>IF(ISBLANK('Exception Stores'!$B$6),"NO",IF('Exception Stores'!$B$6&lt;=$AU$2,"YES","NO"))</f>
        <v>NO</v>
      </c>
      <c r="CJ167" s="42" t="str">
        <f>IF(ISBLANK('Exception Stores'!$B$6),"NO",IF('Exception Stores'!$B$6&lt;=$AV$2,"YES","NO"))</f>
        <v>NO</v>
      </c>
      <c r="CK167" s="1" t="str">
        <f>IF(ISBLANK('Exception Stores'!$B$6),"NO",IF('Exception Stores'!$B$6&lt;=$AW$2,"YES","NO"))</f>
        <v>NO</v>
      </c>
      <c r="CL167" s="1" t="str">
        <f>IF(ISBLANK('Exception Stores'!$B$6),"NO",IF('Exception Stores'!$B$6&lt;=$AX$2,"YES","NO"))</f>
        <v>NO</v>
      </c>
      <c r="CM167" s="1" t="str">
        <f>IF(ISBLANK('Exception Stores'!$B$6),"NO",IF('Exception Stores'!$B$6&lt;=$AY$2,"YES","NO"))</f>
        <v>NO</v>
      </c>
      <c r="CO167" s="1" t="e">
        <f ca="1">IF(AM167&lt;'Exception Stores'!$A$6,"YES","NO")</f>
        <v>#VALUE!</v>
      </c>
      <c r="CP167" s="1">
        <f t="shared" si="208"/>
        <v>0</v>
      </c>
      <c r="CQ167" s="1">
        <f t="shared" si="209"/>
        <v>0</v>
      </c>
      <c r="CR167" s="1">
        <f t="shared" si="210"/>
        <v>0</v>
      </c>
      <c r="CS167" s="1">
        <f t="shared" si="211"/>
        <v>0</v>
      </c>
      <c r="CT167" s="1">
        <f t="shared" si="212"/>
        <v>0</v>
      </c>
      <c r="CU167" s="1">
        <f t="shared" si="213"/>
        <v>0</v>
      </c>
      <c r="CW167" s="1" t="e">
        <f t="shared" ca="1" si="218"/>
        <v>#VALUE!</v>
      </c>
      <c r="CX167" s="1" t="e">
        <f t="shared" ca="1" si="219"/>
        <v>#VALUE!</v>
      </c>
      <c r="CY167" s="1" t="e">
        <f t="shared" ca="1" si="220"/>
        <v>#VALUE!</v>
      </c>
      <c r="CZ167" s="1" t="e">
        <f t="shared" ca="1" si="221"/>
        <v>#VALUE!</v>
      </c>
      <c r="DA167" s="1" t="e">
        <f t="shared" ca="1" si="222"/>
        <v>#VALUE!</v>
      </c>
      <c r="DB167" s="26" t="e">
        <f t="shared" ca="1" si="214"/>
        <v>#VALUE!</v>
      </c>
      <c r="DC167" s="1">
        <f t="shared" si="223"/>
        <v>0</v>
      </c>
      <c r="DD167" s="1">
        <f t="shared" si="224"/>
        <v>0</v>
      </c>
      <c r="DE167" s="1">
        <f t="shared" si="225"/>
        <v>0</v>
      </c>
      <c r="DF167" s="1">
        <f t="shared" si="226"/>
        <v>0</v>
      </c>
      <c r="DG167" s="1">
        <f t="shared" si="227"/>
        <v>0</v>
      </c>
      <c r="DH167" s="26">
        <f t="shared" si="215"/>
        <v>0</v>
      </c>
      <c r="DI167" s="1" t="e">
        <f t="shared" ca="1" si="216"/>
        <v>#VALUE!</v>
      </c>
      <c r="DK167" s="11" t="str">
        <f t="shared" si="228"/>
        <v/>
      </c>
      <c r="DL167" s="11" t="e">
        <f ca="1">IF(AND(NOT(ISBLANK('Exception Stores'!$A$6)),CO167="YES"),S167-$BH$2-(DI167*$BS$2)-(CU167*$BS$2),S167-(DB167*$BS$2))</f>
        <v>#VALUE!</v>
      </c>
      <c r="DM167" s="11" t="str">
        <f>IF(ISBLANK(A167),"",IF(COUNTIF(Remaps!$A$2:$A$200,B167)&gt;0,"YES",""))</f>
        <v>YES</v>
      </c>
      <c r="DN167" s="29">
        <f>IFERROR(INDEX(Remaps!$B$2:$B$200,MATCH(B167,Remaps!$A$2:$A$200,0),1),0)</f>
        <v>0</v>
      </c>
      <c r="DO167" s="11" t="e">
        <f t="shared" ca="1" si="229"/>
        <v>#VALUE!</v>
      </c>
      <c r="DP167" s="29" t="e">
        <f t="shared" si="230"/>
        <v>#VALUE!</v>
      </c>
      <c r="DQ167" s="11" t="e">
        <f ca="1">('Apollo Dock Status'!$Z$1-DP167)/DO167</f>
        <v>#VALUE!</v>
      </c>
      <c r="DR167" s="15" t="e">
        <f t="shared" ca="1" si="217"/>
        <v>#VALUE!</v>
      </c>
    </row>
    <row r="168" spans="1:122">
      <c r="A168" s="1" t="str">
        <f>IF(ISBLANK('Apollo Dock Status'!A168),"",'Apollo Dock Status'!A168)</f>
        <v/>
      </c>
      <c r="B168" s="1" t="str">
        <f>IF(ISBLANK('Apollo Dock Status'!B168),"",'Apollo Dock Status'!B168)</f>
        <v/>
      </c>
      <c r="C168" s="1" t="str">
        <f>IF(ISBLANK('Apollo Dock Status'!C168),"",'Apollo Dock Status'!C168)</f>
        <v/>
      </c>
      <c r="D168" s="1" t="str">
        <f>IF(ISBLANK('Apollo Dock Status'!D168),"",'Apollo Dock Status'!D168)</f>
        <v/>
      </c>
      <c r="E168" s="1" t="str">
        <f>IF(ISBLANK('Apollo Dock Status'!E168),"",'Apollo Dock Status'!E168)</f>
        <v/>
      </c>
      <c r="F168" s="1" t="str">
        <f>IF(ISBLANK('Apollo Dock Status'!F168),"",'Apollo Dock Status'!F168)</f>
        <v/>
      </c>
      <c r="G168" s="1" t="str">
        <f>IF(ISBLANK('Apollo Dock Status'!G168),"",'Apollo Dock Status'!G168)</f>
        <v/>
      </c>
      <c r="H168" s="1" t="str">
        <f>IF(ISBLANK('Apollo Dock Status'!H168),"",'Apollo Dock Status'!H168)</f>
        <v/>
      </c>
      <c r="I168" s="1" t="str">
        <f>IF(ISBLANK('Apollo Dock Status'!I168),"",'Apollo Dock Status'!I168)</f>
        <v/>
      </c>
      <c r="J168" s="1" t="str">
        <f>IF(ISBLANK('Apollo Dock Status'!J168),"",'Apollo Dock Status'!J168)</f>
        <v/>
      </c>
      <c r="K168" s="1" t="str">
        <f>IF(ISBLANK('Apollo Dock Status'!K168),"",'Apollo Dock Status'!K168)</f>
        <v/>
      </c>
      <c r="L168" s="1" t="str">
        <f>IF(ISBLANK('Apollo Dock Status'!L168),"",'Apollo Dock Status'!L168)</f>
        <v/>
      </c>
      <c r="M168" s="1" t="str">
        <f>IF(ISBLANK('Apollo Dock Status'!M168),"",'Apollo Dock Status'!M168)</f>
        <v/>
      </c>
      <c r="N168" s="1" t="str">
        <f>IF(ISBLANK('Apollo Dock Status'!N168),"",'Apollo Dock Status'!N168)</f>
        <v/>
      </c>
      <c r="O168" s="1" t="str">
        <f t="shared" si="167"/>
        <v/>
      </c>
      <c r="P168" s="1" t="str">
        <f t="shared" si="168"/>
        <v/>
      </c>
      <c r="Q168" s="1" t="str">
        <f t="shared" si="169"/>
        <v/>
      </c>
      <c r="R168" s="1" t="str">
        <f t="shared" si="170"/>
        <v/>
      </c>
      <c r="S168" s="11" t="str">
        <f t="shared" si="171"/>
        <v/>
      </c>
      <c r="T168" s="1" t="str">
        <f t="shared" si="172"/>
        <v/>
      </c>
      <c r="U168" s="11" t="str">
        <f t="shared" si="173"/>
        <v/>
      </c>
      <c r="V168" s="11" t="str">
        <f t="shared" si="174"/>
        <v/>
      </c>
      <c r="X168" s="1" t="str">
        <f t="shared" si="175"/>
        <v/>
      </c>
      <c r="Y168" s="1" t="str">
        <f t="shared" si="176"/>
        <v/>
      </c>
      <c r="Z168" s="1" t="str">
        <f t="shared" si="177"/>
        <v/>
      </c>
      <c r="AB168" s="13">
        <f t="shared" ca="1" si="178"/>
        <v>46176</v>
      </c>
      <c r="AC168" s="1">
        <f t="shared" ca="1" si="179"/>
        <v>2026</v>
      </c>
      <c r="AD168" s="1" t="str">
        <f t="shared" ca="1" si="180"/>
        <v>6</v>
      </c>
      <c r="AE168" s="1">
        <f t="shared" si="181"/>
        <v>1</v>
      </c>
      <c r="AF168" s="1" t="str">
        <f t="shared" si="182"/>
        <v/>
      </c>
      <c r="AG168" s="1">
        <f t="shared" ca="1" si="183"/>
        <v>2026</v>
      </c>
      <c r="AH168" s="1">
        <f t="shared" si="184"/>
        <v>1</v>
      </c>
      <c r="AI168" s="1" t="str">
        <f t="shared" ca="1" si="185"/>
        <v>6</v>
      </c>
      <c r="AJ168" s="13" t="e">
        <f t="shared" ca="1" si="186"/>
        <v>#VALUE!</v>
      </c>
      <c r="AK168" s="1" t="e">
        <f>IF(ISBLANK(A168),"",IFERROR(MID(F168,SEARCH(", ",F168)+LEN(", "),SEARCH(" "&amp;'Exception Stores'!$A$2,F168)-SEARCH(", ",F168)-LEN(", ")),MID(F168,SEARCH(", ",F168)+LEN(", "),SEARCH(" "&amp;'Exception Stores'!$B$2,F168)-SEARCH(", ",F168)-LEN(", "))))</f>
        <v>#VALUE!</v>
      </c>
      <c r="AL168" s="1" t="e">
        <f t="shared" si="187"/>
        <v>#VALUE!</v>
      </c>
      <c r="AM168" s="15" t="e">
        <f t="shared" ca="1" si="188"/>
        <v>#VALUE!</v>
      </c>
      <c r="AN168" s="24" t="e">
        <f t="shared" ca="1" si="189"/>
        <v>#VALUE!</v>
      </c>
      <c r="AO168" s="1" t="e">
        <f t="shared" ca="1" si="190"/>
        <v>#VALUE!</v>
      </c>
      <c r="AP168" s="13" t="e">
        <f t="shared" ca="1" si="191"/>
        <v>#VALUE!</v>
      </c>
      <c r="AQ168" s="17" t="e">
        <f t="shared" ca="1" si="192"/>
        <v>#VALUE!</v>
      </c>
      <c r="AS168" s="15" t="e">
        <f t="shared" ca="1" si="193"/>
        <v>#VALUE!</v>
      </c>
      <c r="AT168" s="5">
        <f>'Exception Stores'!$D$2</f>
        <v>0.125</v>
      </c>
      <c r="AU168" s="15" t="e">
        <f t="shared" ca="1" si="194"/>
        <v>#VALUE!</v>
      </c>
      <c r="AV168" s="15" t="e">
        <f t="shared" ca="1" si="195"/>
        <v>#VALUE!</v>
      </c>
      <c r="AW168" s="15" t="e">
        <f t="shared" ca="1" si="196"/>
        <v>#VALUE!</v>
      </c>
      <c r="AX168" s="15" t="e">
        <f t="shared" ca="1" si="197"/>
        <v>#VALUE!</v>
      </c>
      <c r="AY168" s="15" t="e">
        <f t="shared" ca="1" si="198"/>
        <v>#VALUE!</v>
      </c>
      <c r="AZ168" s="1" t="e">
        <f t="shared" ca="1" si="199"/>
        <v>#VALUE!</v>
      </c>
      <c r="BA168" s="15" t="e">
        <f t="shared" ca="1" si="200"/>
        <v>#VALUE!</v>
      </c>
      <c r="BB168" s="15" t="e">
        <f t="shared" ca="1" si="201"/>
        <v>#VALUE!</v>
      </c>
      <c r="BC168" s="1" t="e">
        <f t="shared" ca="1" si="202"/>
        <v>#VALUE!</v>
      </c>
      <c r="BE168" s="15" t="str">
        <f>IF(ISBLANK('Exception Stores'!$A$6),"",'Exception Stores'!$A$6)</f>
        <v/>
      </c>
      <c r="BF168" s="15" t="str">
        <f>IF(ISBLANK('Exception Stores'!$B$6),"",'Exception Stores'!$B$6)</f>
        <v/>
      </c>
      <c r="BG168" s="1">
        <f>IF(ISBLANK('Exception Stores'!$A$6),0,IF($AN$2&gt;$BF$2,($AN$2-$BF$2)*24,0))</f>
        <v>0</v>
      </c>
      <c r="BH168" s="11">
        <f>IF(ISBLANK('Exception Stores'!$A$6),0,($BF$2-$BE$2)*24)</f>
        <v>0</v>
      </c>
      <c r="BI16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68" s="1">
        <f>IF(ISBLANK('Exception Stores'!$A$6),0,IF($AN$2&gt;$BF$2,0,IF(AND($AN$2&lt;$BF$2,$BT$2="B"),(($BF$2-$AN$2)*24)-$BS$2,($BF$2-$AN$2)*24)))</f>
        <v>0</v>
      </c>
      <c r="BL168" s="5"/>
      <c r="BM168" s="5"/>
      <c r="BN168" s="5"/>
      <c r="BO168" s="5"/>
      <c r="BP168" s="5"/>
      <c r="BV168" s="1" t="e">
        <f t="shared" ca="1" si="203"/>
        <v>#VALUE!</v>
      </c>
      <c r="BW168" s="1" t="e">
        <f t="shared" ca="1" si="204"/>
        <v>#VALUE!</v>
      </c>
      <c r="BX168" s="1" t="e">
        <f t="shared" ca="1" si="205"/>
        <v>#VALUE!</v>
      </c>
      <c r="BY168" s="1" t="e">
        <f t="shared" ca="1" si="206"/>
        <v>#VALUE!</v>
      </c>
      <c r="BZ168" s="1" t="e">
        <f t="shared" ca="1" si="207"/>
        <v>#VALUE!</v>
      </c>
      <c r="CB168" s="1" t="str">
        <f>IF(ISBLANK('Exception Stores'!$A$6),"",WEEKDAY($BF$2))</f>
        <v/>
      </c>
      <c r="CC168" s="1" t="str">
        <f>IF(ISBLANK('Exception Stores'!$A$6),"NO",IF('Exception Stores'!$A$6&lt;$AU$2,"YES","NO"))</f>
        <v>NO</v>
      </c>
      <c r="CD168" s="1" t="str">
        <f>IF(ISBLANK('Exception Stores'!$A$6),"NO",IF('Exception Stores'!$A$6&lt;$AV$2,"YES","NO"))</f>
        <v>NO</v>
      </c>
      <c r="CE168" s="1" t="str">
        <f>IF(ISBLANK('Exception Stores'!$A$6),"NO",IF('Exception Stores'!$A$6&lt;$AW$2,"YES","NO"))</f>
        <v>NO</v>
      </c>
      <c r="CF168" s="1" t="str">
        <f>IF(ISBLANK('Exception Stores'!$A$6),"NO",IF('Exception Stores'!$A$6&lt;$AX$2,"YES","NO"))</f>
        <v>NO</v>
      </c>
      <c r="CG168" s="1" t="str">
        <f>IF(ISBLANK('Exception Stores'!$A$6),"NO",IF('Exception Stores'!$A$6&lt;$AY$2,"YES","NO"))</f>
        <v>NO</v>
      </c>
      <c r="CI168" s="42" t="str">
        <f>IF(ISBLANK('Exception Stores'!$B$6),"NO",IF('Exception Stores'!$B$6&lt;=$AU$2,"YES","NO"))</f>
        <v>NO</v>
      </c>
      <c r="CJ168" s="42" t="str">
        <f>IF(ISBLANK('Exception Stores'!$B$6),"NO",IF('Exception Stores'!$B$6&lt;=$AV$2,"YES","NO"))</f>
        <v>NO</v>
      </c>
      <c r="CK168" s="1" t="str">
        <f>IF(ISBLANK('Exception Stores'!$B$6),"NO",IF('Exception Stores'!$B$6&lt;=$AW$2,"YES","NO"))</f>
        <v>NO</v>
      </c>
      <c r="CL168" s="1" t="str">
        <f>IF(ISBLANK('Exception Stores'!$B$6),"NO",IF('Exception Stores'!$B$6&lt;=$AX$2,"YES","NO"))</f>
        <v>NO</v>
      </c>
      <c r="CM168" s="1" t="str">
        <f>IF(ISBLANK('Exception Stores'!$B$6),"NO",IF('Exception Stores'!$B$6&lt;=$AY$2,"YES","NO"))</f>
        <v>NO</v>
      </c>
      <c r="CO168" s="1" t="e">
        <f ca="1">IF(AM168&lt;'Exception Stores'!$A$6,"YES","NO")</f>
        <v>#VALUE!</v>
      </c>
      <c r="CP168" s="1">
        <f t="shared" si="208"/>
        <v>0</v>
      </c>
      <c r="CQ168" s="1">
        <f t="shared" si="209"/>
        <v>0</v>
      </c>
      <c r="CR168" s="1">
        <f t="shared" si="210"/>
        <v>0</v>
      </c>
      <c r="CS168" s="1">
        <f t="shared" si="211"/>
        <v>0</v>
      </c>
      <c r="CT168" s="1">
        <f t="shared" si="212"/>
        <v>0</v>
      </c>
      <c r="CU168" s="1">
        <f t="shared" si="213"/>
        <v>0</v>
      </c>
      <c r="CW168" s="1" t="e">
        <f t="shared" ca="1" si="218"/>
        <v>#VALUE!</v>
      </c>
      <c r="CX168" s="1" t="e">
        <f t="shared" ca="1" si="219"/>
        <v>#VALUE!</v>
      </c>
      <c r="CY168" s="1" t="e">
        <f t="shared" ca="1" si="220"/>
        <v>#VALUE!</v>
      </c>
      <c r="CZ168" s="1" t="e">
        <f t="shared" ca="1" si="221"/>
        <v>#VALUE!</v>
      </c>
      <c r="DA168" s="1" t="e">
        <f t="shared" ca="1" si="222"/>
        <v>#VALUE!</v>
      </c>
      <c r="DB168" s="26" t="e">
        <f t="shared" ca="1" si="214"/>
        <v>#VALUE!</v>
      </c>
      <c r="DC168" s="1">
        <f t="shared" si="223"/>
        <v>0</v>
      </c>
      <c r="DD168" s="1">
        <f t="shared" si="224"/>
        <v>0</v>
      </c>
      <c r="DE168" s="1">
        <f t="shared" si="225"/>
        <v>0</v>
      </c>
      <c r="DF168" s="1">
        <f t="shared" si="226"/>
        <v>0</v>
      </c>
      <c r="DG168" s="1">
        <f t="shared" si="227"/>
        <v>0</v>
      </c>
      <c r="DH168" s="26">
        <f t="shared" si="215"/>
        <v>0</v>
      </c>
      <c r="DI168" s="1" t="e">
        <f t="shared" ca="1" si="216"/>
        <v>#VALUE!</v>
      </c>
      <c r="DK168" s="11" t="str">
        <f t="shared" si="228"/>
        <v/>
      </c>
      <c r="DL168" s="11" t="e">
        <f ca="1">IF(AND(NOT(ISBLANK('Exception Stores'!$A$6)),CO168="YES"),S168-$BH$2-(DI168*$BS$2)-(CU168*$BS$2),S168-(DB168*$BS$2))</f>
        <v>#VALUE!</v>
      </c>
      <c r="DM168" s="11" t="str">
        <f>IF(ISBLANK(A168),"",IF(COUNTIF(Remaps!$A$2:$A$200,B168)&gt;0,"YES",""))</f>
        <v>YES</v>
      </c>
      <c r="DN168" s="29">
        <f>IFERROR(INDEX(Remaps!$B$2:$B$200,MATCH(B168,Remaps!$A$2:$A$200,0),1),0)</f>
        <v>0</v>
      </c>
      <c r="DO168" s="11" t="e">
        <f t="shared" ca="1" si="229"/>
        <v>#VALUE!</v>
      </c>
      <c r="DP168" s="29" t="e">
        <f t="shared" si="230"/>
        <v>#VALUE!</v>
      </c>
      <c r="DQ168" s="11" t="e">
        <f ca="1">('Apollo Dock Status'!$Z$1-DP168)/DO168</f>
        <v>#VALUE!</v>
      </c>
      <c r="DR168" s="15" t="e">
        <f t="shared" ca="1" si="217"/>
        <v>#VALUE!</v>
      </c>
    </row>
    <row r="169" spans="1:122">
      <c r="A169" s="1" t="str">
        <f>IF(ISBLANK('Apollo Dock Status'!A169),"",'Apollo Dock Status'!A169)</f>
        <v/>
      </c>
      <c r="B169" s="1" t="str">
        <f>IF(ISBLANK('Apollo Dock Status'!B169),"",'Apollo Dock Status'!B169)</f>
        <v/>
      </c>
      <c r="C169" s="1" t="str">
        <f>IF(ISBLANK('Apollo Dock Status'!C169),"",'Apollo Dock Status'!C169)</f>
        <v/>
      </c>
      <c r="D169" s="1" t="str">
        <f>IF(ISBLANK('Apollo Dock Status'!D169),"",'Apollo Dock Status'!D169)</f>
        <v/>
      </c>
      <c r="E169" s="1" t="str">
        <f>IF(ISBLANK('Apollo Dock Status'!E169),"",'Apollo Dock Status'!E169)</f>
        <v/>
      </c>
      <c r="F169" s="1" t="str">
        <f>IF(ISBLANK('Apollo Dock Status'!F169),"",'Apollo Dock Status'!F169)</f>
        <v/>
      </c>
      <c r="G169" s="1" t="str">
        <f>IF(ISBLANK('Apollo Dock Status'!G169),"",'Apollo Dock Status'!G169)</f>
        <v/>
      </c>
      <c r="H169" s="1" t="str">
        <f>IF(ISBLANK('Apollo Dock Status'!H169),"",'Apollo Dock Status'!H169)</f>
        <v/>
      </c>
      <c r="I169" s="1" t="str">
        <f>IF(ISBLANK('Apollo Dock Status'!I169),"",'Apollo Dock Status'!I169)</f>
        <v/>
      </c>
      <c r="J169" s="1" t="str">
        <f>IF(ISBLANK('Apollo Dock Status'!J169),"",'Apollo Dock Status'!J169)</f>
        <v/>
      </c>
      <c r="K169" s="1" t="str">
        <f>IF(ISBLANK('Apollo Dock Status'!K169),"",'Apollo Dock Status'!K169)</f>
        <v/>
      </c>
      <c r="L169" s="1" t="str">
        <f>IF(ISBLANK('Apollo Dock Status'!L169),"",'Apollo Dock Status'!L169)</f>
        <v/>
      </c>
      <c r="M169" s="1" t="str">
        <f>IF(ISBLANK('Apollo Dock Status'!M169),"",'Apollo Dock Status'!M169)</f>
        <v/>
      </c>
      <c r="N169" s="1" t="str">
        <f>IF(ISBLANK('Apollo Dock Status'!N169),"",'Apollo Dock Status'!N169)</f>
        <v/>
      </c>
      <c r="O169" s="1" t="str">
        <f t="shared" si="167"/>
        <v/>
      </c>
      <c r="P169" s="1" t="str">
        <f t="shared" si="168"/>
        <v/>
      </c>
      <c r="Q169" s="1" t="str">
        <f t="shared" si="169"/>
        <v/>
      </c>
      <c r="R169" s="1" t="str">
        <f t="shared" si="170"/>
        <v/>
      </c>
      <c r="S169" s="11" t="str">
        <f t="shared" si="171"/>
        <v/>
      </c>
      <c r="T169" s="1" t="str">
        <f t="shared" si="172"/>
        <v/>
      </c>
      <c r="U169" s="11" t="str">
        <f t="shared" si="173"/>
        <v/>
      </c>
      <c r="V169" s="11" t="str">
        <f t="shared" si="174"/>
        <v/>
      </c>
      <c r="X169" s="1" t="str">
        <f t="shared" si="175"/>
        <v/>
      </c>
      <c r="Y169" s="1" t="str">
        <f t="shared" si="176"/>
        <v/>
      </c>
      <c r="Z169" s="1" t="str">
        <f t="shared" si="177"/>
        <v/>
      </c>
      <c r="AB169" s="13">
        <f t="shared" ca="1" si="178"/>
        <v>46176</v>
      </c>
      <c r="AC169" s="1">
        <f t="shared" ca="1" si="179"/>
        <v>2026</v>
      </c>
      <c r="AD169" s="1" t="str">
        <f t="shared" ca="1" si="180"/>
        <v>6</v>
      </c>
      <c r="AE169" s="1">
        <f t="shared" si="181"/>
        <v>1</v>
      </c>
      <c r="AF169" s="1" t="str">
        <f t="shared" si="182"/>
        <v/>
      </c>
      <c r="AG169" s="1">
        <f t="shared" ca="1" si="183"/>
        <v>2026</v>
      </c>
      <c r="AH169" s="1">
        <f t="shared" si="184"/>
        <v>1</v>
      </c>
      <c r="AI169" s="1" t="str">
        <f t="shared" ca="1" si="185"/>
        <v>6</v>
      </c>
      <c r="AJ169" s="13" t="e">
        <f t="shared" ca="1" si="186"/>
        <v>#VALUE!</v>
      </c>
      <c r="AK169" s="1" t="e">
        <f>IF(ISBLANK(A169),"",IFERROR(MID(F169,SEARCH(", ",F169)+LEN(", "),SEARCH(" "&amp;'Exception Stores'!$A$2,F169)-SEARCH(", ",F169)-LEN(", ")),MID(F169,SEARCH(", ",F169)+LEN(", "),SEARCH(" "&amp;'Exception Stores'!$B$2,F169)-SEARCH(", ",F169)-LEN(", "))))</f>
        <v>#VALUE!</v>
      </c>
      <c r="AL169" s="1" t="e">
        <f t="shared" si="187"/>
        <v>#VALUE!</v>
      </c>
      <c r="AM169" s="15" t="e">
        <f t="shared" ca="1" si="188"/>
        <v>#VALUE!</v>
      </c>
      <c r="AN169" s="24" t="e">
        <f t="shared" ca="1" si="189"/>
        <v>#VALUE!</v>
      </c>
      <c r="AO169" s="1" t="e">
        <f t="shared" ca="1" si="190"/>
        <v>#VALUE!</v>
      </c>
      <c r="AP169" s="13" t="e">
        <f t="shared" ca="1" si="191"/>
        <v>#VALUE!</v>
      </c>
      <c r="AQ169" s="17" t="e">
        <f t="shared" ca="1" si="192"/>
        <v>#VALUE!</v>
      </c>
      <c r="AS169" s="15" t="e">
        <f t="shared" ca="1" si="193"/>
        <v>#VALUE!</v>
      </c>
      <c r="AT169" s="5">
        <f>'Exception Stores'!$D$2</f>
        <v>0.125</v>
      </c>
      <c r="AU169" s="15" t="e">
        <f t="shared" ca="1" si="194"/>
        <v>#VALUE!</v>
      </c>
      <c r="AV169" s="15" t="e">
        <f t="shared" ca="1" si="195"/>
        <v>#VALUE!</v>
      </c>
      <c r="AW169" s="15" t="e">
        <f t="shared" ca="1" si="196"/>
        <v>#VALUE!</v>
      </c>
      <c r="AX169" s="15" t="e">
        <f t="shared" ca="1" si="197"/>
        <v>#VALUE!</v>
      </c>
      <c r="AY169" s="15" t="e">
        <f t="shared" ca="1" si="198"/>
        <v>#VALUE!</v>
      </c>
      <c r="AZ169" s="1" t="e">
        <f t="shared" ca="1" si="199"/>
        <v>#VALUE!</v>
      </c>
      <c r="BA169" s="15" t="e">
        <f t="shared" ca="1" si="200"/>
        <v>#VALUE!</v>
      </c>
      <c r="BB169" s="15" t="e">
        <f t="shared" ca="1" si="201"/>
        <v>#VALUE!</v>
      </c>
      <c r="BC169" s="1" t="e">
        <f t="shared" ca="1" si="202"/>
        <v>#VALUE!</v>
      </c>
      <c r="BE169" s="15" t="str">
        <f>IF(ISBLANK('Exception Stores'!$A$6),"",'Exception Stores'!$A$6)</f>
        <v/>
      </c>
      <c r="BF169" s="15" t="str">
        <f>IF(ISBLANK('Exception Stores'!$B$6),"",'Exception Stores'!$B$6)</f>
        <v/>
      </c>
      <c r="BG169" s="1">
        <f>IF(ISBLANK('Exception Stores'!$A$6),0,IF($AN$2&gt;$BF$2,($AN$2-$BF$2)*24,0))</f>
        <v>0</v>
      </c>
      <c r="BH169" s="11">
        <f>IF(ISBLANK('Exception Stores'!$A$6),0,($BF$2-$BE$2)*24)</f>
        <v>0</v>
      </c>
      <c r="BI16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69" s="1">
        <f>IF(ISBLANK('Exception Stores'!$A$6),0,IF($AN$2&gt;$BF$2,0,IF(AND($AN$2&lt;$BF$2,$BT$2="B"),(($BF$2-$AN$2)*24)-$BS$2,($BF$2-$AN$2)*24)))</f>
        <v>0</v>
      </c>
      <c r="BL169" s="5"/>
      <c r="BM169" s="5"/>
      <c r="BN169" s="5"/>
      <c r="BO169" s="5"/>
      <c r="BP169" s="5"/>
      <c r="BV169" s="1" t="e">
        <f t="shared" ca="1" si="203"/>
        <v>#VALUE!</v>
      </c>
      <c r="BW169" s="1" t="e">
        <f t="shared" ca="1" si="204"/>
        <v>#VALUE!</v>
      </c>
      <c r="BX169" s="1" t="e">
        <f t="shared" ca="1" si="205"/>
        <v>#VALUE!</v>
      </c>
      <c r="BY169" s="1" t="e">
        <f t="shared" ca="1" si="206"/>
        <v>#VALUE!</v>
      </c>
      <c r="BZ169" s="1" t="e">
        <f t="shared" ca="1" si="207"/>
        <v>#VALUE!</v>
      </c>
      <c r="CB169" s="1" t="str">
        <f>IF(ISBLANK('Exception Stores'!$A$6),"",WEEKDAY($BF$2))</f>
        <v/>
      </c>
      <c r="CC169" s="1" t="str">
        <f>IF(ISBLANK('Exception Stores'!$A$6),"NO",IF('Exception Stores'!$A$6&lt;$AU$2,"YES","NO"))</f>
        <v>NO</v>
      </c>
      <c r="CD169" s="1" t="str">
        <f>IF(ISBLANK('Exception Stores'!$A$6),"NO",IF('Exception Stores'!$A$6&lt;$AV$2,"YES","NO"))</f>
        <v>NO</v>
      </c>
      <c r="CE169" s="1" t="str">
        <f>IF(ISBLANK('Exception Stores'!$A$6),"NO",IF('Exception Stores'!$A$6&lt;$AW$2,"YES","NO"))</f>
        <v>NO</v>
      </c>
      <c r="CF169" s="1" t="str">
        <f>IF(ISBLANK('Exception Stores'!$A$6),"NO",IF('Exception Stores'!$A$6&lt;$AX$2,"YES","NO"))</f>
        <v>NO</v>
      </c>
      <c r="CG169" s="1" t="str">
        <f>IF(ISBLANK('Exception Stores'!$A$6),"NO",IF('Exception Stores'!$A$6&lt;$AY$2,"YES","NO"))</f>
        <v>NO</v>
      </c>
      <c r="CI169" s="42" t="str">
        <f>IF(ISBLANK('Exception Stores'!$B$6),"NO",IF('Exception Stores'!$B$6&lt;=$AU$2,"YES","NO"))</f>
        <v>NO</v>
      </c>
      <c r="CJ169" s="42" t="str">
        <f>IF(ISBLANK('Exception Stores'!$B$6),"NO",IF('Exception Stores'!$B$6&lt;=$AV$2,"YES","NO"))</f>
        <v>NO</v>
      </c>
      <c r="CK169" s="1" t="str">
        <f>IF(ISBLANK('Exception Stores'!$B$6),"NO",IF('Exception Stores'!$B$6&lt;=$AW$2,"YES","NO"))</f>
        <v>NO</v>
      </c>
      <c r="CL169" s="1" t="str">
        <f>IF(ISBLANK('Exception Stores'!$B$6),"NO",IF('Exception Stores'!$B$6&lt;=$AX$2,"YES","NO"))</f>
        <v>NO</v>
      </c>
      <c r="CM169" s="1" t="str">
        <f>IF(ISBLANK('Exception Stores'!$B$6),"NO",IF('Exception Stores'!$B$6&lt;=$AY$2,"YES","NO"))</f>
        <v>NO</v>
      </c>
      <c r="CO169" s="1" t="e">
        <f ca="1">IF(AM169&lt;'Exception Stores'!$A$6,"YES","NO")</f>
        <v>#VALUE!</v>
      </c>
      <c r="CP169" s="1">
        <f t="shared" si="208"/>
        <v>0</v>
      </c>
      <c r="CQ169" s="1">
        <f t="shared" si="209"/>
        <v>0</v>
      </c>
      <c r="CR169" s="1">
        <f t="shared" si="210"/>
        <v>0</v>
      </c>
      <c r="CS169" s="1">
        <f t="shared" si="211"/>
        <v>0</v>
      </c>
      <c r="CT169" s="1">
        <f t="shared" si="212"/>
        <v>0</v>
      </c>
      <c r="CU169" s="1">
        <f t="shared" si="213"/>
        <v>0</v>
      </c>
      <c r="CW169" s="1" t="e">
        <f t="shared" ca="1" si="218"/>
        <v>#VALUE!</v>
      </c>
      <c r="CX169" s="1" t="e">
        <f t="shared" ca="1" si="219"/>
        <v>#VALUE!</v>
      </c>
      <c r="CY169" s="1" t="e">
        <f t="shared" ca="1" si="220"/>
        <v>#VALUE!</v>
      </c>
      <c r="CZ169" s="1" t="e">
        <f t="shared" ca="1" si="221"/>
        <v>#VALUE!</v>
      </c>
      <c r="DA169" s="1" t="e">
        <f t="shared" ca="1" si="222"/>
        <v>#VALUE!</v>
      </c>
      <c r="DB169" s="26" t="e">
        <f t="shared" ca="1" si="214"/>
        <v>#VALUE!</v>
      </c>
      <c r="DC169" s="1">
        <f t="shared" si="223"/>
        <v>0</v>
      </c>
      <c r="DD169" s="1">
        <f t="shared" si="224"/>
        <v>0</v>
      </c>
      <c r="DE169" s="1">
        <f t="shared" si="225"/>
        <v>0</v>
      </c>
      <c r="DF169" s="1">
        <f t="shared" si="226"/>
        <v>0</v>
      </c>
      <c r="DG169" s="1">
        <f t="shared" si="227"/>
        <v>0</v>
      </c>
      <c r="DH169" s="26">
        <f t="shared" si="215"/>
        <v>0</v>
      </c>
      <c r="DI169" s="1" t="e">
        <f t="shared" ca="1" si="216"/>
        <v>#VALUE!</v>
      </c>
      <c r="DK169" s="11" t="str">
        <f t="shared" si="228"/>
        <v/>
      </c>
      <c r="DL169" s="11" t="e">
        <f ca="1">IF(AND(NOT(ISBLANK('Exception Stores'!$A$6)),CO169="YES"),S169-$BH$2-(DI169*$BS$2)-(CU169*$BS$2),S169-(DB169*$BS$2))</f>
        <v>#VALUE!</v>
      </c>
      <c r="DM169" s="11" t="str">
        <f>IF(ISBLANK(A169),"",IF(COUNTIF(Remaps!$A$2:$A$200,B169)&gt;0,"YES",""))</f>
        <v>YES</v>
      </c>
      <c r="DN169" s="29">
        <f>IFERROR(INDEX(Remaps!$B$2:$B$200,MATCH(B169,Remaps!$A$2:$A$200,0),1),0)</f>
        <v>0</v>
      </c>
      <c r="DO169" s="11" t="e">
        <f t="shared" ca="1" si="229"/>
        <v>#VALUE!</v>
      </c>
      <c r="DP169" s="29" t="e">
        <f t="shared" si="230"/>
        <v>#VALUE!</v>
      </c>
      <c r="DQ169" s="11" t="e">
        <f ca="1">('Apollo Dock Status'!$Z$1-DP169)/DO169</f>
        <v>#VALUE!</v>
      </c>
      <c r="DR169" s="15" t="e">
        <f t="shared" ca="1" si="217"/>
        <v>#VALUE!</v>
      </c>
    </row>
    <row r="170" spans="1:122">
      <c r="A170" s="1" t="str">
        <f>IF(ISBLANK('Apollo Dock Status'!A170),"",'Apollo Dock Status'!A170)</f>
        <v/>
      </c>
      <c r="B170" s="1" t="str">
        <f>IF(ISBLANK('Apollo Dock Status'!B170),"",'Apollo Dock Status'!B170)</f>
        <v/>
      </c>
      <c r="C170" s="1" t="str">
        <f>IF(ISBLANK('Apollo Dock Status'!C170),"",'Apollo Dock Status'!C170)</f>
        <v/>
      </c>
      <c r="D170" s="1" t="str">
        <f>IF(ISBLANK('Apollo Dock Status'!D170),"",'Apollo Dock Status'!D170)</f>
        <v/>
      </c>
      <c r="E170" s="1" t="str">
        <f>IF(ISBLANK('Apollo Dock Status'!E170),"",'Apollo Dock Status'!E170)</f>
        <v/>
      </c>
      <c r="F170" s="1" t="str">
        <f>IF(ISBLANK('Apollo Dock Status'!F170),"",'Apollo Dock Status'!F170)</f>
        <v/>
      </c>
      <c r="G170" s="1" t="str">
        <f>IF(ISBLANK('Apollo Dock Status'!G170),"",'Apollo Dock Status'!G170)</f>
        <v/>
      </c>
      <c r="H170" s="1" t="str">
        <f>IF(ISBLANK('Apollo Dock Status'!H170),"",'Apollo Dock Status'!H170)</f>
        <v/>
      </c>
      <c r="I170" s="1" t="str">
        <f>IF(ISBLANK('Apollo Dock Status'!I170),"",'Apollo Dock Status'!I170)</f>
        <v/>
      </c>
      <c r="J170" s="1" t="str">
        <f>IF(ISBLANK('Apollo Dock Status'!J170),"",'Apollo Dock Status'!J170)</f>
        <v/>
      </c>
      <c r="K170" s="1" t="str">
        <f>IF(ISBLANK('Apollo Dock Status'!K170),"",'Apollo Dock Status'!K170)</f>
        <v/>
      </c>
      <c r="L170" s="1" t="str">
        <f>IF(ISBLANK('Apollo Dock Status'!L170),"",'Apollo Dock Status'!L170)</f>
        <v/>
      </c>
      <c r="M170" s="1" t="str">
        <f>IF(ISBLANK('Apollo Dock Status'!M170),"",'Apollo Dock Status'!M170)</f>
        <v/>
      </c>
      <c r="N170" s="1" t="str">
        <f>IF(ISBLANK('Apollo Dock Status'!N170),"",'Apollo Dock Status'!N170)</f>
        <v/>
      </c>
      <c r="O170" s="1" t="str">
        <f t="shared" si="167"/>
        <v/>
      </c>
      <c r="P170" s="1" t="str">
        <f t="shared" si="168"/>
        <v/>
      </c>
      <c r="Q170" s="1" t="str">
        <f t="shared" si="169"/>
        <v/>
      </c>
      <c r="R170" s="1" t="str">
        <f t="shared" si="170"/>
        <v/>
      </c>
      <c r="S170" s="11" t="str">
        <f t="shared" si="171"/>
        <v/>
      </c>
      <c r="T170" s="1" t="str">
        <f t="shared" si="172"/>
        <v/>
      </c>
      <c r="U170" s="11" t="str">
        <f t="shared" si="173"/>
        <v/>
      </c>
      <c r="V170" s="11" t="str">
        <f t="shared" si="174"/>
        <v/>
      </c>
      <c r="X170" s="1" t="str">
        <f t="shared" si="175"/>
        <v/>
      </c>
      <c r="Y170" s="1" t="str">
        <f t="shared" si="176"/>
        <v/>
      </c>
      <c r="Z170" s="1" t="str">
        <f t="shared" si="177"/>
        <v/>
      </c>
      <c r="AB170" s="13">
        <f t="shared" ca="1" si="178"/>
        <v>46176</v>
      </c>
      <c r="AC170" s="1">
        <f t="shared" ca="1" si="179"/>
        <v>2026</v>
      </c>
      <c r="AD170" s="1" t="str">
        <f t="shared" ca="1" si="180"/>
        <v>6</v>
      </c>
      <c r="AE170" s="1">
        <f t="shared" si="181"/>
        <v>1</v>
      </c>
      <c r="AF170" s="1" t="str">
        <f t="shared" si="182"/>
        <v/>
      </c>
      <c r="AG170" s="1">
        <f t="shared" ca="1" si="183"/>
        <v>2026</v>
      </c>
      <c r="AH170" s="1">
        <f t="shared" si="184"/>
        <v>1</v>
      </c>
      <c r="AI170" s="1" t="str">
        <f t="shared" ca="1" si="185"/>
        <v>6</v>
      </c>
      <c r="AJ170" s="13" t="e">
        <f t="shared" ca="1" si="186"/>
        <v>#VALUE!</v>
      </c>
      <c r="AK170" s="1" t="e">
        <f>IF(ISBLANK(A170),"",IFERROR(MID(F170,SEARCH(", ",F170)+LEN(", "),SEARCH(" "&amp;'Exception Stores'!$A$2,F170)-SEARCH(", ",F170)-LEN(", ")),MID(F170,SEARCH(", ",F170)+LEN(", "),SEARCH(" "&amp;'Exception Stores'!$B$2,F170)-SEARCH(", ",F170)-LEN(", "))))</f>
        <v>#VALUE!</v>
      </c>
      <c r="AL170" s="1" t="e">
        <f t="shared" si="187"/>
        <v>#VALUE!</v>
      </c>
      <c r="AM170" s="15" t="e">
        <f t="shared" ca="1" si="188"/>
        <v>#VALUE!</v>
      </c>
      <c r="AN170" s="24" t="e">
        <f t="shared" ca="1" si="189"/>
        <v>#VALUE!</v>
      </c>
      <c r="AO170" s="1" t="e">
        <f t="shared" ca="1" si="190"/>
        <v>#VALUE!</v>
      </c>
      <c r="AP170" s="13" t="e">
        <f t="shared" ca="1" si="191"/>
        <v>#VALUE!</v>
      </c>
      <c r="AQ170" s="17" t="e">
        <f t="shared" ca="1" si="192"/>
        <v>#VALUE!</v>
      </c>
      <c r="AS170" s="15" t="e">
        <f t="shared" ca="1" si="193"/>
        <v>#VALUE!</v>
      </c>
      <c r="AT170" s="5">
        <f>'Exception Stores'!$D$2</f>
        <v>0.125</v>
      </c>
      <c r="AU170" s="15" t="e">
        <f t="shared" ca="1" si="194"/>
        <v>#VALUE!</v>
      </c>
      <c r="AV170" s="15" t="e">
        <f t="shared" ca="1" si="195"/>
        <v>#VALUE!</v>
      </c>
      <c r="AW170" s="15" t="e">
        <f t="shared" ca="1" si="196"/>
        <v>#VALUE!</v>
      </c>
      <c r="AX170" s="15" t="e">
        <f t="shared" ca="1" si="197"/>
        <v>#VALUE!</v>
      </c>
      <c r="AY170" s="15" t="e">
        <f t="shared" ca="1" si="198"/>
        <v>#VALUE!</v>
      </c>
      <c r="AZ170" s="1" t="e">
        <f t="shared" ca="1" si="199"/>
        <v>#VALUE!</v>
      </c>
      <c r="BA170" s="15" t="e">
        <f t="shared" ca="1" si="200"/>
        <v>#VALUE!</v>
      </c>
      <c r="BB170" s="15" t="e">
        <f t="shared" ca="1" si="201"/>
        <v>#VALUE!</v>
      </c>
      <c r="BC170" s="1" t="e">
        <f t="shared" ca="1" si="202"/>
        <v>#VALUE!</v>
      </c>
      <c r="BE170" s="15" t="str">
        <f>IF(ISBLANK('Exception Stores'!$A$6),"",'Exception Stores'!$A$6)</f>
        <v/>
      </c>
      <c r="BF170" s="15" t="str">
        <f>IF(ISBLANK('Exception Stores'!$B$6),"",'Exception Stores'!$B$6)</f>
        <v/>
      </c>
      <c r="BG170" s="1">
        <f>IF(ISBLANK('Exception Stores'!$A$6),0,IF($AN$2&gt;$BF$2,($AN$2-$BF$2)*24,0))</f>
        <v>0</v>
      </c>
      <c r="BH170" s="11">
        <f>IF(ISBLANK('Exception Stores'!$A$6),0,($BF$2-$BE$2)*24)</f>
        <v>0</v>
      </c>
      <c r="BI17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70" s="1">
        <f>IF(ISBLANK('Exception Stores'!$A$6),0,IF($AN$2&gt;$BF$2,0,IF(AND($AN$2&lt;$BF$2,$BT$2="B"),(($BF$2-$AN$2)*24)-$BS$2,($BF$2-$AN$2)*24)))</f>
        <v>0</v>
      </c>
      <c r="BL170" s="5"/>
      <c r="BM170" s="5"/>
      <c r="BN170" s="5"/>
      <c r="BO170" s="5"/>
      <c r="BP170" s="5"/>
      <c r="BV170" s="1" t="e">
        <f t="shared" ca="1" si="203"/>
        <v>#VALUE!</v>
      </c>
      <c r="BW170" s="1" t="e">
        <f t="shared" ca="1" si="204"/>
        <v>#VALUE!</v>
      </c>
      <c r="BX170" s="1" t="e">
        <f t="shared" ca="1" si="205"/>
        <v>#VALUE!</v>
      </c>
      <c r="BY170" s="1" t="e">
        <f t="shared" ca="1" si="206"/>
        <v>#VALUE!</v>
      </c>
      <c r="BZ170" s="1" t="e">
        <f t="shared" ca="1" si="207"/>
        <v>#VALUE!</v>
      </c>
      <c r="CB170" s="1" t="str">
        <f>IF(ISBLANK('Exception Stores'!$A$6),"",WEEKDAY($BF$2))</f>
        <v/>
      </c>
      <c r="CC170" s="1" t="str">
        <f>IF(ISBLANK('Exception Stores'!$A$6),"NO",IF('Exception Stores'!$A$6&lt;$AU$2,"YES","NO"))</f>
        <v>NO</v>
      </c>
      <c r="CD170" s="1" t="str">
        <f>IF(ISBLANK('Exception Stores'!$A$6),"NO",IF('Exception Stores'!$A$6&lt;$AV$2,"YES","NO"))</f>
        <v>NO</v>
      </c>
      <c r="CE170" s="1" t="str">
        <f>IF(ISBLANK('Exception Stores'!$A$6),"NO",IF('Exception Stores'!$A$6&lt;$AW$2,"YES","NO"))</f>
        <v>NO</v>
      </c>
      <c r="CF170" s="1" t="str">
        <f>IF(ISBLANK('Exception Stores'!$A$6),"NO",IF('Exception Stores'!$A$6&lt;$AX$2,"YES","NO"))</f>
        <v>NO</v>
      </c>
      <c r="CG170" s="1" t="str">
        <f>IF(ISBLANK('Exception Stores'!$A$6),"NO",IF('Exception Stores'!$A$6&lt;$AY$2,"YES","NO"))</f>
        <v>NO</v>
      </c>
      <c r="CI170" s="42" t="str">
        <f>IF(ISBLANK('Exception Stores'!$B$6),"NO",IF('Exception Stores'!$B$6&lt;=$AU$2,"YES","NO"))</f>
        <v>NO</v>
      </c>
      <c r="CJ170" s="42" t="str">
        <f>IF(ISBLANK('Exception Stores'!$B$6),"NO",IF('Exception Stores'!$B$6&lt;=$AV$2,"YES","NO"))</f>
        <v>NO</v>
      </c>
      <c r="CK170" s="1" t="str">
        <f>IF(ISBLANK('Exception Stores'!$B$6),"NO",IF('Exception Stores'!$B$6&lt;=$AW$2,"YES","NO"))</f>
        <v>NO</v>
      </c>
      <c r="CL170" s="1" t="str">
        <f>IF(ISBLANK('Exception Stores'!$B$6),"NO",IF('Exception Stores'!$B$6&lt;=$AX$2,"YES","NO"))</f>
        <v>NO</v>
      </c>
      <c r="CM170" s="1" t="str">
        <f>IF(ISBLANK('Exception Stores'!$B$6),"NO",IF('Exception Stores'!$B$6&lt;=$AY$2,"YES","NO"))</f>
        <v>NO</v>
      </c>
      <c r="CO170" s="1" t="e">
        <f ca="1">IF(AM170&lt;'Exception Stores'!$A$6,"YES","NO")</f>
        <v>#VALUE!</v>
      </c>
      <c r="CP170" s="1">
        <f t="shared" si="208"/>
        <v>0</v>
      </c>
      <c r="CQ170" s="1">
        <f t="shared" si="209"/>
        <v>0</v>
      </c>
      <c r="CR170" s="1">
        <f t="shared" si="210"/>
        <v>0</v>
      </c>
      <c r="CS170" s="1">
        <f t="shared" si="211"/>
        <v>0</v>
      </c>
      <c r="CT170" s="1">
        <f t="shared" si="212"/>
        <v>0</v>
      </c>
      <c r="CU170" s="1">
        <f t="shared" si="213"/>
        <v>0</v>
      </c>
      <c r="CW170" s="1" t="e">
        <f t="shared" ca="1" si="218"/>
        <v>#VALUE!</v>
      </c>
      <c r="CX170" s="1" t="e">
        <f t="shared" ca="1" si="219"/>
        <v>#VALUE!</v>
      </c>
      <c r="CY170" s="1" t="e">
        <f t="shared" ca="1" si="220"/>
        <v>#VALUE!</v>
      </c>
      <c r="CZ170" s="1" t="e">
        <f t="shared" ca="1" si="221"/>
        <v>#VALUE!</v>
      </c>
      <c r="DA170" s="1" t="e">
        <f t="shared" ca="1" si="222"/>
        <v>#VALUE!</v>
      </c>
      <c r="DB170" s="26" t="e">
        <f t="shared" ca="1" si="214"/>
        <v>#VALUE!</v>
      </c>
      <c r="DC170" s="1">
        <f t="shared" si="223"/>
        <v>0</v>
      </c>
      <c r="DD170" s="1">
        <f t="shared" si="224"/>
        <v>0</v>
      </c>
      <c r="DE170" s="1">
        <f t="shared" si="225"/>
        <v>0</v>
      </c>
      <c r="DF170" s="1">
        <f t="shared" si="226"/>
        <v>0</v>
      </c>
      <c r="DG170" s="1">
        <f t="shared" si="227"/>
        <v>0</v>
      </c>
      <c r="DH170" s="26">
        <f t="shared" si="215"/>
        <v>0</v>
      </c>
      <c r="DI170" s="1" t="e">
        <f t="shared" ca="1" si="216"/>
        <v>#VALUE!</v>
      </c>
      <c r="DK170" s="11" t="str">
        <f t="shared" si="228"/>
        <v/>
      </c>
      <c r="DL170" s="11" t="e">
        <f ca="1">IF(AND(NOT(ISBLANK('Exception Stores'!$A$6)),CO170="YES"),S170-$BH$2-(DI170*$BS$2)-(CU170*$BS$2),S170-(DB170*$BS$2))</f>
        <v>#VALUE!</v>
      </c>
      <c r="DM170" s="11" t="str">
        <f>IF(ISBLANK(A170),"",IF(COUNTIF(Remaps!$A$2:$A$200,B170)&gt;0,"YES",""))</f>
        <v>YES</v>
      </c>
      <c r="DN170" s="29">
        <f>IFERROR(INDEX(Remaps!$B$2:$B$200,MATCH(B170,Remaps!$A$2:$A$200,0),1),0)</f>
        <v>0</v>
      </c>
      <c r="DO170" s="11" t="e">
        <f t="shared" ca="1" si="229"/>
        <v>#VALUE!</v>
      </c>
      <c r="DP170" s="29" t="e">
        <f t="shared" si="230"/>
        <v>#VALUE!</v>
      </c>
      <c r="DQ170" s="11" t="e">
        <f ca="1">('Apollo Dock Status'!$Z$1-DP170)/DO170</f>
        <v>#VALUE!</v>
      </c>
      <c r="DR170" s="15" t="e">
        <f t="shared" ca="1" si="217"/>
        <v>#VALUE!</v>
      </c>
    </row>
    <row r="171" spans="1:122">
      <c r="A171" s="1" t="str">
        <f>IF(ISBLANK('Apollo Dock Status'!A171),"",'Apollo Dock Status'!A171)</f>
        <v/>
      </c>
      <c r="B171" s="1" t="str">
        <f>IF(ISBLANK('Apollo Dock Status'!B171),"",'Apollo Dock Status'!B171)</f>
        <v/>
      </c>
      <c r="C171" s="1" t="str">
        <f>IF(ISBLANK('Apollo Dock Status'!C171),"",'Apollo Dock Status'!C171)</f>
        <v/>
      </c>
      <c r="D171" s="1" t="str">
        <f>IF(ISBLANK('Apollo Dock Status'!D171),"",'Apollo Dock Status'!D171)</f>
        <v/>
      </c>
      <c r="E171" s="1" t="str">
        <f>IF(ISBLANK('Apollo Dock Status'!E171),"",'Apollo Dock Status'!E171)</f>
        <v/>
      </c>
      <c r="F171" s="1" t="str">
        <f>IF(ISBLANK('Apollo Dock Status'!F171),"",'Apollo Dock Status'!F171)</f>
        <v/>
      </c>
      <c r="G171" s="1" t="str">
        <f>IF(ISBLANK('Apollo Dock Status'!G171),"",'Apollo Dock Status'!G171)</f>
        <v/>
      </c>
      <c r="H171" s="1" t="str">
        <f>IF(ISBLANK('Apollo Dock Status'!H171),"",'Apollo Dock Status'!H171)</f>
        <v/>
      </c>
      <c r="I171" s="1" t="str">
        <f>IF(ISBLANK('Apollo Dock Status'!I171),"",'Apollo Dock Status'!I171)</f>
        <v/>
      </c>
      <c r="J171" s="1" t="str">
        <f>IF(ISBLANK('Apollo Dock Status'!J171),"",'Apollo Dock Status'!J171)</f>
        <v/>
      </c>
      <c r="K171" s="1" t="str">
        <f>IF(ISBLANK('Apollo Dock Status'!K171),"",'Apollo Dock Status'!K171)</f>
        <v/>
      </c>
      <c r="L171" s="1" t="str">
        <f>IF(ISBLANK('Apollo Dock Status'!L171),"",'Apollo Dock Status'!L171)</f>
        <v/>
      </c>
      <c r="M171" s="1" t="str">
        <f>IF(ISBLANK('Apollo Dock Status'!M171),"",'Apollo Dock Status'!M171)</f>
        <v/>
      </c>
      <c r="N171" s="1" t="str">
        <f>IF(ISBLANK('Apollo Dock Status'!N171),"",'Apollo Dock Status'!N171)</f>
        <v/>
      </c>
      <c r="O171" s="1" t="str">
        <f t="shared" si="167"/>
        <v/>
      </c>
      <c r="P171" s="1" t="str">
        <f t="shared" si="168"/>
        <v/>
      </c>
      <c r="Q171" s="1" t="str">
        <f t="shared" si="169"/>
        <v/>
      </c>
      <c r="R171" s="1" t="str">
        <f t="shared" si="170"/>
        <v/>
      </c>
      <c r="S171" s="11" t="str">
        <f t="shared" si="171"/>
        <v/>
      </c>
      <c r="T171" s="1" t="str">
        <f t="shared" si="172"/>
        <v/>
      </c>
      <c r="U171" s="11" t="str">
        <f t="shared" si="173"/>
        <v/>
      </c>
      <c r="V171" s="11" t="str">
        <f t="shared" si="174"/>
        <v/>
      </c>
      <c r="X171" s="1" t="str">
        <f t="shared" si="175"/>
        <v/>
      </c>
      <c r="Y171" s="1" t="str">
        <f t="shared" si="176"/>
        <v/>
      </c>
      <c r="Z171" s="1" t="str">
        <f t="shared" si="177"/>
        <v/>
      </c>
      <c r="AB171" s="13">
        <f t="shared" ca="1" si="178"/>
        <v>46176</v>
      </c>
      <c r="AC171" s="1">
        <f t="shared" ca="1" si="179"/>
        <v>2026</v>
      </c>
      <c r="AD171" s="1" t="str">
        <f t="shared" ca="1" si="180"/>
        <v>6</v>
      </c>
      <c r="AE171" s="1">
        <f t="shared" si="181"/>
        <v>1</v>
      </c>
      <c r="AF171" s="1" t="str">
        <f t="shared" si="182"/>
        <v/>
      </c>
      <c r="AG171" s="1">
        <f t="shared" ca="1" si="183"/>
        <v>2026</v>
      </c>
      <c r="AH171" s="1">
        <f t="shared" si="184"/>
        <v>1</v>
      </c>
      <c r="AI171" s="1" t="str">
        <f t="shared" ca="1" si="185"/>
        <v>6</v>
      </c>
      <c r="AJ171" s="13" t="e">
        <f t="shared" ca="1" si="186"/>
        <v>#VALUE!</v>
      </c>
      <c r="AK171" s="1" t="e">
        <f>IF(ISBLANK(A171),"",IFERROR(MID(F171,SEARCH(", ",F171)+LEN(", "),SEARCH(" "&amp;'Exception Stores'!$A$2,F171)-SEARCH(", ",F171)-LEN(", ")),MID(F171,SEARCH(", ",F171)+LEN(", "),SEARCH(" "&amp;'Exception Stores'!$B$2,F171)-SEARCH(", ",F171)-LEN(", "))))</f>
        <v>#VALUE!</v>
      </c>
      <c r="AL171" s="1" t="e">
        <f t="shared" si="187"/>
        <v>#VALUE!</v>
      </c>
      <c r="AM171" s="15" t="e">
        <f t="shared" ca="1" si="188"/>
        <v>#VALUE!</v>
      </c>
      <c r="AN171" s="24" t="e">
        <f t="shared" ca="1" si="189"/>
        <v>#VALUE!</v>
      </c>
      <c r="AO171" s="1" t="e">
        <f t="shared" ca="1" si="190"/>
        <v>#VALUE!</v>
      </c>
      <c r="AP171" s="13" t="e">
        <f t="shared" ca="1" si="191"/>
        <v>#VALUE!</v>
      </c>
      <c r="AQ171" s="17" t="e">
        <f t="shared" ca="1" si="192"/>
        <v>#VALUE!</v>
      </c>
      <c r="AS171" s="15" t="e">
        <f t="shared" ca="1" si="193"/>
        <v>#VALUE!</v>
      </c>
      <c r="AT171" s="5">
        <f>'Exception Stores'!$D$2</f>
        <v>0.125</v>
      </c>
      <c r="AU171" s="15" t="e">
        <f t="shared" ca="1" si="194"/>
        <v>#VALUE!</v>
      </c>
      <c r="AV171" s="15" t="e">
        <f t="shared" ca="1" si="195"/>
        <v>#VALUE!</v>
      </c>
      <c r="AW171" s="15" t="e">
        <f t="shared" ca="1" si="196"/>
        <v>#VALUE!</v>
      </c>
      <c r="AX171" s="15" t="e">
        <f t="shared" ca="1" si="197"/>
        <v>#VALUE!</v>
      </c>
      <c r="AY171" s="15" t="e">
        <f t="shared" ca="1" si="198"/>
        <v>#VALUE!</v>
      </c>
      <c r="AZ171" s="1" t="e">
        <f t="shared" ca="1" si="199"/>
        <v>#VALUE!</v>
      </c>
      <c r="BA171" s="15" t="e">
        <f t="shared" ca="1" si="200"/>
        <v>#VALUE!</v>
      </c>
      <c r="BB171" s="15" t="e">
        <f t="shared" ca="1" si="201"/>
        <v>#VALUE!</v>
      </c>
      <c r="BC171" s="1" t="e">
        <f t="shared" ca="1" si="202"/>
        <v>#VALUE!</v>
      </c>
      <c r="BE171" s="15" t="str">
        <f>IF(ISBLANK('Exception Stores'!$A$6),"",'Exception Stores'!$A$6)</f>
        <v/>
      </c>
      <c r="BF171" s="15" t="str">
        <f>IF(ISBLANK('Exception Stores'!$B$6),"",'Exception Stores'!$B$6)</f>
        <v/>
      </c>
      <c r="BG171" s="1">
        <f>IF(ISBLANK('Exception Stores'!$A$6),0,IF($AN$2&gt;$BF$2,($AN$2-$BF$2)*24,0))</f>
        <v>0</v>
      </c>
      <c r="BH171" s="11">
        <f>IF(ISBLANK('Exception Stores'!$A$6),0,($BF$2-$BE$2)*24)</f>
        <v>0</v>
      </c>
      <c r="BI17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71" s="1">
        <f>IF(ISBLANK('Exception Stores'!$A$6),0,IF($AN$2&gt;$BF$2,0,IF(AND($AN$2&lt;$BF$2,$BT$2="B"),(($BF$2-$AN$2)*24)-$BS$2,($BF$2-$AN$2)*24)))</f>
        <v>0</v>
      </c>
      <c r="BL171" s="5"/>
      <c r="BM171" s="5"/>
      <c r="BN171" s="5"/>
      <c r="BO171" s="5"/>
      <c r="BP171" s="5"/>
      <c r="BV171" s="1" t="e">
        <f t="shared" ca="1" si="203"/>
        <v>#VALUE!</v>
      </c>
      <c r="BW171" s="1" t="e">
        <f t="shared" ca="1" si="204"/>
        <v>#VALUE!</v>
      </c>
      <c r="BX171" s="1" t="e">
        <f t="shared" ca="1" si="205"/>
        <v>#VALUE!</v>
      </c>
      <c r="BY171" s="1" t="e">
        <f t="shared" ca="1" si="206"/>
        <v>#VALUE!</v>
      </c>
      <c r="BZ171" s="1" t="e">
        <f t="shared" ca="1" si="207"/>
        <v>#VALUE!</v>
      </c>
      <c r="CB171" s="1" t="str">
        <f>IF(ISBLANK('Exception Stores'!$A$6),"",WEEKDAY($BF$2))</f>
        <v/>
      </c>
      <c r="CC171" s="1" t="str">
        <f>IF(ISBLANK('Exception Stores'!$A$6),"NO",IF('Exception Stores'!$A$6&lt;$AU$2,"YES","NO"))</f>
        <v>NO</v>
      </c>
      <c r="CD171" s="1" t="str">
        <f>IF(ISBLANK('Exception Stores'!$A$6),"NO",IF('Exception Stores'!$A$6&lt;$AV$2,"YES","NO"))</f>
        <v>NO</v>
      </c>
      <c r="CE171" s="1" t="str">
        <f>IF(ISBLANK('Exception Stores'!$A$6),"NO",IF('Exception Stores'!$A$6&lt;$AW$2,"YES","NO"))</f>
        <v>NO</v>
      </c>
      <c r="CF171" s="1" t="str">
        <f>IF(ISBLANK('Exception Stores'!$A$6),"NO",IF('Exception Stores'!$A$6&lt;$AX$2,"YES","NO"))</f>
        <v>NO</v>
      </c>
      <c r="CG171" s="1" t="str">
        <f>IF(ISBLANK('Exception Stores'!$A$6),"NO",IF('Exception Stores'!$A$6&lt;$AY$2,"YES","NO"))</f>
        <v>NO</v>
      </c>
      <c r="CI171" s="42" t="str">
        <f>IF(ISBLANK('Exception Stores'!$B$6),"NO",IF('Exception Stores'!$B$6&lt;=$AU$2,"YES","NO"))</f>
        <v>NO</v>
      </c>
      <c r="CJ171" s="42" t="str">
        <f>IF(ISBLANK('Exception Stores'!$B$6),"NO",IF('Exception Stores'!$B$6&lt;=$AV$2,"YES","NO"))</f>
        <v>NO</v>
      </c>
      <c r="CK171" s="1" t="str">
        <f>IF(ISBLANK('Exception Stores'!$B$6),"NO",IF('Exception Stores'!$B$6&lt;=$AW$2,"YES","NO"))</f>
        <v>NO</v>
      </c>
      <c r="CL171" s="1" t="str">
        <f>IF(ISBLANK('Exception Stores'!$B$6),"NO",IF('Exception Stores'!$B$6&lt;=$AX$2,"YES","NO"))</f>
        <v>NO</v>
      </c>
      <c r="CM171" s="1" t="str">
        <f>IF(ISBLANK('Exception Stores'!$B$6),"NO",IF('Exception Stores'!$B$6&lt;=$AY$2,"YES","NO"))</f>
        <v>NO</v>
      </c>
      <c r="CO171" s="1" t="e">
        <f ca="1">IF(AM171&lt;'Exception Stores'!$A$6,"YES","NO")</f>
        <v>#VALUE!</v>
      </c>
      <c r="CP171" s="1">
        <f t="shared" si="208"/>
        <v>0</v>
      </c>
      <c r="CQ171" s="1">
        <f t="shared" si="209"/>
        <v>0</v>
      </c>
      <c r="CR171" s="1">
        <f t="shared" si="210"/>
        <v>0</v>
      </c>
      <c r="CS171" s="1">
        <f t="shared" si="211"/>
        <v>0</v>
      </c>
      <c r="CT171" s="1">
        <f t="shared" si="212"/>
        <v>0</v>
      </c>
      <c r="CU171" s="1">
        <f t="shared" si="213"/>
        <v>0</v>
      </c>
      <c r="CW171" s="1" t="e">
        <f t="shared" ca="1" si="218"/>
        <v>#VALUE!</v>
      </c>
      <c r="CX171" s="1" t="e">
        <f t="shared" ca="1" si="219"/>
        <v>#VALUE!</v>
      </c>
      <c r="CY171" s="1" t="e">
        <f t="shared" ca="1" si="220"/>
        <v>#VALUE!</v>
      </c>
      <c r="CZ171" s="1" t="e">
        <f t="shared" ca="1" si="221"/>
        <v>#VALUE!</v>
      </c>
      <c r="DA171" s="1" t="e">
        <f t="shared" ca="1" si="222"/>
        <v>#VALUE!</v>
      </c>
      <c r="DB171" s="26" t="e">
        <f t="shared" ca="1" si="214"/>
        <v>#VALUE!</v>
      </c>
      <c r="DC171" s="1">
        <f t="shared" si="223"/>
        <v>0</v>
      </c>
      <c r="DD171" s="1">
        <f t="shared" si="224"/>
        <v>0</v>
      </c>
      <c r="DE171" s="1">
        <f t="shared" si="225"/>
        <v>0</v>
      </c>
      <c r="DF171" s="1">
        <f t="shared" si="226"/>
        <v>0</v>
      </c>
      <c r="DG171" s="1">
        <f t="shared" si="227"/>
        <v>0</v>
      </c>
      <c r="DH171" s="26">
        <f t="shared" si="215"/>
        <v>0</v>
      </c>
      <c r="DI171" s="1" t="e">
        <f t="shared" ca="1" si="216"/>
        <v>#VALUE!</v>
      </c>
      <c r="DK171" s="11" t="str">
        <f t="shared" si="228"/>
        <v/>
      </c>
      <c r="DL171" s="11" t="e">
        <f ca="1">IF(AND(NOT(ISBLANK('Exception Stores'!$A$6)),CO171="YES"),S171-$BH$2-(DI171*$BS$2)-(CU171*$BS$2),S171-(DB171*$BS$2))</f>
        <v>#VALUE!</v>
      </c>
      <c r="DM171" s="11" t="str">
        <f>IF(ISBLANK(A171),"",IF(COUNTIF(Remaps!$A$2:$A$200,B171)&gt;0,"YES",""))</f>
        <v>YES</v>
      </c>
      <c r="DN171" s="29">
        <f>IFERROR(INDEX(Remaps!$B$2:$B$200,MATCH(B171,Remaps!$A$2:$A$200,0),1),0)</f>
        <v>0</v>
      </c>
      <c r="DO171" s="11" t="e">
        <f t="shared" ca="1" si="229"/>
        <v>#VALUE!</v>
      </c>
      <c r="DP171" s="29" t="e">
        <f t="shared" si="230"/>
        <v>#VALUE!</v>
      </c>
      <c r="DQ171" s="11" t="e">
        <f ca="1">('Apollo Dock Status'!$Z$1-DP171)/DO171</f>
        <v>#VALUE!</v>
      </c>
      <c r="DR171" s="15" t="e">
        <f t="shared" ca="1" si="217"/>
        <v>#VALUE!</v>
      </c>
    </row>
    <row r="172" spans="1:122">
      <c r="A172" s="1" t="str">
        <f>IF(ISBLANK('Apollo Dock Status'!A172),"",'Apollo Dock Status'!A172)</f>
        <v/>
      </c>
      <c r="B172" s="1" t="str">
        <f>IF(ISBLANK('Apollo Dock Status'!B172),"",'Apollo Dock Status'!B172)</f>
        <v/>
      </c>
      <c r="C172" s="1" t="str">
        <f>IF(ISBLANK('Apollo Dock Status'!C172),"",'Apollo Dock Status'!C172)</f>
        <v/>
      </c>
      <c r="D172" s="1" t="str">
        <f>IF(ISBLANK('Apollo Dock Status'!D172),"",'Apollo Dock Status'!D172)</f>
        <v/>
      </c>
      <c r="E172" s="1" t="str">
        <f>IF(ISBLANK('Apollo Dock Status'!E172),"",'Apollo Dock Status'!E172)</f>
        <v/>
      </c>
      <c r="F172" s="1" t="str">
        <f>IF(ISBLANK('Apollo Dock Status'!F172),"",'Apollo Dock Status'!F172)</f>
        <v/>
      </c>
      <c r="G172" s="1" t="str">
        <f>IF(ISBLANK('Apollo Dock Status'!G172),"",'Apollo Dock Status'!G172)</f>
        <v/>
      </c>
      <c r="H172" s="1" t="str">
        <f>IF(ISBLANK('Apollo Dock Status'!H172),"",'Apollo Dock Status'!H172)</f>
        <v/>
      </c>
      <c r="I172" s="1" t="str">
        <f>IF(ISBLANK('Apollo Dock Status'!I172),"",'Apollo Dock Status'!I172)</f>
        <v/>
      </c>
      <c r="J172" s="1" t="str">
        <f>IF(ISBLANK('Apollo Dock Status'!J172),"",'Apollo Dock Status'!J172)</f>
        <v/>
      </c>
      <c r="K172" s="1" t="str">
        <f>IF(ISBLANK('Apollo Dock Status'!K172),"",'Apollo Dock Status'!K172)</f>
        <v/>
      </c>
      <c r="L172" s="1" t="str">
        <f>IF(ISBLANK('Apollo Dock Status'!L172),"",'Apollo Dock Status'!L172)</f>
        <v/>
      </c>
      <c r="M172" s="1" t="str">
        <f>IF(ISBLANK('Apollo Dock Status'!M172),"",'Apollo Dock Status'!M172)</f>
        <v/>
      </c>
      <c r="N172" s="1" t="str">
        <f>IF(ISBLANK('Apollo Dock Status'!N172),"",'Apollo Dock Status'!N172)</f>
        <v/>
      </c>
      <c r="O172" s="1" t="str">
        <f t="shared" si="167"/>
        <v/>
      </c>
      <c r="P172" s="1" t="str">
        <f t="shared" si="168"/>
        <v/>
      </c>
      <c r="Q172" s="1" t="str">
        <f t="shared" si="169"/>
        <v/>
      </c>
      <c r="R172" s="1" t="str">
        <f t="shared" si="170"/>
        <v/>
      </c>
      <c r="S172" s="11" t="str">
        <f t="shared" si="171"/>
        <v/>
      </c>
      <c r="T172" s="1" t="str">
        <f t="shared" si="172"/>
        <v/>
      </c>
      <c r="U172" s="11" t="str">
        <f t="shared" si="173"/>
        <v/>
      </c>
      <c r="V172" s="11" t="str">
        <f t="shared" si="174"/>
        <v/>
      </c>
      <c r="X172" s="1" t="str">
        <f t="shared" si="175"/>
        <v/>
      </c>
      <c r="Y172" s="1" t="str">
        <f t="shared" si="176"/>
        <v/>
      </c>
      <c r="Z172" s="1" t="str">
        <f t="shared" si="177"/>
        <v/>
      </c>
      <c r="AB172" s="13">
        <f t="shared" ca="1" si="178"/>
        <v>46176</v>
      </c>
      <c r="AC172" s="1">
        <f t="shared" ca="1" si="179"/>
        <v>2026</v>
      </c>
      <c r="AD172" s="1" t="str">
        <f t="shared" ca="1" si="180"/>
        <v>6</v>
      </c>
      <c r="AE172" s="1">
        <f t="shared" si="181"/>
        <v>1</v>
      </c>
      <c r="AF172" s="1" t="str">
        <f t="shared" si="182"/>
        <v/>
      </c>
      <c r="AG172" s="1">
        <f t="shared" ca="1" si="183"/>
        <v>2026</v>
      </c>
      <c r="AH172" s="1">
        <f t="shared" si="184"/>
        <v>1</v>
      </c>
      <c r="AI172" s="1" t="str">
        <f t="shared" ca="1" si="185"/>
        <v>6</v>
      </c>
      <c r="AJ172" s="13" t="e">
        <f t="shared" ca="1" si="186"/>
        <v>#VALUE!</v>
      </c>
      <c r="AK172" s="1" t="e">
        <f>IF(ISBLANK(A172),"",IFERROR(MID(F172,SEARCH(", ",F172)+LEN(", "),SEARCH(" "&amp;'Exception Stores'!$A$2,F172)-SEARCH(", ",F172)-LEN(", ")),MID(F172,SEARCH(", ",F172)+LEN(", "),SEARCH(" "&amp;'Exception Stores'!$B$2,F172)-SEARCH(", ",F172)-LEN(", "))))</f>
        <v>#VALUE!</v>
      </c>
      <c r="AL172" s="1" t="e">
        <f t="shared" si="187"/>
        <v>#VALUE!</v>
      </c>
      <c r="AM172" s="15" t="e">
        <f t="shared" ca="1" si="188"/>
        <v>#VALUE!</v>
      </c>
      <c r="AN172" s="24" t="e">
        <f t="shared" ca="1" si="189"/>
        <v>#VALUE!</v>
      </c>
      <c r="AO172" s="1" t="e">
        <f t="shared" ca="1" si="190"/>
        <v>#VALUE!</v>
      </c>
      <c r="AP172" s="13" t="e">
        <f t="shared" ca="1" si="191"/>
        <v>#VALUE!</v>
      </c>
      <c r="AQ172" s="17" t="e">
        <f t="shared" ca="1" si="192"/>
        <v>#VALUE!</v>
      </c>
      <c r="AS172" s="15" t="e">
        <f t="shared" ca="1" si="193"/>
        <v>#VALUE!</v>
      </c>
      <c r="AT172" s="5">
        <f>'Exception Stores'!$D$2</f>
        <v>0.125</v>
      </c>
      <c r="AU172" s="15" t="e">
        <f t="shared" ca="1" si="194"/>
        <v>#VALUE!</v>
      </c>
      <c r="AV172" s="15" t="e">
        <f t="shared" ca="1" si="195"/>
        <v>#VALUE!</v>
      </c>
      <c r="AW172" s="15" t="e">
        <f t="shared" ca="1" si="196"/>
        <v>#VALUE!</v>
      </c>
      <c r="AX172" s="15" t="e">
        <f t="shared" ca="1" si="197"/>
        <v>#VALUE!</v>
      </c>
      <c r="AY172" s="15" t="e">
        <f t="shared" ca="1" si="198"/>
        <v>#VALUE!</v>
      </c>
      <c r="AZ172" s="1" t="e">
        <f t="shared" ca="1" si="199"/>
        <v>#VALUE!</v>
      </c>
      <c r="BA172" s="15" t="e">
        <f t="shared" ca="1" si="200"/>
        <v>#VALUE!</v>
      </c>
      <c r="BB172" s="15" t="e">
        <f t="shared" ca="1" si="201"/>
        <v>#VALUE!</v>
      </c>
      <c r="BC172" s="1" t="e">
        <f t="shared" ca="1" si="202"/>
        <v>#VALUE!</v>
      </c>
      <c r="BE172" s="15" t="str">
        <f>IF(ISBLANK('Exception Stores'!$A$6),"",'Exception Stores'!$A$6)</f>
        <v/>
      </c>
      <c r="BF172" s="15" t="str">
        <f>IF(ISBLANK('Exception Stores'!$B$6),"",'Exception Stores'!$B$6)</f>
        <v/>
      </c>
      <c r="BG172" s="1">
        <f>IF(ISBLANK('Exception Stores'!$A$6),0,IF($AN$2&gt;$BF$2,($AN$2-$BF$2)*24,0))</f>
        <v>0</v>
      </c>
      <c r="BH172" s="11">
        <f>IF(ISBLANK('Exception Stores'!$A$6),0,($BF$2-$BE$2)*24)</f>
        <v>0</v>
      </c>
      <c r="BI17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72" s="1">
        <f>IF(ISBLANK('Exception Stores'!$A$6),0,IF($AN$2&gt;$BF$2,0,IF(AND($AN$2&lt;$BF$2,$BT$2="B"),(($BF$2-$AN$2)*24)-$BS$2,($BF$2-$AN$2)*24)))</f>
        <v>0</v>
      </c>
      <c r="BL172" s="5"/>
      <c r="BM172" s="5"/>
      <c r="BN172" s="5"/>
      <c r="BO172" s="5"/>
      <c r="BP172" s="5"/>
      <c r="BV172" s="1" t="e">
        <f t="shared" ca="1" si="203"/>
        <v>#VALUE!</v>
      </c>
      <c r="BW172" s="1" t="e">
        <f t="shared" ca="1" si="204"/>
        <v>#VALUE!</v>
      </c>
      <c r="BX172" s="1" t="e">
        <f t="shared" ca="1" si="205"/>
        <v>#VALUE!</v>
      </c>
      <c r="BY172" s="1" t="e">
        <f t="shared" ca="1" si="206"/>
        <v>#VALUE!</v>
      </c>
      <c r="BZ172" s="1" t="e">
        <f t="shared" ca="1" si="207"/>
        <v>#VALUE!</v>
      </c>
      <c r="CB172" s="1" t="str">
        <f>IF(ISBLANK('Exception Stores'!$A$6),"",WEEKDAY($BF$2))</f>
        <v/>
      </c>
      <c r="CC172" s="1" t="str">
        <f>IF(ISBLANK('Exception Stores'!$A$6),"NO",IF('Exception Stores'!$A$6&lt;$AU$2,"YES","NO"))</f>
        <v>NO</v>
      </c>
      <c r="CD172" s="1" t="str">
        <f>IF(ISBLANK('Exception Stores'!$A$6),"NO",IF('Exception Stores'!$A$6&lt;$AV$2,"YES","NO"))</f>
        <v>NO</v>
      </c>
      <c r="CE172" s="1" t="str">
        <f>IF(ISBLANK('Exception Stores'!$A$6),"NO",IF('Exception Stores'!$A$6&lt;$AW$2,"YES","NO"))</f>
        <v>NO</v>
      </c>
      <c r="CF172" s="1" t="str">
        <f>IF(ISBLANK('Exception Stores'!$A$6),"NO",IF('Exception Stores'!$A$6&lt;$AX$2,"YES","NO"))</f>
        <v>NO</v>
      </c>
      <c r="CG172" s="1" t="str">
        <f>IF(ISBLANK('Exception Stores'!$A$6),"NO",IF('Exception Stores'!$A$6&lt;$AY$2,"YES","NO"))</f>
        <v>NO</v>
      </c>
      <c r="CI172" s="42" t="str">
        <f>IF(ISBLANK('Exception Stores'!$B$6),"NO",IF('Exception Stores'!$B$6&lt;=$AU$2,"YES","NO"))</f>
        <v>NO</v>
      </c>
      <c r="CJ172" s="42" t="str">
        <f>IF(ISBLANK('Exception Stores'!$B$6),"NO",IF('Exception Stores'!$B$6&lt;=$AV$2,"YES","NO"))</f>
        <v>NO</v>
      </c>
      <c r="CK172" s="1" t="str">
        <f>IF(ISBLANK('Exception Stores'!$B$6),"NO",IF('Exception Stores'!$B$6&lt;=$AW$2,"YES","NO"))</f>
        <v>NO</v>
      </c>
      <c r="CL172" s="1" t="str">
        <f>IF(ISBLANK('Exception Stores'!$B$6),"NO",IF('Exception Stores'!$B$6&lt;=$AX$2,"YES","NO"))</f>
        <v>NO</v>
      </c>
      <c r="CM172" s="1" t="str">
        <f>IF(ISBLANK('Exception Stores'!$B$6),"NO",IF('Exception Stores'!$B$6&lt;=$AY$2,"YES","NO"))</f>
        <v>NO</v>
      </c>
      <c r="CO172" s="1" t="e">
        <f ca="1">IF(AM172&lt;'Exception Stores'!$A$6,"YES","NO")</f>
        <v>#VALUE!</v>
      </c>
      <c r="CP172" s="1">
        <f t="shared" si="208"/>
        <v>0</v>
      </c>
      <c r="CQ172" s="1">
        <f t="shared" si="209"/>
        <v>0</v>
      </c>
      <c r="CR172" s="1">
        <f t="shared" si="210"/>
        <v>0</v>
      </c>
      <c r="CS172" s="1">
        <f t="shared" si="211"/>
        <v>0</v>
      </c>
      <c r="CT172" s="1">
        <f t="shared" si="212"/>
        <v>0</v>
      </c>
      <c r="CU172" s="1">
        <f t="shared" si="213"/>
        <v>0</v>
      </c>
      <c r="CW172" s="1" t="e">
        <f t="shared" ca="1" si="218"/>
        <v>#VALUE!</v>
      </c>
      <c r="CX172" s="1" t="e">
        <f t="shared" ca="1" si="219"/>
        <v>#VALUE!</v>
      </c>
      <c r="CY172" s="1" t="e">
        <f t="shared" ca="1" si="220"/>
        <v>#VALUE!</v>
      </c>
      <c r="CZ172" s="1" t="e">
        <f t="shared" ca="1" si="221"/>
        <v>#VALUE!</v>
      </c>
      <c r="DA172" s="1" t="e">
        <f t="shared" ca="1" si="222"/>
        <v>#VALUE!</v>
      </c>
      <c r="DB172" s="26" t="e">
        <f t="shared" ca="1" si="214"/>
        <v>#VALUE!</v>
      </c>
      <c r="DC172" s="1">
        <f t="shared" si="223"/>
        <v>0</v>
      </c>
      <c r="DD172" s="1">
        <f t="shared" si="224"/>
        <v>0</v>
      </c>
      <c r="DE172" s="1">
        <f t="shared" si="225"/>
        <v>0</v>
      </c>
      <c r="DF172" s="1">
        <f t="shared" si="226"/>
        <v>0</v>
      </c>
      <c r="DG172" s="1">
        <f t="shared" si="227"/>
        <v>0</v>
      </c>
      <c r="DH172" s="26">
        <f t="shared" si="215"/>
        <v>0</v>
      </c>
      <c r="DI172" s="1" t="e">
        <f t="shared" ca="1" si="216"/>
        <v>#VALUE!</v>
      </c>
      <c r="DK172" s="11" t="str">
        <f t="shared" si="228"/>
        <v/>
      </c>
      <c r="DL172" s="11" t="e">
        <f ca="1">IF(AND(NOT(ISBLANK('Exception Stores'!$A$6)),CO172="YES"),S172-$BH$2-(DI172*$BS$2)-(CU172*$BS$2),S172-(DB172*$BS$2))</f>
        <v>#VALUE!</v>
      </c>
      <c r="DM172" s="11" t="str">
        <f>IF(ISBLANK(A172),"",IF(COUNTIF(Remaps!$A$2:$A$200,B172)&gt;0,"YES",""))</f>
        <v>YES</v>
      </c>
      <c r="DN172" s="29">
        <f>IFERROR(INDEX(Remaps!$B$2:$B$200,MATCH(B172,Remaps!$A$2:$A$200,0),1),0)</f>
        <v>0</v>
      </c>
      <c r="DO172" s="11" t="e">
        <f t="shared" ca="1" si="229"/>
        <v>#VALUE!</v>
      </c>
      <c r="DP172" s="29" t="e">
        <f t="shared" si="230"/>
        <v>#VALUE!</v>
      </c>
      <c r="DQ172" s="11" t="e">
        <f ca="1">('Apollo Dock Status'!$Z$1-DP172)/DO172</f>
        <v>#VALUE!</v>
      </c>
      <c r="DR172" s="15" t="e">
        <f t="shared" ca="1" si="217"/>
        <v>#VALUE!</v>
      </c>
    </row>
    <row r="173" spans="1:122">
      <c r="A173" s="1" t="str">
        <f>IF(ISBLANK('Apollo Dock Status'!A173),"",'Apollo Dock Status'!A173)</f>
        <v/>
      </c>
      <c r="B173" s="1" t="str">
        <f>IF(ISBLANK('Apollo Dock Status'!B173),"",'Apollo Dock Status'!B173)</f>
        <v/>
      </c>
      <c r="C173" s="1" t="str">
        <f>IF(ISBLANK('Apollo Dock Status'!C173),"",'Apollo Dock Status'!C173)</f>
        <v/>
      </c>
      <c r="D173" s="1" t="str">
        <f>IF(ISBLANK('Apollo Dock Status'!D173),"",'Apollo Dock Status'!D173)</f>
        <v/>
      </c>
      <c r="E173" s="1" t="str">
        <f>IF(ISBLANK('Apollo Dock Status'!E173),"",'Apollo Dock Status'!E173)</f>
        <v/>
      </c>
      <c r="F173" s="1" t="str">
        <f>IF(ISBLANK('Apollo Dock Status'!F173),"",'Apollo Dock Status'!F173)</f>
        <v/>
      </c>
      <c r="G173" s="1" t="str">
        <f>IF(ISBLANK('Apollo Dock Status'!G173),"",'Apollo Dock Status'!G173)</f>
        <v/>
      </c>
      <c r="H173" s="1" t="str">
        <f>IF(ISBLANK('Apollo Dock Status'!H173),"",'Apollo Dock Status'!H173)</f>
        <v/>
      </c>
      <c r="I173" s="1" t="str">
        <f>IF(ISBLANK('Apollo Dock Status'!I173),"",'Apollo Dock Status'!I173)</f>
        <v/>
      </c>
      <c r="J173" s="1" t="str">
        <f>IF(ISBLANK('Apollo Dock Status'!J173),"",'Apollo Dock Status'!J173)</f>
        <v/>
      </c>
      <c r="K173" s="1" t="str">
        <f>IF(ISBLANK('Apollo Dock Status'!K173),"",'Apollo Dock Status'!K173)</f>
        <v/>
      </c>
      <c r="L173" s="1" t="str">
        <f>IF(ISBLANK('Apollo Dock Status'!L173),"",'Apollo Dock Status'!L173)</f>
        <v/>
      </c>
      <c r="M173" s="1" t="str">
        <f>IF(ISBLANK('Apollo Dock Status'!M173),"",'Apollo Dock Status'!M173)</f>
        <v/>
      </c>
      <c r="N173" s="1" t="str">
        <f>IF(ISBLANK('Apollo Dock Status'!N173),"",'Apollo Dock Status'!N173)</f>
        <v/>
      </c>
      <c r="O173" s="1" t="str">
        <f t="shared" si="167"/>
        <v/>
      </c>
      <c r="P173" s="1" t="str">
        <f t="shared" si="168"/>
        <v/>
      </c>
      <c r="Q173" s="1" t="str">
        <f t="shared" si="169"/>
        <v/>
      </c>
      <c r="R173" s="1" t="str">
        <f t="shared" si="170"/>
        <v/>
      </c>
      <c r="S173" s="11" t="str">
        <f t="shared" si="171"/>
        <v/>
      </c>
      <c r="T173" s="1" t="str">
        <f t="shared" si="172"/>
        <v/>
      </c>
      <c r="U173" s="11" t="str">
        <f t="shared" si="173"/>
        <v/>
      </c>
      <c r="V173" s="11" t="str">
        <f t="shared" si="174"/>
        <v/>
      </c>
      <c r="X173" s="1" t="str">
        <f t="shared" si="175"/>
        <v/>
      </c>
      <c r="Y173" s="1" t="str">
        <f t="shared" si="176"/>
        <v/>
      </c>
      <c r="Z173" s="1" t="str">
        <f t="shared" si="177"/>
        <v/>
      </c>
      <c r="AB173" s="13">
        <f t="shared" ca="1" si="178"/>
        <v>46176</v>
      </c>
      <c r="AC173" s="1">
        <f t="shared" ca="1" si="179"/>
        <v>2026</v>
      </c>
      <c r="AD173" s="1" t="str">
        <f t="shared" ca="1" si="180"/>
        <v>6</v>
      </c>
      <c r="AE173" s="1">
        <f t="shared" si="181"/>
        <v>1</v>
      </c>
      <c r="AF173" s="1" t="str">
        <f t="shared" si="182"/>
        <v/>
      </c>
      <c r="AG173" s="1">
        <f t="shared" ca="1" si="183"/>
        <v>2026</v>
      </c>
      <c r="AH173" s="1">
        <f t="shared" si="184"/>
        <v>1</v>
      </c>
      <c r="AI173" s="1" t="str">
        <f t="shared" ca="1" si="185"/>
        <v>6</v>
      </c>
      <c r="AJ173" s="13" t="e">
        <f t="shared" ca="1" si="186"/>
        <v>#VALUE!</v>
      </c>
      <c r="AK173" s="1" t="e">
        <f>IF(ISBLANK(A173),"",IFERROR(MID(F173,SEARCH(", ",F173)+LEN(", "),SEARCH(" "&amp;'Exception Stores'!$A$2,F173)-SEARCH(", ",F173)-LEN(", ")),MID(F173,SEARCH(", ",F173)+LEN(", "),SEARCH(" "&amp;'Exception Stores'!$B$2,F173)-SEARCH(", ",F173)-LEN(", "))))</f>
        <v>#VALUE!</v>
      </c>
      <c r="AL173" s="1" t="e">
        <f t="shared" si="187"/>
        <v>#VALUE!</v>
      </c>
      <c r="AM173" s="15" t="e">
        <f t="shared" ca="1" si="188"/>
        <v>#VALUE!</v>
      </c>
      <c r="AN173" s="24" t="e">
        <f t="shared" ca="1" si="189"/>
        <v>#VALUE!</v>
      </c>
      <c r="AO173" s="1" t="e">
        <f t="shared" ca="1" si="190"/>
        <v>#VALUE!</v>
      </c>
      <c r="AP173" s="13" t="e">
        <f t="shared" ca="1" si="191"/>
        <v>#VALUE!</v>
      </c>
      <c r="AQ173" s="17" t="e">
        <f t="shared" ca="1" si="192"/>
        <v>#VALUE!</v>
      </c>
      <c r="AS173" s="15" t="e">
        <f t="shared" ca="1" si="193"/>
        <v>#VALUE!</v>
      </c>
      <c r="AT173" s="5">
        <f>'Exception Stores'!$D$2</f>
        <v>0.125</v>
      </c>
      <c r="AU173" s="15" t="e">
        <f t="shared" ca="1" si="194"/>
        <v>#VALUE!</v>
      </c>
      <c r="AV173" s="15" t="e">
        <f t="shared" ca="1" si="195"/>
        <v>#VALUE!</v>
      </c>
      <c r="AW173" s="15" t="e">
        <f t="shared" ca="1" si="196"/>
        <v>#VALUE!</v>
      </c>
      <c r="AX173" s="15" t="e">
        <f t="shared" ca="1" si="197"/>
        <v>#VALUE!</v>
      </c>
      <c r="AY173" s="15" t="e">
        <f t="shared" ca="1" si="198"/>
        <v>#VALUE!</v>
      </c>
      <c r="AZ173" s="1" t="e">
        <f t="shared" ca="1" si="199"/>
        <v>#VALUE!</v>
      </c>
      <c r="BA173" s="15" t="e">
        <f t="shared" ca="1" si="200"/>
        <v>#VALUE!</v>
      </c>
      <c r="BB173" s="15" t="e">
        <f t="shared" ca="1" si="201"/>
        <v>#VALUE!</v>
      </c>
      <c r="BC173" s="1" t="e">
        <f t="shared" ca="1" si="202"/>
        <v>#VALUE!</v>
      </c>
      <c r="BE173" s="15" t="str">
        <f>IF(ISBLANK('Exception Stores'!$A$6),"",'Exception Stores'!$A$6)</f>
        <v/>
      </c>
      <c r="BF173" s="15" t="str">
        <f>IF(ISBLANK('Exception Stores'!$B$6),"",'Exception Stores'!$B$6)</f>
        <v/>
      </c>
      <c r="BG173" s="1">
        <f>IF(ISBLANK('Exception Stores'!$A$6),0,IF($AN$2&gt;$BF$2,($AN$2-$BF$2)*24,0))</f>
        <v>0</v>
      </c>
      <c r="BH173" s="11">
        <f>IF(ISBLANK('Exception Stores'!$A$6),0,($BF$2-$BE$2)*24)</f>
        <v>0</v>
      </c>
      <c r="BI17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73" s="1">
        <f>IF(ISBLANK('Exception Stores'!$A$6),0,IF($AN$2&gt;$BF$2,0,IF(AND($AN$2&lt;$BF$2,$BT$2="B"),(($BF$2-$AN$2)*24)-$BS$2,($BF$2-$AN$2)*24)))</f>
        <v>0</v>
      </c>
      <c r="BL173" s="5"/>
      <c r="BM173" s="5"/>
      <c r="BN173" s="5"/>
      <c r="BO173" s="5"/>
      <c r="BP173" s="5"/>
      <c r="BV173" s="1" t="e">
        <f t="shared" ca="1" si="203"/>
        <v>#VALUE!</v>
      </c>
      <c r="BW173" s="1" t="e">
        <f t="shared" ca="1" si="204"/>
        <v>#VALUE!</v>
      </c>
      <c r="BX173" s="1" t="e">
        <f t="shared" ca="1" si="205"/>
        <v>#VALUE!</v>
      </c>
      <c r="BY173" s="1" t="e">
        <f t="shared" ca="1" si="206"/>
        <v>#VALUE!</v>
      </c>
      <c r="BZ173" s="1" t="e">
        <f t="shared" ca="1" si="207"/>
        <v>#VALUE!</v>
      </c>
      <c r="CB173" s="1" t="str">
        <f>IF(ISBLANK('Exception Stores'!$A$6),"",WEEKDAY($BF$2))</f>
        <v/>
      </c>
      <c r="CC173" s="1" t="str">
        <f>IF(ISBLANK('Exception Stores'!$A$6),"NO",IF('Exception Stores'!$A$6&lt;$AU$2,"YES","NO"))</f>
        <v>NO</v>
      </c>
      <c r="CD173" s="1" t="str">
        <f>IF(ISBLANK('Exception Stores'!$A$6),"NO",IF('Exception Stores'!$A$6&lt;$AV$2,"YES","NO"))</f>
        <v>NO</v>
      </c>
      <c r="CE173" s="1" t="str">
        <f>IF(ISBLANK('Exception Stores'!$A$6),"NO",IF('Exception Stores'!$A$6&lt;$AW$2,"YES","NO"))</f>
        <v>NO</v>
      </c>
      <c r="CF173" s="1" t="str">
        <f>IF(ISBLANK('Exception Stores'!$A$6),"NO",IF('Exception Stores'!$A$6&lt;$AX$2,"YES","NO"))</f>
        <v>NO</v>
      </c>
      <c r="CG173" s="1" t="str">
        <f>IF(ISBLANK('Exception Stores'!$A$6),"NO",IF('Exception Stores'!$A$6&lt;$AY$2,"YES","NO"))</f>
        <v>NO</v>
      </c>
      <c r="CI173" s="42" t="str">
        <f>IF(ISBLANK('Exception Stores'!$B$6),"NO",IF('Exception Stores'!$B$6&lt;=$AU$2,"YES","NO"))</f>
        <v>NO</v>
      </c>
      <c r="CJ173" s="42" t="str">
        <f>IF(ISBLANK('Exception Stores'!$B$6),"NO",IF('Exception Stores'!$B$6&lt;=$AV$2,"YES","NO"))</f>
        <v>NO</v>
      </c>
      <c r="CK173" s="1" t="str">
        <f>IF(ISBLANK('Exception Stores'!$B$6),"NO",IF('Exception Stores'!$B$6&lt;=$AW$2,"YES","NO"))</f>
        <v>NO</v>
      </c>
      <c r="CL173" s="1" t="str">
        <f>IF(ISBLANK('Exception Stores'!$B$6),"NO",IF('Exception Stores'!$B$6&lt;=$AX$2,"YES","NO"))</f>
        <v>NO</v>
      </c>
      <c r="CM173" s="1" t="str">
        <f>IF(ISBLANK('Exception Stores'!$B$6),"NO",IF('Exception Stores'!$B$6&lt;=$AY$2,"YES","NO"))</f>
        <v>NO</v>
      </c>
      <c r="CO173" s="1" t="e">
        <f ca="1">IF(AM173&lt;'Exception Stores'!$A$6,"YES","NO")</f>
        <v>#VALUE!</v>
      </c>
      <c r="CP173" s="1">
        <f t="shared" si="208"/>
        <v>0</v>
      </c>
      <c r="CQ173" s="1">
        <f t="shared" si="209"/>
        <v>0</v>
      </c>
      <c r="CR173" s="1">
        <f t="shared" si="210"/>
        <v>0</v>
      </c>
      <c r="CS173" s="1">
        <f t="shared" si="211"/>
        <v>0</v>
      </c>
      <c r="CT173" s="1">
        <f t="shared" si="212"/>
        <v>0</v>
      </c>
      <c r="CU173" s="1">
        <f t="shared" si="213"/>
        <v>0</v>
      </c>
      <c r="CW173" s="1" t="e">
        <f t="shared" ca="1" si="218"/>
        <v>#VALUE!</v>
      </c>
      <c r="CX173" s="1" t="e">
        <f t="shared" ca="1" si="219"/>
        <v>#VALUE!</v>
      </c>
      <c r="CY173" s="1" t="e">
        <f t="shared" ca="1" si="220"/>
        <v>#VALUE!</v>
      </c>
      <c r="CZ173" s="1" t="e">
        <f t="shared" ca="1" si="221"/>
        <v>#VALUE!</v>
      </c>
      <c r="DA173" s="1" t="e">
        <f t="shared" ca="1" si="222"/>
        <v>#VALUE!</v>
      </c>
      <c r="DB173" s="26" t="e">
        <f t="shared" ca="1" si="214"/>
        <v>#VALUE!</v>
      </c>
      <c r="DC173" s="1">
        <f t="shared" si="223"/>
        <v>0</v>
      </c>
      <c r="DD173" s="1">
        <f t="shared" si="224"/>
        <v>0</v>
      </c>
      <c r="DE173" s="1">
        <f t="shared" si="225"/>
        <v>0</v>
      </c>
      <c r="DF173" s="1">
        <f t="shared" si="226"/>
        <v>0</v>
      </c>
      <c r="DG173" s="1">
        <f t="shared" si="227"/>
        <v>0</v>
      </c>
      <c r="DH173" s="26">
        <f t="shared" si="215"/>
        <v>0</v>
      </c>
      <c r="DI173" s="1" t="e">
        <f t="shared" ca="1" si="216"/>
        <v>#VALUE!</v>
      </c>
      <c r="DK173" s="11" t="str">
        <f t="shared" si="228"/>
        <v/>
      </c>
      <c r="DL173" s="11" t="e">
        <f ca="1">IF(AND(NOT(ISBLANK('Exception Stores'!$A$6)),CO173="YES"),S173-$BH$2-(DI173*$BS$2)-(CU173*$BS$2),S173-(DB173*$BS$2))</f>
        <v>#VALUE!</v>
      </c>
      <c r="DM173" s="11" t="str">
        <f>IF(ISBLANK(A173),"",IF(COUNTIF(Remaps!$A$2:$A$200,B173)&gt;0,"YES",""))</f>
        <v>YES</v>
      </c>
      <c r="DN173" s="29">
        <f>IFERROR(INDEX(Remaps!$B$2:$B$200,MATCH(B173,Remaps!$A$2:$A$200,0),1),0)</f>
        <v>0</v>
      </c>
      <c r="DO173" s="11" t="e">
        <f t="shared" ca="1" si="229"/>
        <v>#VALUE!</v>
      </c>
      <c r="DP173" s="29" t="e">
        <f t="shared" si="230"/>
        <v>#VALUE!</v>
      </c>
      <c r="DQ173" s="11" t="e">
        <f ca="1">('Apollo Dock Status'!$Z$1-DP173)/DO173</f>
        <v>#VALUE!</v>
      </c>
      <c r="DR173" s="15" t="e">
        <f t="shared" ca="1" si="217"/>
        <v>#VALUE!</v>
      </c>
    </row>
    <row r="174" spans="1:122">
      <c r="A174" s="1" t="str">
        <f>IF(ISBLANK('Apollo Dock Status'!A174),"",'Apollo Dock Status'!A174)</f>
        <v/>
      </c>
      <c r="B174" s="1" t="str">
        <f>IF(ISBLANK('Apollo Dock Status'!B174),"",'Apollo Dock Status'!B174)</f>
        <v/>
      </c>
      <c r="C174" s="1" t="str">
        <f>IF(ISBLANK('Apollo Dock Status'!C174),"",'Apollo Dock Status'!C174)</f>
        <v/>
      </c>
      <c r="D174" s="1" t="str">
        <f>IF(ISBLANK('Apollo Dock Status'!D174),"",'Apollo Dock Status'!D174)</f>
        <v/>
      </c>
      <c r="E174" s="1" t="str">
        <f>IF(ISBLANK('Apollo Dock Status'!E174),"",'Apollo Dock Status'!E174)</f>
        <v/>
      </c>
      <c r="F174" s="1" t="str">
        <f>IF(ISBLANK('Apollo Dock Status'!F174),"",'Apollo Dock Status'!F174)</f>
        <v/>
      </c>
      <c r="G174" s="1" t="str">
        <f>IF(ISBLANK('Apollo Dock Status'!G174),"",'Apollo Dock Status'!G174)</f>
        <v/>
      </c>
      <c r="H174" s="1" t="str">
        <f>IF(ISBLANK('Apollo Dock Status'!H174),"",'Apollo Dock Status'!H174)</f>
        <v/>
      </c>
      <c r="I174" s="1" t="str">
        <f>IF(ISBLANK('Apollo Dock Status'!I174),"",'Apollo Dock Status'!I174)</f>
        <v/>
      </c>
      <c r="J174" s="1" t="str">
        <f>IF(ISBLANK('Apollo Dock Status'!J174),"",'Apollo Dock Status'!J174)</f>
        <v/>
      </c>
      <c r="K174" s="1" t="str">
        <f>IF(ISBLANK('Apollo Dock Status'!K174),"",'Apollo Dock Status'!K174)</f>
        <v/>
      </c>
      <c r="L174" s="1" t="str">
        <f>IF(ISBLANK('Apollo Dock Status'!L174),"",'Apollo Dock Status'!L174)</f>
        <v/>
      </c>
      <c r="M174" s="1" t="str">
        <f>IF(ISBLANK('Apollo Dock Status'!M174),"",'Apollo Dock Status'!M174)</f>
        <v/>
      </c>
      <c r="N174" s="1" t="str">
        <f>IF(ISBLANK('Apollo Dock Status'!N174),"",'Apollo Dock Status'!N174)</f>
        <v/>
      </c>
      <c r="O174" s="1" t="str">
        <f t="shared" si="167"/>
        <v/>
      </c>
      <c r="P174" s="1" t="str">
        <f t="shared" si="168"/>
        <v/>
      </c>
      <c r="Q174" s="1" t="str">
        <f t="shared" si="169"/>
        <v/>
      </c>
      <c r="R174" s="1" t="str">
        <f t="shared" si="170"/>
        <v/>
      </c>
      <c r="S174" s="11" t="str">
        <f t="shared" si="171"/>
        <v/>
      </c>
      <c r="T174" s="1" t="str">
        <f t="shared" si="172"/>
        <v/>
      </c>
      <c r="U174" s="11" t="str">
        <f t="shared" si="173"/>
        <v/>
      </c>
      <c r="V174" s="11" t="str">
        <f t="shared" si="174"/>
        <v/>
      </c>
      <c r="X174" s="1" t="str">
        <f t="shared" si="175"/>
        <v/>
      </c>
      <c r="Y174" s="1" t="str">
        <f t="shared" si="176"/>
        <v/>
      </c>
      <c r="Z174" s="1" t="str">
        <f t="shared" si="177"/>
        <v/>
      </c>
      <c r="AB174" s="13">
        <f t="shared" ca="1" si="178"/>
        <v>46176</v>
      </c>
      <c r="AC174" s="1">
        <f t="shared" ca="1" si="179"/>
        <v>2026</v>
      </c>
      <c r="AD174" s="1" t="str">
        <f t="shared" ca="1" si="180"/>
        <v>6</v>
      </c>
      <c r="AE174" s="1">
        <f t="shared" si="181"/>
        <v>1</v>
      </c>
      <c r="AF174" s="1" t="str">
        <f t="shared" si="182"/>
        <v/>
      </c>
      <c r="AG174" s="1">
        <f t="shared" ca="1" si="183"/>
        <v>2026</v>
      </c>
      <c r="AH174" s="1">
        <f t="shared" si="184"/>
        <v>1</v>
      </c>
      <c r="AI174" s="1" t="str">
        <f t="shared" ca="1" si="185"/>
        <v>6</v>
      </c>
      <c r="AJ174" s="13" t="e">
        <f t="shared" ca="1" si="186"/>
        <v>#VALUE!</v>
      </c>
      <c r="AK174" s="1" t="e">
        <f>IF(ISBLANK(A174),"",IFERROR(MID(F174,SEARCH(", ",F174)+LEN(", "),SEARCH(" "&amp;'Exception Stores'!$A$2,F174)-SEARCH(", ",F174)-LEN(", ")),MID(F174,SEARCH(", ",F174)+LEN(", "),SEARCH(" "&amp;'Exception Stores'!$B$2,F174)-SEARCH(", ",F174)-LEN(", "))))</f>
        <v>#VALUE!</v>
      </c>
      <c r="AL174" s="1" t="e">
        <f t="shared" si="187"/>
        <v>#VALUE!</v>
      </c>
      <c r="AM174" s="15" t="e">
        <f t="shared" ca="1" si="188"/>
        <v>#VALUE!</v>
      </c>
      <c r="AN174" s="24" t="e">
        <f t="shared" ca="1" si="189"/>
        <v>#VALUE!</v>
      </c>
      <c r="AO174" s="1" t="e">
        <f t="shared" ca="1" si="190"/>
        <v>#VALUE!</v>
      </c>
      <c r="AP174" s="13" t="e">
        <f t="shared" ca="1" si="191"/>
        <v>#VALUE!</v>
      </c>
      <c r="AQ174" s="17" t="e">
        <f t="shared" ca="1" si="192"/>
        <v>#VALUE!</v>
      </c>
      <c r="AS174" s="15" t="e">
        <f t="shared" ca="1" si="193"/>
        <v>#VALUE!</v>
      </c>
      <c r="AT174" s="5">
        <f>'Exception Stores'!$D$2</f>
        <v>0.125</v>
      </c>
      <c r="AU174" s="15" t="e">
        <f t="shared" ca="1" si="194"/>
        <v>#VALUE!</v>
      </c>
      <c r="AV174" s="15" t="e">
        <f t="shared" ca="1" si="195"/>
        <v>#VALUE!</v>
      </c>
      <c r="AW174" s="15" t="e">
        <f t="shared" ca="1" si="196"/>
        <v>#VALUE!</v>
      </c>
      <c r="AX174" s="15" t="e">
        <f t="shared" ca="1" si="197"/>
        <v>#VALUE!</v>
      </c>
      <c r="AY174" s="15" t="e">
        <f t="shared" ca="1" si="198"/>
        <v>#VALUE!</v>
      </c>
      <c r="AZ174" s="1" t="e">
        <f t="shared" ca="1" si="199"/>
        <v>#VALUE!</v>
      </c>
      <c r="BA174" s="15" t="e">
        <f t="shared" ca="1" si="200"/>
        <v>#VALUE!</v>
      </c>
      <c r="BB174" s="15" t="e">
        <f t="shared" ca="1" si="201"/>
        <v>#VALUE!</v>
      </c>
      <c r="BC174" s="1" t="e">
        <f t="shared" ca="1" si="202"/>
        <v>#VALUE!</v>
      </c>
      <c r="BE174" s="15" t="str">
        <f>IF(ISBLANK('Exception Stores'!$A$6),"",'Exception Stores'!$A$6)</f>
        <v/>
      </c>
      <c r="BF174" s="15" t="str">
        <f>IF(ISBLANK('Exception Stores'!$B$6),"",'Exception Stores'!$B$6)</f>
        <v/>
      </c>
      <c r="BG174" s="1">
        <f>IF(ISBLANK('Exception Stores'!$A$6),0,IF($AN$2&gt;$BF$2,($AN$2-$BF$2)*24,0))</f>
        <v>0</v>
      </c>
      <c r="BH174" s="11">
        <f>IF(ISBLANK('Exception Stores'!$A$6),0,($BF$2-$BE$2)*24)</f>
        <v>0</v>
      </c>
      <c r="BI17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74" s="1">
        <f>IF(ISBLANK('Exception Stores'!$A$6),0,IF($AN$2&gt;$BF$2,0,IF(AND($AN$2&lt;$BF$2,$BT$2="B"),(($BF$2-$AN$2)*24)-$BS$2,($BF$2-$AN$2)*24)))</f>
        <v>0</v>
      </c>
      <c r="BL174" s="5"/>
      <c r="BM174" s="5"/>
      <c r="BN174" s="5"/>
      <c r="BO174" s="5"/>
      <c r="BP174" s="5"/>
      <c r="BV174" s="1" t="e">
        <f t="shared" ca="1" si="203"/>
        <v>#VALUE!</v>
      </c>
      <c r="BW174" s="1" t="e">
        <f t="shared" ca="1" si="204"/>
        <v>#VALUE!</v>
      </c>
      <c r="BX174" s="1" t="e">
        <f t="shared" ca="1" si="205"/>
        <v>#VALUE!</v>
      </c>
      <c r="BY174" s="1" t="e">
        <f t="shared" ca="1" si="206"/>
        <v>#VALUE!</v>
      </c>
      <c r="BZ174" s="1" t="e">
        <f t="shared" ca="1" si="207"/>
        <v>#VALUE!</v>
      </c>
      <c r="CB174" s="1" t="str">
        <f>IF(ISBLANK('Exception Stores'!$A$6),"",WEEKDAY($BF$2))</f>
        <v/>
      </c>
      <c r="CC174" s="1" t="str">
        <f>IF(ISBLANK('Exception Stores'!$A$6),"NO",IF('Exception Stores'!$A$6&lt;$AU$2,"YES","NO"))</f>
        <v>NO</v>
      </c>
      <c r="CD174" s="1" t="str">
        <f>IF(ISBLANK('Exception Stores'!$A$6),"NO",IF('Exception Stores'!$A$6&lt;$AV$2,"YES","NO"))</f>
        <v>NO</v>
      </c>
      <c r="CE174" s="1" t="str">
        <f>IF(ISBLANK('Exception Stores'!$A$6),"NO",IF('Exception Stores'!$A$6&lt;$AW$2,"YES","NO"))</f>
        <v>NO</v>
      </c>
      <c r="CF174" s="1" t="str">
        <f>IF(ISBLANK('Exception Stores'!$A$6),"NO",IF('Exception Stores'!$A$6&lt;$AX$2,"YES","NO"))</f>
        <v>NO</v>
      </c>
      <c r="CG174" s="1" t="str">
        <f>IF(ISBLANK('Exception Stores'!$A$6),"NO",IF('Exception Stores'!$A$6&lt;$AY$2,"YES","NO"))</f>
        <v>NO</v>
      </c>
      <c r="CI174" s="42" t="str">
        <f>IF(ISBLANK('Exception Stores'!$B$6),"NO",IF('Exception Stores'!$B$6&lt;=$AU$2,"YES","NO"))</f>
        <v>NO</v>
      </c>
      <c r="CJ174" s="42" t="str">
        <f>IF(ISBLANK('Exception Stores'!$B$6),"NO",IF('Exception Stores'!$B$6&lt;=$AV$2,"YES","NO"))</f>
        <v>NO</v>
      </c>
      <c r="CK174" s="1" t="str">
        <f>IF(ISBLANK('Exception Stores'!$B$6),"NO",IF('Exception Stores'!$B$6&lt;=$AW$2,"YES","NO"))</f>
        <v>NO</v>
      </c>
      <c r="CL174" s="1" t="str">
        <f>IF(ISBLANK('Exception Stores'!$B$6),"NO",IF('Exception Stores'!$B$6&lt;=$AX$2,"YES","NO"))</f>
        <v>NO</v>
      </c>
      <c r="CM174" s="1" t="str">
        <f>IF(ISBLANK('Exception Stores'!$B$6),"NO",IF('Exception Stores'!$B$6&lt;=$AY$2,"YES","NO"))</f>
        <v>NO</v>
      </c>
      <c r="CO174" s="1" t="e">
        <f ca="1">IF(AM174&lt;'Exception Stores'!$A$6,"YES","NO")</f>
        <v>#VALUE!</v>
      </c>
      <c r="CP174" s="1">
        <f t="shared" si="208"/>
        <v>0</v>
      </c>
      <c r="CQ174" s="1">
        <f t="shared" si="209"/>
        <v>0</v>
      </c>
      <c r="CR174" s="1">
        <f t="shared" si="210"/>
        <v>0</v>
      </c>
      <c r="CS174" s="1">
        <f t="shared" si="211"/>
        <v>0</v>
      </c>
      <c r="CT174" s="1">
        <f t="shared" si="212"/>
        <v>0</v>
      </c>
      <c r="CU174" s="1">
        <f t="shared" si="213"/>
        <v>0</v>
      </c>
      <c r="CW174" s="1" t="e">
        <f t="shared" ca="1" si="218"/>
        <v>#VALUE!</v>
      </c>
      <c r="CX174" s="1" t="e">
        <f t="shared" ca="1" si="219"/>
        <v>#VALUE!</v>
      </c>
      <c r="CY174" s="1" t="e">
        <f t="shared" ca="1" si="220"/>
        <v>#VALUE!</v>
      </c>
      <c r="CZ174" s="1" t="e">
        <f t="shared" ca="1" si="221"/>
        <v>#VALUE!</v>
      </c>
      <c r="DA174" s="1" t="e">
        <f t="shared" ca="1" si="222"/>
        <v>#VALUE!</v>
      </c>
      <c r="DB174" s="26" t="e">
        <f t="shared" ca="1" si="214"/>
        <v>#VALUE!</v>
      </c>
      <c r="DC174" s="1">
        <f t="shared" si="223"/>
        <v>0</v>
      </c>
      <c r="DD174" s="1">
        <f t="shared" si="224"/>
        <v>0</v>
      </c>
      <c r="DE174" s="1">
        <f t="shared" si="225"/>
        <v>0</v>
      </c>
      <c r="DF174" s="1">
        <f t="shared" si="226"/>
        <v>0</v>
      </c>
      <c r="DG174" s="1">
        <f t="shared" si="227"/>
        <v>0</v>
      </c>
      <c r="DH174" s="26">
        <f t="shared" si="215"/>
        <v>0</v>
      </c>
      <c r="DI174" s="1" t="e">
        <f t="shared" ca="1" si="216"/>
        <v>#VALUE!</v>
      </c>
      <c r="DK174" s="11" t="str">
        <f t="shared" si="228"/>
        <v/>
      </c>
      <c r="DL174" s="11" t="e">
        <f ca="1">IF(AND(NOT(ISBLANK('Exception Stores'!$A$6)),CO174="YES"),S174-$BH$2-(DI174*$BS$2)-(CU174*$BS$2),S174-(DB174*$BS$2))</f>
        <v>#VALUE!</v>
      </c>
      <c r="DM174" s="11" t="str">
        <f>IF(ISBLANK(A174),"",IF(COUNTIF(Remaps!$A$2:$A$200,B174)&gt;0,"YES",""))</f>
        <v>YES</v>
      </c>
      <c r="DN174" s="29">
        <f>IFERROR(INDEX(Remaps!$B$2:$B$200,MATCH(B174,Remaps!$A$2:$A$200,0),1),0)</f>
        <v>0</v>
      </c>
      <c r="DO174" s="11" t="e">
        <f t="shared" ca="1" si="229"/>
        <v>#VALUE!</v>
      </c>
      <c r="DP174" s="29" t="e">
        <f t="shared" si="230"/>
        <v>#VALUE!</v>
      </c>
      <c r="DQ174" s="11" t="e">
        <f ca="1">('Apollo Dock Status'!$Z$1-DP174)/DO174</f>
        <v>#VALUE!</v>
      </c>
      <c r="DR174" s="15" t="e">
        <f t="shared" ca="1" si="217"/>
        <v>#VALUE!</v>
      </c>
    </row>
    <row r="175" spans="1:122">
      <c r="A175" s="1" t="str">
        <f>IF(ISBLANK('Apollo Dock Status'!A175),"",'Apollo Dock Status'!A175)</f>
        <v/>
      </c>
      <c r="B175" s="1" t="str">
        <f>IF(ISBLANK('Apollo Dock Status'!B175),"",'Apollo Dock Status'!B175)</f>
        <v/>
      </c>
      <c r="C175" s="1" t="str">
        <f>IF(ISBLANK('Apollo Dock Status'!C175),"",'Apollo Dock Status'!C175)</f>
        <v/>
      </c>
      <c r="D175" s="1" t="str">
        <f>IF(ISBLANK('Apollo Dock Status'!D175),"",'Apollo Dock Status'!D175)</f>
        <v/>
      </c>
      <c r="E175" s="1" t="str">
        <f>IF(ISBLANK('Apollo Dock Status'!E175),"",'Apollo Dock Status'!E175)</f>
        <v/>
      </c>
      <c r="F175" s="1" t="str">
        <f>IF(ISBLANK('Apollo Dock Status'!F175),"",'Apollo Dock Status'!F175)</f>
        <v/>
      </c>
      <c r="G175" s="1" t="str">
        <f>IF(ISBLANK('Apollo Dock Status'!G175),"",'Apollo Dock Status'!G175)</f>
        <v/>
      </c>
      <c r="H175" s="1" t="str">
        <f>IF(ISBLANK('Apollo Dock Status'!H175),"",'Apollo Dock Status'!H175)</f>
        <v/>
      </c>
      <c r="I175" s="1" t="str">
        <f>IF(ISBLANK('Apollo Dock Status'!I175),"",'Apollo Dock Status'!I175)</f>
        <v/>
      </c>
      <c r="J175" s="1" t="str">
        <f>IF(ISBLANK('Apollo Dock Status'!J175),"",'Apollo Dock Status'!J175)</f>
        <v/>
      </c>
      <c r="K175" s="1" t="str">
        <f>IF(ISBLANK('Apollo Dock Status'!K175),"",'Apollo Dock Status'!K175)</f>
        <v/>
      </c>
      <c r="L175" s="1" t="str">
        <f>IF(ISBLANK('Apollo Dock Status'!L175),"",'Apollo Dock Status'!L175)</f>
        <v/>
      </c>
      <c r="M175" s="1" t="str">
        <f>IF(ISBLANK('Apollo Dock Status'!M175),"",'Apollo Dock Status'!M175)</f>
        <v/>
      </c>
      <c r="N175" s="1" t="str">
        <f>IF(ISBLANK('Apollo Dock Status'!N175),"",'Apollo Dock Status'!N175)</f>
        <v/>
      </c>
      <c r="O175" s="1" t="str">
        <f t="shared" si="167"/>
        <v/>
      </c>
      <c r="P175" s="1" t="str">
        <f t="shared" si="168"/>
        <v/>
      </c>
      <c r="Q175" s="1" t="str">
        <f t="shared" si="169"/>
        <v/>
      </c>
      <c r="R175" s="1" t="str">
        <f t="shared" si="170"/>
        <v/>
      </c>
      <c r="S175" s="11" t="str">
        <f t="shared" si="171"/>
        <v/>
      </c>
      <c r="T175" s="1" t="str">
        <f t="shared" si="172"/>
        <v/>
      </c>
      <c r="U175" s="11" t="str">
        <f t="shared" si="173"/>
        <v/>
      </c>
      <c r="V175" s="11" t="str">
        <f t="shared" si="174"/>
        <v/>
      </c>
      <c r="X175" s="1" t="str">
        <f t="shared" si="175"/>
        <v/>
      </c>
      <c r="Y175" s="1" t="str">
        <f t="shared" si="176"/>
        <v/>
      </c>
      <c r="Z175" s="1" t="str">
        <f t="shared" si="177"/>
        <v/>
      </c>
      <c r="AB175" s="13">
        <f t="shared" ca="1" si="178"/>
        <v>46176</v>
      </c>
      <c r="AC175" s="1">
        <f t="shared" ca="1" si="179"/>
        <v>2026</v>
      </c>
      <c r="AD175" s="1" t="str">
        <f t="shared" ca="1" si="180"/>
        <v>6</v>
      </c>
      <c r="AE175" s="1">
        <f t="shared" si="181"/>
        <v>1</v>
      </c>
      <c r="AF175" s="1" t="str">
        <f t="shared" si="182"/>
        <v/>
      </c>
      <c r="AG175" s="1">
        <f t="shared" ca="1" si="183"/>
        <v>2026</v>
      </c>
      <c r="AH175" s="1">
        <f t="shared" si="184"/>
        <v>1</v>
      </c>
      <c r="AI175" s="1" t="str">
        <f t="shared" ca="1" si="185"/>
        <v>6</v>
      </c>
      <c r="AJ175" s="13" t="e">
        <f t="shared" ca="1" si="186"/>
        <v>#VALUE!</v>
      </c>
      <c r="AK175" s="1" t="e">
        <f>IF(ISBLANK(A175),"",IFERROR(MID(F175,SEARCH(", ",F175)+LEN(", "),SEARCH(" "&amp;'Exception Stores'!$A$2,F175)-SEARCH(", ",F175)-LEN(", ")),MID(F175,SEARCH(", ",F175)+LEN(", "),SEARCH(" "&amp;'Exception Stores'!$B$2,F175)-SEARCH(", ",F175)-LEN(", "))))</f>
        <v>#VALUE!</v>
      </c>
      <c r="AL175" s="1" t="e">
        <f t="shared" si="187"/>
        <v>#VALUE!</v>
      </c>
      <c r="AM175" s="15" t="e">
        <f t="shared" ca="1" si="188"/>
        <v>#VALUE!</v>
      </c>
      <c r="AN175" s="24" t="e">
        <f t="shared" ca="1" si="189"/>
        <v>#VALUE!</v>
      </c>
      <c r="AO175" s="1" t="e">
        <f t="shared" ca="1" si="190"/>
        <v>#VALUE!</v>
      </c>
      <c r="AP175" s="13" t="e">
        <f t="shared" ca="1" si="191"/>
        <v>#VALUE!</v>
      </c>
      <c r="AQ175" s="17" t="e">
        <f t="shared" ca="1" si="192"/>
        <v>#VALUE!</v>
      </c>
      <c r="AS175" s="15" t="e">
        <f t="shared" ca="1" si="193"/>
        <v>#VALUE!</v>
      </c>
      <c r="AT175" s="5">
        <f>'Exception Stores'!$D$2</f>
        <v>0.125</v>
      </c>
      <c r="AU175" s="15" t="e">
        <f t="shared" ca="1" si="194"/>
        <v>#VALUE!</v>
      </c>
      <c r="AV175" s="15" t="e">
        <f t="shared" ca="1" si="195"/>
        <v>#VALUE!</v>
      </c>
      <c r="AW175" s="15" t="e">
        <f t="shared" ca="1" si="196"/>
        <v>#VALUE!</v>
      </c>
      <c r="AX175" s="15" t="e">
        <f t="shared" ca="1" si="197"/>
        <v>#VALUE!</v>
      </c>
      <c r="AY175" s="15" t="e">
        <f t="shared" ca="1" si="198"/>
        <v>#VALUE!</v>
      </c>
      <c r="AZ175" s="1" t="e">
        <f t="shared" ca="1" si="199"/>
        <v>#VALUE!</v>
      </c>
      <c r="BA175" s="15" t="e">
        <f t="shared" ca="1" si="200"/>
        <v>#VALUE!</v>
      </c>
      <c r="BB175" s="15" t="e">
        <f t="shared" ca="1" si="201"/>
        <v>#VALUE!</v>
      </c>
      <c r="BC175" s="1" t="e">
        <f t="shared" ca="1" si="202"/>
        <v>#VALUE!</v>
      </c>
      <c r="BE175" s="15" t="str">
        <f>IF(ISBLANK('Exception Stores'!$A$6),"",'Exception Stores'!$A$6)</f>
        <v/>
      </c>
      <c r="BF175" s="15" t="str">
        <f>IF(ISBLANK('Exception Stores'!$B$6),"",'Exception Stores'!$B$6)</f>
        <v/>
      </c>
      <c r="BG175" s="1">
        <f>IF(ISBLANK('Exception Stores'!$A$6),0,IF($AN$2&gt;$BF$2,($AN$2-$BF$2)*24,0))</f>
        <v>0</v>
      </c>
      <c r="BH175" s="11">
        <f>IF(ISBLANK('Exception Stores'!$A$6),0,($BF$2-$BE$2)*24)</f>
        <v>0</v>
      </c>
      <c r="BI17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75" s="1">
        <f>IF(ISBLANK('Exception Stores'!$A$6),0,IF($AN$2&gt;$BF$2,0,IF(AND($AN$2&lt;$BF$2,$BT$2="B"),(($BF$2-$AN$2)*24)-$BS$2,($BF$2-$AN$2)*24)))</f>
        <v>0</v>
      </c>
      <c r="BL175" s="5"/>
      <c r="BM175" s="5"/>
      <c r="BN175" s="5"/>
      <c r="BO175" s="5"/>
      <c r="BP175" s="5"/>
      <c r="BV175" s="1" t="e">
        <f t="shared" ca="1" si="203"/>
        <v>#VALUE!</v>
      </c>
      <c r="BW175" s="1" t="e">
        <f t="shared" ca="1" si="204"/>
        <v>#VALUE!</v>
      </c>
      <c r="BX175" s="1" t="e">
        <f t="shared" ca="1" si="205"/>
        <v>#VALUE!</v>
      </c>
      <c r="BY175" s="1" t="e">
        <f t="shared" ca="1" si="206"/>
        <v>#VALUE!</v>
      </c>
      <c r="BZ175" s="1" t="e">
        <f t="shared" ca="1" si="207"/>
        <v>#VALUE!</v>
      </c>
      <c r="CB175" s="1" t="str">
        <f>IF(ISBLANK('Exception Stores'!$A$6),"",WEEKDAY($BF$2))</f>
        <v/>
      </c>
      <c r="CC175" s="1" t="str">
        <f>IF(ISBLANK('Exception Stores'!$A$6),"NO",IF('Exception Stores'!$A$6&lt;$AU$2,"YES","NO"))</f>
        <v>NO</v>
      </c>
      <c r="CD175" s="1" t="str">
        <f>IF(ISBLANK('Exception Stores'!$A$6),"NO",IF('Exception Stores'!$A$6&lt;$AV$2,"YES","NO"))</f>
        <v>NO</v>
      </c>
      <c r="CE175" s="1" t="str">
        <f>IF(ISBLANK('Exception Stores'!$A$6),"NO",IF('Exception Stores'!$A$6&lt;$AW$2,"YES","NO"))</f>
        <v>NO</v>
      </c>
      <c r="CF175" s="1" t="str">
        <f>IF(ISBLANK('Exception Stores'!$A$6),"NO",IF('Exception Stores'!$A$6&lt;$AX$2,"YES","NO"))</f>
        <v>NO</v>
      </c>
      <c r="CG175" s="1" t="str">
        <f>IF(ISBLANK('Exception Stores'!$A$6),"NO",IF('Exception Stores'!$A$6&lt;$AY$2,"YES","NO"))</f>
        <v>NO</v>
      </c>
      <c r="CI175" s="42" t="str">
        <f>IF(ISBLANK('Exception Stores'!$B$6),"NO",IF('Exception Stores'!$B$6&lt;=$AU$2,"YES","NO"))</f>
        <v>NO</v>
      </c>
      <c r="CJ175" s="42" t="str">
        <f>IF(ISBLANK('Exception Stores'!$B$6),"NO",IF('Exception Stores'!$B$6&lt;=$AV$2,"YES","NO"))</f>
        <v>NO</v>
      </c>
      <c r="CK175" s="1" t="str">
        <f>IF(ISBLANK('Exception Stores'!$B$6),"NO",IF('Exception Stores'!$B$6&lt;=$AW$2,"YES","NO"))</f>
        <v>NO</v>
      </c>
      <c r="CL175" s="1" t="str">
        <f>IF(ISBLANK('Exception Stores'!$B$6),"NO",IF('Exception Stores'!$B$6&lt;=$AX$2,"YES","NO"))</f>
        <v>NO</v>
      </c>
      <c r="CM175" s="1" t="str">
        <f>IF(ISBLANK('Exception Stores'!$B$6),"NO",IF('Exception Stores'!$B$6&lt;=$AY$2,"YES","NO"))</f>
        <v>NO</v>
      </c>
      <c r="CO175" s="1" t="e">
        <f ca="1">IF(AM175&lt;'Exception Stores'!$A$6,"YES","NO")</f>
        <v>#VALUE!</v>
      </c>
      <c r="CP175" s="1">
        <f t="shared" si="208"/>
        <v>0</v>
      </c>
      <c r="CQ175" s="1">
        <f t="shared" si="209"/>
        <v>0</v>
      </c>
      <c r="CR175" s="1">
        <f t="shared" si="210"/>
        <v>0</v>
      </c>
      <c r="CS175" s="1">
        <f t="shared" si="211"/>
        <v>0</v>
      </c>
      <c r="CT175" s="1">
        <f t="shared" si="212"/>
        <v>0</v>
      </c>
      <c r="CU175" s="1">
        <f t="shared" si="213"/>
        <v>0</v>
      </c>
      <c r="CW175" s="1" t="e">
        <f t="shared" ca="1" si="218"/>
        <v>#VALUE!</v>
      </c>
      <c r="CX175" s="1" t="e">
        <f t="shared" ca="1" si="219"/>
        <v>#VALUE!</v>
      </c>
      <c r="CY175" s="1" t="e">
        <f t="shared" ca="1" si="220"/>
        <v>#VALUE!</v>
      </c>
      <c r="CZ175" s="1" t="e">
        <f t="shared" ca="1" si="221"/>
        <v>#VALUE!</v>
      </c>
      <c r="DA175" s="1" t="e">
        <f t="shared" ca="1" si="222"/>
        <v>#VALUE!</v>
      </c>
      <c r="DB175" s="26" t="e">
        <f t="shared" ca="1" si="214"/>
        <v>#VALUE!</v>
      </c>
      <c r="DC175" s="1">
        <f t="shared" si="223"/>
        <v>0</v>
      </c>
      <c r="DD175" s="1">
        <f t="shared" si="224"/>
        <v>0</v>
      </c>
      <c r="DE175" s="1">
        <f t="shared" si="225"/>
        <v>0</v>
      </c>
      <c r="DF175" s="1">
        <f t="shared" si="226"/>
        <v>0</v>
      </c>
      <c r="DG175" s="1">
        <f t="shared" si="227"/>
        <v>0</v>
      </c>
      <c r="DH175" s="26">
        <f t="shared" si="215"/>
        <v>0</v>
      </c>
      <c r="DI175" s="1" t="e">
        <f t="shared" ca="1" si="216"/>
        <v>#VALUE!</v>
      </c>
      <c r="DK175" s="11" t="str">
        <f t="shared" si="228"/>
        <v/>
      </c>
      <c r="DL175" s="11" t="e">
        <f ca="1">IF(AND(NOT(ISBLANK('Exception Stores'!$A$6)),CO175="YES"),S175-$BH$2-(DI175*$BS$2)-(CU175*$BS$2),S175-(DB175*$BS$2))</f>
        <v>#VALUE!</v>
      </c>
      <c r="DM175" s="11" t="str">
        <f>IF(ISBLANK(A175),"",IF(COUNTIF(Remaps!$A$2:$A$200,B175)&gt;0,"YES",""))</f>
        <v>YES</v>
      </c>
      <c r="DN175" s="29">
        <f>IFERROR(INDEX(Remaps!$B$2:$B$200,MATCH(B175,Remaps!$A$2:$A$200,0),1),0)</f>
        <v>0</v>
      </c>
      <c r="DO175" s="11" t="e">
        <f t="shared" ca="1" si="229"/>
        <v>#VALUE!</v>
      </c>
      <c r="DP175" s="29" t="e">
        <f t="shared" si="230"/>
        <v>#VALUE!</v>
      </c>
      <c r="DQ175" s="11" t="e">
        <f ca="1">('Apollo Dock Status'!$Z$1-DP175)/DO175</f>
        <v>#VALUE!</v>
      </c>
      <c r="DR175" s="15" t="e">
        <f t="shared" ca="1" si="217"/>
        <v>#VALUE!</v>
      </c>
    </row>
    <row r="176" spans="1:122">
      <c r="A176" s="1" t="str">
        <f>IF(ISBLANK('Apollo Dock Status'!A176),"",'Apollo Dock Status'!A176)</f>
        <v/>
      </c>
      <c r="B176" s="1" t="str">
        <f>IF(ISBLANK('Apollo Dock Status'!B176),"",'Apollo Dock Status'!B176)</f>
        <v/>
      </c>
      <c r="C176" s="1" t="str">
        <f>IF(ISBLANK('Apollo Dock Status'!C176),"",'Apollo Dock Status'!C176)</f>
        <v/>
      </c>
      <c r="D176" s="1" t="str">
        <f>IF(ISBLANK('Apollo Dock Status'!D176),"",'Apollo Dock Status'!D176)</f>
        <v/>
      </c>
      <c r="E176" s="1" t="str">
        <f>IF(ISBLANK('Apollo Dock Status'!E176),"",'Apollo Dock Status'!E176)</f>
        <v/>
      </c>
      <c r="F176" s="1" t="str">
        <f>IF(ISBLANK('Apollo Dock Status'!F176),"",'Apollo Dock Status'!F176)</f>
        <v/>
      </c>
      <c r="G176" s="1" t="str">
        <f>IF(ISBLANK('Apollo Dock Status'!G176),"",'Apollo Dock Status'!G176)</f>
        <v/>
      </c>
      <c r="H176" s="1" t="str">
        <f>IF(ISBLANK('Apollo Dock Status'!H176),"",'Apollo Dock Status'!H176)</f>
        <v/>
      </c>
      <c r="I176" s="1" t="str">
        <f>IF(ISBLANK('Apollo Dock Status'!I176),"",'Apollo Dock Status'!I176)</f>
        <v/>
      </c>
      <c r="J176" s="1" t="str">
        <f>IF(ISBLANK('Apollo Dock Status'!J176),"",'Apollo Dock Status'!J176)</f>
        <v/>
      </c>
      <c r="K176" s="1" t="str">
        <f>IF(ISBLANK('Apollo Dock Status'!K176),"",'Apollo Dock Status'!K176)</f>
        <v/>
      </c>
      <c r="L176" s="1" t="str">
        <f>IF(ISBLANK('Apollo Dock Status'!L176),"",'Apollo Dock Status'!L176)</f>
        <v/>
      </c>
      <c r="M176" s="1" t="str">
        <f>IF(ISBLANK('Apollo Dock Status'!M176),"",'Apollo Dock Status'!M176)</f>
        <v/>
      </c>
      <c r="N176" s="1" t="str">
        <f>IF(ISBLANK('Apollo Dock Status'!N176),"",'Apollo Dock Status'!N176)</f>
        <v/>
      </c>
      <c r="O176" s="1" t="str">
        <f t="shared" si="167"/>
        <v/>
      </c>
      <c r="P176" s="1" t="str">
        <f t="shared" si="168"/>
        <v/>
      </c>
      <c r="Q176" s="1" t="str">
        <f t="shared" si="169"/>
        <v/>
      </c>
      <c r="R176" s="1" t="str">
        <f t="shared" si="170"/>
        <v/>
      </c>
      <c r="S176" s="11" t="str">
        <f t="shared" si="171"/>
        <v/>
      </c>
      <c r="T176" s="1" t="str">
        <f t="shared" si="172"/>
        <v/>
      </c>
      <c r="U176" s="11" t="str">
        <f t="shared" si="173"/>
        <v/>
      </c>
      <c r="V176" s="11" t="str">
        <f t="shared" si="174"/>
        <v/>
      </c>
      <c r="X176" s="1" t="str">
        <f t="shared" si="175"/>
        <v/>
      </c>
      <c r="Y176" s="1" t="str">
        <f t="shared" si="176"/>
        <v/>
      </c>
      <c r="Z176" s="1" t="str">
        <f t="shared" si="177"/>
        <v/>
      </c>
      <c r="AB176" s="13">
        <f t="shared" ca="1" si="178"/>
        <v>46176</v>
      </c>
      <c r="AC176" s="1">
        <f t="shared" ca="1" si="179"/>
        <v>2026</v>
      </c>
      <c r="AD176" s="1" t="str">
        <f t="shared" ca="1" si="180"/>
        <v>6</v>
      </c>
      <c r="AE176" s="1">
        <f t="shared" si="181"/>
        <v>1</v>
      </c>
      <c r="AF176" s="1" t="str">
        <f t="shared" si="182"/>
        <v/>
      </c>
      <c r="AG176" s="1">
        <f t="shared" ca="1" si="183"/>
        <v>2026</v>
      </c>
      <c r="AH176" s="1">
        <f t="shared" si="184"/>
        <v>1</v>
      </c>
      <c r="AI176" s="1" t="str">
        <f t="shared" ca="1" si="185"/>
        <v>6</v>
      </c>
      <c r="AJ176" s="13" t="e">
        <f t="shared" ca="1" si="186"/>
        <v>#VALUE!</v>
      </c>
      <c r="AK176" s="1" t="e">
        <f>IF(ISBLANK(A176),"",IFERROR(MID(F176,SEARCH(", ",F176)+LEN(", "),SEARCH(" "&amp;'Exception Stores'!$A$2,F176)-SEARCH(", ",F176)-LEN(", ")),MID(F176,SEARCH(", ",F176)+LEN(", "),SEARCH(" "&amp;'Exception Stores'!$B$2,F176)-SEARCH(", ",F176)-LEN(", "))))</f>
        <v>#VALUE!</v>
      </c>
      <c r="AL176" s="1" t="e">
        <f t="shared" si="187"/>
        <v>#VALUE!</v>
      </c>
      <c r="AM176" s="15" t="e">
        <f t="shared" ca="1" si="188"/>
        <v>#VALUE!</v>
      </c>
      <c r="AN176" s="24" t="e">
        <f t="shared" ca="1" si="189"/>
        <v>#VALUE!</v>
      </c>
      <c r="AO176" s="1" t="e">
        <f t="shared" ca="1" si="190"/>
        <v>#VALUE!</v>
      </c>
      <c r="AP176" s="13" t="e">
        <f t="shared" ca="1" si="191"/>
        <v>#VALUE!</v>
      </c>
      <c r="AQ176" s="17" t="e">
        <f t="shared" ca="1" si="192"/>
        <v>#VALUE!</v>
      </c>
      <c r="AS176" s="15" t="e">
        <f t="shared" ca="1" si="193"/>
        <v>#VALUE!</v>
      </c>
      <c r="AT176" s="5">
        <f>'Exception Stores'!$D$2</f>
        <v>0.125</v>
      </c>
      <c r="AU176" s="15" t="e">
        <f t="shared" ca="1" si="194"/>
        <v>#VALUE!</v>
      </c>
      <c r="AV176" s="15" t="e">
        <f t="shared" ca="1" si="195"/>
        <v>#VALUE!</v>
      </c>
      <c r="AW176" s="15" t="e">
        <f t="shared" ca="1" si="196"/>
        <v>#VALUE!</v>
      </c>
      <c r="AX176" s="15" t="e">
        <f t="shared" ca="1" si="197"/>
        <v>#VALUE!</v>
      </c>
      <c r="AY176" s="15" t="e">
        <f t="shared" ca="1" si="198"/>
        <v>#VALUE!</v>
      </c>
      <c r="AZ176" s="1" t="e">
        <f t="shared" ca="1" si="199"/>
        <v>#VALUE!</v>
      </c>
      <c r="BA176" s="15" t="e">
        <f t="shared" ca="1" si="200"/>
        <v>#VALUE!</v>
      </c>
      <c r="BB176" s="15" t="e">
        <f t="shared" ca="1" si="201"/>
        <v>#VALUE!</v>
      </c>
      <c r="BC176" s="1" t="e">
        <f t="shared" ca="1" si="202"/>
        <v>#VALUE!</v>
      </c>
      <c r="BE176" s="15" t="str">
        <f>IF(ISBLANK('Exception Stores'!$A$6),"",'Exception Stores'!$A$6)</f>
        <v/>
      </c>
      <c r="BF176" s="15" t="str">
        <f>IF(ISBLANK('Exception Stores'!$B$6),"",'Exception Stores'!$B$6)</f>
        <v/>
      </c>
      <c r="BG176" s="1">
        <f>IF(ISBLANK('Exception Stores'!$A$6),0,IF($AN$2&gt;$BF$2,($AN$2-$BF$2)*24,0))</f>
        <v>0</v>
      </c>
      <c r="BH176" s="11">
        <f>IF(ISBLANK('Exception Stores'!$A$6),0,($BF$2-$BE$2)*24)</f>
        <v>0</v>
      </c>
      <c r="BI17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76" s="1">
        <f>IF(ISBLANK('Exception Stores'!$A$6),0,IF($AN$2&gt;$BF$2,0,IF(AND($AN$2&lt;$BF$2,$BT$2="B"),(($BF$2-$AN$2)*24)-$BS$2,($BF$2-$AN$2)*24)))</f>
        <v>0</v>
      </c>
      <c r="BL176" s="5"/>
      <c r="BM176" s="5"/>
      <c r="BN176" s="5"/>
      <c r="BO176" s="5"/>
      <c r="BP176" s="5"/>
      <c r="BV176" s="1" t="e">
        <f t="shared" ca="1" si="203"/>
        <v>#VALUE!</v>
      </c>
      <c r="BW176" s="1" t="e">
        <f t="shared" ca="1" si="204"/>
        <v>#VALUE!</v>
      </c>
      <c r="BX176" s="1" t="e">
        <f t="shared" ca="1" si="205"/>
        <v>#VALUE!</v>
      </c>
      <c r="BY176" s="1" t="e">
        <f t="shared" ca="1" si="206"/>
        <v>#VALUE!</v>
      </c>
      <c r="BZ176" s="1" t="e">
        <f t="shared" ca="1" si="207"/>
        <v>#VALUE!</v>
      </c>
      <c r="CB176" s="1" t="str">
        <f>IF(ISBLANK('Exception Stores'!$A$6),"",WEEKDAY($BF$2))</f>
        <v/>
      </c>
      <c r="CC176" s="1" t="str">
        <f>IF(ISBLANK('Exception Stores'!$A$6),"NO",IF('Exception Stores'!$A$6&lt;$AU$2,"YES","NO"))</f>
        <v>NO</v>
      </c>
      <c r="CD176" s="1" t="str">
        <f>IF(ISBLANK('Exception Stores'!$A$6),"NO",IF('Exception Stores'!$A$6&lt;$AV$2,"YES","NO"))</f>
        <v>NO</v>
      </c>
      <c r="CE176" s="1" t="str">
        <f>IF(ISBLANK('Exception Stores'!$A$6),"NO",IF('Exception Stores'!$A$6&lt;$AW$2,"YES","NO"))</f>
        <v>NO</v>
      </c>
      <c r="CF176" s="1" t="str">
        <f>IF(ISBLANK('Exception Stores'!$A$6),"NO",IF('Exception Stores'!$A$6&lt;$AX$2,"YES","NO"))</f>
        <v>NO</v>
      </c>
      <c r="CG176" s="1" t="str">
        <f>IF(ISBLANK('Exception Stores'!$A$6),"NO",IF('Exception Stores'!$A$6&lt;$AY$2,"YES","NO"))</f>
        <v>NO</v>
      </c>
      <c r="CI176" s="42" t="str">
        <f>IF(ISBLANK('Exception Stores'!$B$6),"NO",IF('Exception Stores'!$B$6&lt;=$AU$2,"YES","NO"))</f>
        <v>NO</v>
      </c>
      <c r="CJ176" s="42" t="str">
        <f>IF(ISBLANK('Exception Stores'!$B$6),"NO",IF('Exception Stores'!$B$6&lt;=$AV$2,"YES","NO"))</f>
        <v>NO</v>
      </c>
      <c r="CK176" s="1" t="str">
        <f>IF(ISBLANK('Exception Stores'!$B$6),"NO",IF('Exception Stores'!$B$6&lt;=$AW$2,"YES","NO"))</f>
        <v>NO</v>
      </c>
      <c r="CL176" s="1" t="str">
        <f>IF(ISBLANK('Exception Stores'!$B$6),"NO",IF('Exception Stores'!$B$6&lt;=$AX$2,"YES","NO"))</f>
        <v>NO</v>
      </c>
      <c r="CM176" s="1" t="str">
        <f>IF(ISBLANK('Exception Stores'!$B$6),"NO",IF('Exception Stores'!$B$6&lt;=$AY$2,"YES","NO"))</f>
        <v>NO</v>
      </c>
      <c r="CO176" s="1" t="e">
        <f ca="1">IF(AM176&lt;'Exception Stores'!$A$6,"YES","NO")</f>
        <v>#VALUE!</v>
      </c>
      <c r="CP176" s="1">
        <f t="shared" si="208"/>
        <v>0</v>
      </c>
      <c r="CQ176" s="1">
        <f t="shared" si="209"/>
        <v>0</v>
      </c>
      <c r="CR176" s="1">
        <f t="shared" si="210"/>
        <v>0</v>
      </c>
      <c r="CS176" s="1">
        <f t="shared" si="211"/>
        <v>0</v>
      </c>
      <c r="CT176" s="1">
        <f t="shared" si="212"/>
        <v>0</v>
      </c>
      <c r="CU176" s="1">
        <f t="shared" si="213"/>
        <v>0</v>
      </c>
      <c r="CW176" s="1" t="e">
        <f t="shared" ca="1" si="218"/>
        <v>#VALUE!</v>
      </c>
      <c r="CX176" s="1" t="e">
        <f t="shared" ca="1" si="219"/>
        <v>#VALUE!</v>
      </c>
      <c r="CY176" s="1" t="e">
        <f t="shared" ca="1" si="220"/>
        <v>#VALUE!</v>
      </c>
      <c r="CZ176" s="1" t="e">
        <f t="shared" ca="1" si="221"/>
        <v>#VALUE!</v>
      </c>
      <c r="DA176" s="1" t="e">
        <f t="shared" ca="1" si="222"/>
        <v>#VALUE!</v>
      </c>
      <c r="DB176" s="26" t="e">
        <f t="shared" ca="1" si="214"/>
        <v>#VALUE!</v>
      </c>
      <c r="DC176" s="1">
        <f t="shared" si="223"/>
        <v>0</v>
      </c>
      <c r="DD176" s="1">
        <f t="shared" si="224"/>
        <v>0</v>
      </c>
      <c r="DE176" s="1">
        <f t="shared" si="225"/>
        <v>0</v>
      </c>
      <c r="DF176" s="1">
        <f t="shared" si="226"/>
        <v>0</v>
      </c>
      <c r="DG176" s="1">
        <f t="shared" si="227"/>
        <v>0</v>
      </c>
      <c r="DH176" s="26">
        <f t="shared" si="215"/>
        <v>0</v>
      </c>
      <c r="DI176" s="1" t="e">
        <f t="shared" ca="1" si="216"/>
        <v>#VALUE!</v>
      </c>
      <c r="DK176" s="11" t="str">
        <f t="shared" si="228"/>
        <v/>
      </c>
      <c r="DL176" s="11" t="e">
        <f ca="1">IF(AND(NOT(ISBLANK('Exception Stores'!$A$6)),CO176="YES"),S176-$BH$2-(DI176*$BS$2)-(CU176*$BS$2),S176-(DB176*$BS$2))</f>
        <v>#VALUE!</v>
      </c>
      <c r="DM176" s="11" t="str">
        <f>IF(ISBLANK(A176),"",IF(COUNTIF(Remaps!$A$2:$A$200,B176)&gt;0,"YES",""))</f>
        <v>YES</v>
      </c>
      <c r="DN176" s="29">
        <f>IFERROR(INDEX(Remaps!$B$2:$B$200,MATCH(B176,Remaps!$A$2:$A$200,0),1),0)</f>
        <v>0</v>
      </c>
      <c r="DO176" s="11" t="e">
        <f t="shared" ca="1" si="229"/>
        <v>#VALUE!</v>
      </c>
      <c r="DP176" s="29" t="e">
        <f t="shared" si="230"/>
        <v>#VALUE!</v>
      </c>
      <c r="DQ176" s="11" t="e">
        <f ca="1">('Apollo Dock Status'!$Z$1-DP176)/DO176</f>
        <v>#VALUE!</v>
      </c>
      <c r="DR176" s="15" t="e">
        <f t="shared" ca="1" si="217"/>
        <v>#VALUE!</v>
      </c>
    </row>
    <row r="177" spans="1:122">
      <c r="A177" s="1" t="str">
        <f>IF(ISBLANK('Apollo Dock Status'!A177),"",'Apollo Dock Status'!A177)</f>
        <v/>
      </c>
      <c r="B177" s="1" t="str">
        <f>IF(ISBLANK('Apollo Dock Status'!B177),"",'Apollo Dock Status'!B177)</f>
        <v/>
      </c>
      <c r="C177" s="1" t="str">
        <f>IF(ISBLANK('Apollo Dock Status'!C177),"",'Apollo Dock Status'!C177)</f>
        <v/>
      </c>
      <c r="D177" s="1" t="str">
        <f>IF(ISBLANK('Apollo Dock Status'!D177),"",'Apollo Dock Status'!D177)</f>
        <v/>
      </c>
      <c r="E177" s="1" t="str">
        <f>IF(ISBLANK('Apollo Dock Status'!E177),"",'Apollo Dock Status'!E177)</f>
        <v/>
      </c>
      <c r="F177" s="1" t="str">
        <f>IF(ISBLANK('Apollo Dock Status'!F177),"",'Apollo Dock Status'!F177)</f>
        <v/>
      </c>
      <c r="G177" s="1" t="str">
        <f>IF(ISBLANK('Apollo Dock Status'!G177),"",'Apollo Dock Status'!G177)</f>
        <v/>
      </c>
      <c r="H177" s="1" t="str">
        <f>IF(ISBLANK('Apollo Dock Status'!H177),"",'Apollo Dock Status'!H177)</f>
        <v/>
      </c>
      <c r="I177" s="1" t="str">
        <f>IF(ISBLANK('Apollo Dock Status'!I177),"",'Apollo Dock Status'!I177)</f>
        <v/>
      </c>
      <c r="J177" s="1" t="str">
        <f>IF(ISBLANK('Apollo Dock Status'!J177),"",'Apollo Dock Status'!J177)</f>
        <v/>
      </c>
      <c r="K177" s="1" t="str">
        <f>IF(ISBLANK('Apollo Dock Status'!K177),"",'Apollo Dock Status'!K177)</f>
        <v/>
      </c>
      <c r="L177" s="1" t="str">
        <f>IF(ISBLANK('Apollo Dock Status'!L177),"",'Apollo Dock Status'!L177)</f>
        <v/>
      </c>
      <c r="M177" s="1" t="str">
        <f>IF(ISBLANK('Apollo Dock Status'!M177),"",'Apollo Dock Status'!M177)</f>
        <v/>
      </c>
      <c r="N177" s="1" t="str">
        <f>IF(ISBLANK('Apollo Dock Status'!N177),"",'Apollo Dock Status'!N177)</f>
        <v/>
      </c>
      <c r="O177" s="1" t="str">
        <f t="shared" si="167"/>
        <v/>
      </c>
      <c r="P177" s="1" t="str">
        <f t="shared" si="168"/>
        <v/>
      </c>
      <c r="Q177" s="1" t="str">
        <f t="shared" si="169"/>
        <v/>
      </c>
      <c r="R177" s="1" t="str">
        <f t="shared" si="170"/>
        <v/>
      </c>
      <c r="S177" s="11" t="str">
        <f t="shared" si="171"/>
        <v/>
      </c>
      <c r="T177" s="1" t="str">
        <f t="shared" si="172"/>
        <v/>
      </c>
      <c r="U177" s="11" t="str">
        <f t="shared" si="173"/>
        <v/>
      </c>
      <c r="V177" s="11" t="str">
        <f t="shared" si="174"/>
        <v/>
      </c>
      <c r="X177" s="1" t="str">
        <f t="shared" si="175"/>
        <v/>
      </c>
      <c r="Y177" s="1" t="str">
        <f t="shared" si="176"/>
        <v/>
      </c>
      <c r="Z177" s="1" t="str">
        <f t="shared" si="177"/>
        <v/>
      </c>
      <c r="AB177" s="13">
        <f t="shared" ca="1" si="178"/>
        <v>46176</v>
      </c>
      <c r="AC177" s="1">
        <f t="shared" ca="1" si="179"/>
        <v>2026</v>
      </c>
      <c r="AD177" s="1" t="str">
        <f t="shared" ca="1" si="180"/>
        <v>6</v>
      </c>
      <c r="AE177" s="1">
        <f t="shared" si="181"/>
        <v>1</v>
      </c>
      <c r="AF177" s="1" t="str">
        <f t="shared" si="182"/>
        <v/>
      </c>
      <c r="AG177" s="1">
        <f t="shared" ca="1" si="183"/>
        <v>2026</v>
      </c>
      <c r="AH177" s="1">
        <f t="shared" si="184"/>
        <v>1</v>
      </c>
      <c r="AI177" s="1" t="str">
        <f t="shared" ca="1" si="185"/>
        <v>6</v>
      </c>
      <c r="AJ177" s="13" t="e">
        <f t="shared" ca="1" si="186"/>
        <v>#VALUE!</v>
      </c>
      <c r="AK177" s="1" t="e">
        <f>IF(ISBLANK(A177),"",IFERROR(MID(F177,SEARCH(", ",F177)+LEN(", "),SEARCH(" "&amp;'Exception Stores'!$A$2,F177)-SEARCH(", ",F177)-LEN(", ")),MID(F177,SEARCH(", ",F177)+LEN(", "),SEARCH(" "&amp;'Exception Stores'!$B$2,F177)-SEARCH(", ",F177)-LEN(", "))))</f>
        <v>#VALUE!</v>
      </c>
      <c r="AL177" s="1" t="e">
        <f t="shared" si="187"/>
        <v>#VALUE!</v>
      </c>
      <c r="AM177" s="15" t="e">
        <f t="shared" ca="1" si="188"/>
        <v>#VALUE!</v>
      </c>
      <c r="AN177" s="24" t="e">
        <f t="shared" ca="1" si="189"/>
        <v>#VALUE!</v>
      </c>
      <c r="AO177" s="1" t="e">
        <f t="shared" ca="1" si="190"/>
        <v>#VALUE!</v>
      </c>
      <c r="AP177" s="13" t="e">
        <f t="shared" ca="1" si="191"/>
        <v>#VALUE!</v>
      </c>
      <c r="AQ177" s="17" t="e">
        <f t="shared" ca="1" si="192"/>
        <v>#VALUE!</v>
      </c>
      <c r="AS177" s="15" t="e">
        <f t="shared" ca="1" si="193"/>
        <v>#VALUE!</v>
      </c>
      <c r="AT177" s="5">
        <f>'Exception Stores'!$D$2</f>
        <v>0.125</v>
      </c>
      <c r="AU177" s="15" t="e">
        <f t="shared" ca="1" si="194"/>
        <v>#VALUE!</v>
      </c>
      <c r="AV177" s="15" t="e">
        <f t="shared" ca="1" si="195"/>
        <v>#VALUE!</v>
      </c>
      <c r="AW177" s="15" t="e">
        <f t="shared" ca="1" si="196"/>
        <v>#VALUE!</v>
      </c>
      <c r="AX177" s="15" t="e">
        <f t="shared" ca="1" si="197"/>
        <v>#VALUE!</v>
      </c>
      <c r="AY177" s="15" t="e">
        <f t="shared" ca="1" si="198"/>
        <v>#VALUE!</v>
      </c>
      <c r="AZ177" s="1" t="e">
        <f t="shared" ca="1" si="199"/>
        <v>#VALUE!</v>
      </c>
      <c r="BA177" s="15" t="e">
        <f t="shared" ca="1" si="200"/>
        <v>#VALUE!</v>
      </c>
      <c r="BB177" s="15" t="e">
        <f t="shared" ca="1" si="201"/>
        <v>#VALUE!</v>
      </c>
      <c r="BC177" s="1" t="e">
        <f t="shared" ca="1" si="202"/>
        <v>#VALUE!</v>
      </c>
      <c r="BE177" s="15" t="str">
        <f>IF(ISBLANK('Exception Stores'!$A$6),"",'Exception Stores'!$A$6)</f>
        <v/>
      </c>
      <c r="BF177" s="15" t="str">
        <f>IF(ISBLANK('Exception Stores'!$B$6),"",'Exception Stores'!$B$6)</f>
        <v/>
      </c>
      <c r="BG177" s="1">
        <f>IF(ISBLANK('Exception Stores'!$A$6),0,IF($AN$2&gt;$BF$2,($AN$2-$BF$2)*24,0))</f>
        <v>0</v>
      </c>
      <c r="BH177" s="11">
        <f>IF(ISBLANK('Exception Stores'!$A$6),0,($BF$2-$BE$2)*24)</f>
        <v>0</v>
      </c>
      <c r="BI17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77" s="1">
        <f>IF(ISBLANK('Exception Stores'!$A$6),0,IF($AN$2&gt;$BF$2,0,IF(AND($AN$2&lt;$BF$2,$BT$2="B"),(($BF$2-$AN$2)*24)-$BS$2,($BF$2-$AN$2)*24)))</f>
        <v>0</v>
      </c>
      <c r="BL177" s="5"/>
      <c r="BM177" s="5"/>
      <c r="BN177" s="5"/>
      <c r="BO177" s="5"/>
      <c r="BP177" s="5"/>
      <c r="BV177" s="1" t="e">
        <f t="shared" ca="1" si="203"/>
        <v>#VALUE!</v>
      </c>
      <c r="BW177" s="1" t="e">
        <f t="shared" ca="1" si="204"/>
        <v>#VALUE!</v>
      </c>
      <c r="BX177" s="1" t="e">
        <f t="shared" ca="1" si="205"/>
        <v>#VALUE!</v>
      </c>
      <c r="BY177" s="1" t="e">
        <f t="shared" ca="1" si="206"/>
        <v>#VALUE!</v>
      </c>
      <c r="BZ177" s="1" t="e">
        <f t="shared" ca="1" si="207"/>
        <v>#VALUE!</v>
      </c>
      <c r="CB177" s="1" t="str">
        <f>IF(ISBLANK('Exception Stores'!$A$6),"",WEEKDAY($BF$2))</f>
        <v/>
      </c>
      <c r="CC177" s="1" t="str">
        <f>IF(ISBLANK('Exception Stores'!$A$6),"NO",IF('Exception Stores'!$A$6&lt;$AU$2,"YES","NO"))</f>
        <v>NO</v>
      </c>
      <c r="CD177" s="1" t="str">
        <f>IF(ISBLANK('Exception Stores'!$A$6),"NO",IF('Exception Stores'!$A$6&lt;$AV$2,"YES","NO"))</f>
        <v>NO</v>
      </c>
      <c r="CE177" s="1" t="str">
        <f>IF(ISBLANK('Exception Stores'!$A$6),"NO",IF('Exception Stores'!$A$6&lt;$AW$2,"YES","NO"))</f>
        <v>NO</v>
      </c>
      <c r="CF177" s="1" t="str">
        <f>IF(ISBLANK('Exception Stores'!$A$6),"NO",IF('Exception Stores'!$A$6&lt;$AX$2,"YES","NO"))</f>
        <v>NO</v>
      </c>
      <c r="CG177" s="1" t="str">
        <f>IF(ISBLANK('Exception Stores'!$A$6),"NO",IF('Exception Stores'!$A$6&lt;$AY$2,"YES","NO"))</f>
        <v>NO</v>
      </c>
      <c r="CI177" s="42" t="str">
        <f>IF(ISBLANK('Exception Stores'!$B$6),"NO",IF('Exception Stores'!$B$6&lt;=$AU$2,"YES","NO"))</f>
        <v>NO</v>
      </c>
      <c r="CJ177" s="42" t="str">
        <f>IF(ISBLANK('Exception Stores'!$B$6),"NO",IF('Exception Stores'!$B$6&lt;=$AV$2,"YES","NO"))</f>
        <v>NO</v>
      </c>
      <c r="CK177" s="1" t="str">
        <f>IF(ISBLANK('Exception Stores'!$B$6),"NO",IF('Exception Stores'!$B$6&lt;=$AW$2,"YES","NO"))</f>
        <v>NO</v>
      </c>
      <c r="CL177" s="1" t="str">
        <f>IF(ISBLANK('Exception Stores'!$B$6),"NO",IF('Exception Stores'!$B$6&lt;=$AX$2,"YES","NO"))</f>
        <v>NO</v>
      </c>
      <c r="CM177" s="1" t="str">
        <f>IF(ISBLANK('Exception Stores'!$B$6),"NO",IF('Exception Stores'!$B$6&lt;=$AY$2,"YES","NO"))</f>
        <v>NO</v>
      </c>
      <c r="CO177" s="1" t="e">
        <f ca="1">IF(AM177&lt;'Exception Stores'!$A$6,"YES","NO")</f>
        <v>#VALUE!</v>
      </c>
      <c r="CP177" s="1">
        <f t="shared" si="208"/>
        <v>0</v>
      </c>
      <c r="CQ177" s="1">
        <f t="shared" si="209"/>
        <v>0</v>
      </c>
      <c r="CR177" s="1">
        <f t="shared" si="210"/>
        <v>0</v>
      </c>
      <c r="CS177" s="1">
        <f t="shared" si="211"/>
        <v>0</v>
      </c>
      <c r="CT177" s="1">
        <f t="shared" si="212"/>
        <v>0</v>
      </c>
      <c r="CU177" s="1">
        <f t="shared" si="213"/>
        <v>0</v>
      </c>
      <c r="CW177" s="1" t="e">
        <f t="shared" ca="1" si="218"/>
        <v>#VALUE!</v>
      </c>
      <c r="CX177" s="1" t="e">
        <f t="shared" ca="1" si="219"/>
        <v>#VALUE!</v>
      </c>
      <c r="CY177" s="1" t="e">
        <f t="shared" ca="1" si="220"/>
        <v>#VALUE!</v>
      </c>
      <c r="CZ177" s="1" t="e">
        <f t="shared" ca="1" si="221"/>
        <v>#VALUE!</v>
      </c>
      <c r="DA177" s="1" t="e">
        <f t="shared" ca="1" si="222"/>
        <v>#VALUE!</v>
      </c>
      <c r="DB177" s="26" t="e">
        <f t="shared" ca="1" si="214"/>
        <v>#VALUE!</v>
      </c>
      <c r="DC177" s="1">
        <f t="shared" si="223"/>
        <v>0</v>
      </c>
      <c r="DD177" s="1">
        <f t="shared" si="224"/>
        <v>0</v>
      </c>
      <c r="DE177" s="1">
        <f t="shared" si="225"/>
        <v>0</v>
      </c>
      <c r="DF177" s="1">
        <f t="shared" si="226"/>
        <v>0</v>
      </c>
      <c r="DG177" s="1">
        <f t="shared" si="227"/>
        <v>0</v>
      </c>
      <c r="DH177" s="26">
        <f t="shared" si="215"/>
        <v>0</v>
      </c>
      <c r="DI177" s="1" t="e">
        <f t="shared" ca="1" si="216"/>
        <v>#VALUE!</v>
      </c>
      <c r="DK177" s="11" t="str">
        <f t="shared" si="228"/>
        <v/>
      </c>
      <c r="DL177" s="11" t="e">
        <f ca="1">IF(AND(NOT(ISBLANK('Exception Stores'!$A$6)),CO177="YES"),S177-$BH$2-(DI177*$BS$2)-(CU177*$BS$2),S177-(DB177*$BS$2))</f>
        <v>#VALUE!</v>
      </c>
      <c r="DM177" s="11" t="str">
        <f>IF(ISBLANK(A177),"",IF(COUNTIF(Remaps!$A$2:$A$200,B177)&gt;0,"YES",""))</f>
        <v>YES</v>
      </c>
      <c r="DN177" s="29">
        <f>IFERROR(INDEX(Remaps!$B$2:$B$200,MATCH(B177,Remaps!$A$2:$A$200,0),1),0)</f>
        <v>0</v>
      </c>
      <c r="DO177" s="11" t="e">
        <f t="shared" ca="1" si="229"/>
        <v>#VALUE!</v>
      </c>
      <c r="DP177" s="29" t="e">
        <f t="shared" si="230"/>
        <v>#VALUE!</v>
      </c>
      <c r="DQ177" s="11" t="e">
        <f ca="1">('Apollo Dock Status'!$Z$1-DP177)/DO177</f>
        <v>#VALUE!</v>
      </c>
      <c r="DR177" s="15" t="e">
        <f t="shared" ca="1" si="217"/>
        <v>#VALUE!</v>
      </c>
    </row>
    <row r="178" spans="1:122">
      <c r="A178" s="1" t="str">
        <f>IF(ISBLANK('Apollo Dock Status'!A178),"",'Apollo Dock Status'!A178)</f>
        <v/>
      </c>
      <c r="B178" s="1" t="str">
        <f>IF(ISBLANK('Apollo Dock Status'!B178),"",'Apollo Dock Status'!B178)</f>
        <v/>
      </c>
      <c r="C178" s="1" t="str">
        <f>IF(ISBLANK('Apollo Dock Status'!C178),"",'Apollo Dock Status'!C178)</f>
        <v/>
      </c>
      <c r="D178" s="1" t="str">
        <f>IF(ISBLANK('Apollo Dock Status'!D178),"",'Apollo Dock Status'!D178)</f>
        <v/>
      </c>
      <c r="E178" s="1" t="str">
        <f>IF(ISBLANK('Apollo Dock Status'!E178),"",'Apollo Dock Status'!E178)</f>
        <v/>
      </c>
      <c r="F178" s="1" t="str">
        <f>IF(ISBLANK('Apollo Dock Status'!F178),"",'Apollo Dock Status'!F178)</f>
        <v/>
      </c>
      <c r="G178" s="1" t="str">
        <f>IF(ISBLANK('Apollo Dock Status'!G178),"",'Apollo Dock Status'!G178)</f>
        <v/>
      </c>
      <c r="H178" s="1" t="str">
        <f>IF(ISBLANK('Apollo Dock Status'!H178),"",'Apollo Dock Status'!H178)</f>
        <v/>
      </c>
      <c r="I178" s="1" t="str">
        <f>IF(ISBLANK('Apollo Dock Status'!I178),"",'Apollo Dock Status'!I178)</f>
        <v/>
      </c>
      <c r="J178" s="1" t="str">
        <f>IF(ISBLANK('Apollo Dock Status'!J178),"",'Apollo Dock Status'!J178)</f>
        <v/>
      </c>
      <c r="K178" s="1" t="str">
        <f>IF(ISBLANK('Apollo Dock Status'!K178),"",'Apollo Dock Status'!K178)</f>
        <v/>
      </c>
      <c r="L178" s="1" t="str">
        <f>IF(ISBLANK('Apollo Dock Status'!L178),"",'Apollo Dock Status'!L178)</f>
        <v/>
      </c>
      <c r="M178" s="1" t="str">
        <f>IF(ISBLANK('Apollo Dock Status'!M178),"",'Apollo Dock Status'!M178)</f>
        <v/>
      </c>
      <c r="N178" s="1" t="str">
        <f>IF(ISBLANK('Apollo Dock Status'!N178),"",'Apollo Dock Status'!N178)</f>
        <v/>
      </c>
      <c r="O178" s="1" t="str">
        <f t="shared" si="167"/>
        <v/>
      </c>
      <c r="P178" s="1" t="str">
        <f t="shared" si="168"/>
        <v/>
      </c>
      <c r="Q178" s="1" t="str">
        <f t="shared" si="169"/>
        <v/>
      </c>
      <c r="R178" s="1" t="str">
        <f t="shared" si="170"/>
        <v/>
      </c>
      <c r="S178" s="11" t="str">
        <f t="shared" si="171"/>
        <v/>
      </c>
      <c r="T178" s="1" t="str">
        <f t="shared" si="172"/>
        <v/>
      </c>
      <c r="U178" s="11" t="str">
        <f t="shared" si="173"/>
        <v/>
      </c>
      <c r="V178" s="11" t="str">
        <f t="shared" si="174"/>
        <v/>
      </c>
      <c r="X178" s="1" t="str">
        <f t="shared" si="175"/>
        <v/>
      </c>
      <c r="Y178" s="1" t="str">
        <f t="shared" si="176"/>
        <v/>
      </c>
      <c r="Z178" s="1" t="str">
        <f t="shared" si="177"/>
        <v/>
      </c>
      <c r="AB178" s="13">
        <f t="shared" ca="1" si="178"/>
        <v>46176</v>
      </c>
      <c r="AC178" s="1">
        <f t="shared" ca="1" si="179"/>
        <v>2026</v>
      </c>
      <c r="AD178" s="1" t="str">
        <f t="shared" ca="1" si="180"/>
        <v>6</v>
      </c>
      <c r="AE178" s="1">
        <f t="shared" si="181"/>
        <v>1</v>
      </c>
      <c r="AF178" s="1" t="str">
        <f t="shared" si="182"/>
        <v/>
      </c>
      <c r="AG178" s="1">
        <f t="shared" ca="1" si="183"/>
        <v>2026</v>
      </c>
      <c r="AH178" s="1">
        <f t="shared" si="184"/>
        <v>1</v>
      </c>
      <c r="AI178" s="1" t="str">
        <f t="shared" ca="1" si="185"/>
        <v>6</v>
      </c>
      <c r="AJ178" s="13" t="e">
        <f t="shared" ca="1" si="186"/>
        <v>#VALUE!</v>
      </c>
      <c r="AK178" s="1" t="e">
        <f>IF(ISBLANK(A178),"",IFERROR(MID(F178,SEARCH(", ",F178)+LEN(", "),SEARCH(" "&amp;'Exception Stores'!$A$2,F178)-SEARCH(", ",F178)-LEN(", ")),MID(F178,SEARCH(", ",F178)+LEN(", "),SEARCH(" "&amp;'Exception Stores'!$B$2,F178)-SEARCH(", ",F178)-LEN(", "))))</f>
        <v>#VALUE!</v>
      </c>
      <c r="AL178" s="1" t="e">
        <f t="shared" si="187"/>
        <v>#VALUE!</v>
      </c>
      <c r="AM178" s="15" t="e">
        <f t="shared" ca="1" si="188"/>
        <v>#VALUE!</v>
      </c>
      <c r="AN178" s="24" t="e">
        <f t="shared" ca="1" si="189"/>
        <v>#VALUE!</v>
      </c>
      <c r="AO178" s="1" t="e">
        <f t="shared" ca="1" si="190"/>
        <v>#VALUE!</v>
      </c>
      <c r="AP178" s="13" t="e">
        <f t="shared" ca="1" si="191"/>
        <v>#VALUE!</v>
      </c>
      <c r="AQ178" s="17" t="e">
        <f t="shared" ca="1" si="192"/>
        <v>#VALUE!</v>
      </c>
      <c r="AS178" s="15" t="e">
        <f t="shared" ca="1" si="193"/>
        <v>#VALUE!</v>
      </c>
      <c r="AT178" s="5">
        <f>'Exception Stores'!$D$2</f>
        <v>0.125</v>
      </c>
      <c r="AU178" s="15" t="e">
        <f t="shared" ca="1" si="194"/>
        <v>#VALUE!</v>
      </c>
      <c r="AV178" s="15" t="e">
        <f t="shared" ca="1" si="195"/>
        <v>#VALUE!</v>
      </c>
      <c r="AW178" s="15" t="e">
        <f t="shared" ca="1" si="196"/>
        <v>#VALUE!</v>
      </c>
      <c r="AX178" s="15" t="e">
        <f t="shared" ca="1" si="197"/>
        <v>#VALUE!</v>
      </c>
      <c r="AY178" s="15" t="e">
        <f t="shared" ca="1" si="198"/>
        <v>#VALUE!</v>
      </c>
      <c r="AZ178" s="1" t="e">
        <f t="shared" ca="1" si="199"/>
        <v>#VALUE!</v>
      </c>
      <c r="BA178" s="15" t="e">
        <f t="shared" ca="1" si="200"/>
        <v>#VALUE!</v>
      </c>
      <c r="BB178" s="15" t="e">
        <f t="shared" ca="1" si="201"/>
        <v>#VALUE!</v>
      </c>
      <c r="BC178" s="1" t="e">
        <f t="shared" ca="1" si="202"/>
        <v>#VALUE!</v>
      </c>
      <c r="BE178" s="15" t="str">
        <f>IF(ISBLANK('Exception Stores'!$A$6),"",'Exception Stores'!$A$6)</f>
        <v/>
      </c>
      <c r="BF178" s="15" t="str">
        <f>IF(ISBLANK('Exception Stores'!$B$6),"",'Exception Stores'!$B$6)</f>
        <v/>
      </c>
      <c r="BG178" s="1">
        <f>IF(ISBLANK('Exception Stores'!$A$6),0,IF($AN$2&gt;$BF$2,($AN$2-$BF$2)*24,0))</f>
        <v>0</v>
      </c>
      <c r="BH178" s="11">
        <f>IF(ISBLANK('Exception Stores'!$A$6),0,($BF$2-$BE$2)*24)</f>
        <v>0</v>
      </c>
      <c r="BI17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78" s="1">
        <f>IF(ISBLANK('Exception Stores'!$A$6),0,IF($AN$2&gt;$BF$2,0,IF(AND($AN$2&lt;$BF$2,$BT$2="B"),(($BF$2-$AN$2)*24)-$BS$2,($BF$2-$AN$2)*24)))</f>
        <v>0</v>
      </c>
      <c r="BL178" s="5"/>
      <c r="BM178" s="5"/>
      <c r="BN178" s="5"/>
      <c r="BO178" s="5"/>
      <c r="BP178" s="5"/>
      <c r="BV178" s="1" t="e">
        <f t="shared" ca="1" si="203"/>
        <v>#VALUE!</v>
      </c>
      <c r="BW178" s="1" t="e">
        <f t="shared" ca="1" si="204"/>
        <v>#VALUE!</v>
      </c>
      <c r="BX178" s="1" t="e">
        <f t="shared" ca="1" si="205"/>
        <v>#VALUE!</v>
      </c>
      <c r="BY178" s="1" t="e">
        <f t="shared" ca="1" si="206"/>
        <v>#VALUE!</v>
      </c>
      <c r="BZ178" s="1" t="e">
        <f t="shared" ca="1" si="207"/>
        <v>#VALUE!</v>
      </c>
      <c r="CB178" s="1" t="str">
        <f>IF(ISBLANK('Exception Stores'!$A$6),"",WEEKDAY($BF$2))</f>
        <v/>
      </c>
      <c r="CC178" s="1" t="str">
        <f>IF(ISBLANK('Exception Stores'!$A$6),"NO",IF('Exception Stores'!$A$6&lt;$AU$2,"YES","NO"))</f>
        <v>NO</v>
      </c>
      <c r="CD178" s="1" t="str">
        <f>IF(ISBLANK('Exception Stores'!$A$6),"NO",IF('Exception Stores'!$A$6&lt;$AV$2,"YES","NO"))</f>
        <v>NO</v>
      </c>
      <c r="CE178" s="1" t="str">
        <f>IF(ISBLANK('Exception Stores'!$A$6),"NO",IF('Exception Stores'!$A$6&lt;$AW$2,"YES","NO"))</f>
        <v>NO</v>
      </c>
      <c r="CF178" s="1" t="str">
        <f>IF(ISBLANK('Exception Stores'!$A$6),"NO",IF('Exception Stores'!$A$6&lt;$AX$2,"YES","NO"))</f>
        <v>NO</v>
      </c>
      <c r="CG178" s="1" t="str">
        <f>IF(ISBLANK('Exception Stores'!$A$6),"NO",IF('Exception Stores'!$A$6&lt;$AY$2,"YES","NO"))</f>
        <v>NO</v>
      </c>
      <c r="CI178" s="42" t="str">
        <f>IF(ISBLANK('Exception Stores'!$B$6),"NO",IF('Exception Stores'!$B$6&lt;=$AU$2,"YES","NO"))</f>
        <v>NO</v>
      </c>
      <c r="CJ178" s="42" t="str">
        <f>IF(ISBLANK('Exception Stores'!$B$6),"NO",IF('Exception Stores'!$B$6&lt;=$AV$2,"YES","NO"))</f>
        <v>NO</v>
      </c>
      <c r="CK178" s="1" t="str">
        <f>IF(ISBLANK('Exception Stores'!$B$6),"NO",IF('Exception Stores'!$B$6&lt;=$AW$2,"YES","NO"))</f>
        <v>NO</v>
      </c>
      <c r="CL178" s="1" t="str">
        <f>IF(ISBLANK('Exception Stores'!$B$6),"NO",IF('Exception Stores'!$B$6&lt;=$AX$2,"YES","NO"))</f>
        <v>NO</v>
      </c>
      <c r="CM178" s="1" t="str">
        <f>IF(ISBLANK('Exception Stores'!$B$6),"NO",IF('Exception Stores'!$B$6&lt;=$AY$2,"YES","NO"))</f>
        <v>NO</v>
      </c>
      <c r="CO178" s="1" t="e">
        <f ca="1">IF(AM178&lt;'Exception Stores'!$A$6,"YES","NO")</f>
        <v>#VALUE!</v>
      </c>
      <c r="CP178" s="1">
        <f t="shared" si="208"/>
        <v>0</v>
      </c>
      <c r="CQ178" s="1">
        <f t="shared" si="209"/>
        <v>0</v>
      </c>
      <c r="CR178" s="1">
        <f t="shared" si="210"/>
        <v>0</v>
      </c>
      <c r="CS178" s="1">
        <f t="shared" si="211"/>
        <v>0</v>
      </c>
      <c r="CT178" s="1">
        <f t="shared" si="212"/>
        <v>0</v>
      </c>
      <c r="CU178" s="1">
        <f t="shared" si="213"/>
        <v>0</v>
      </c>
      <c r="CW178" s="1" t="e">
        <f t="shared" ca="1" si="218"/>
        <v>#VALUE!</v>
      </c>
      <c r="CX178" s="1" t="e">
        <f t="shared" ca="1" si="219"/>
        <v>#VALUE!</v>
      </c>
      <c r="CY178" s="1" t="e">
        <f t="shared" ca="1" si="220"/>
        <v>#VALUE!</v>
      </c>
      <c r="CZ178" s="1" t="e">
        <f t="shared" ca="1" si="221"/>
        <v>#VALUE!</v>
      </c>
      <c r="DA178" s="1" t="e">
        <f t="shared" ca="1" si="222"/>
        <v>#VALUE!</v>
      </c>
      <c r="DB178" s="26" t="e">
        <f t="shared" ca="1" si="214"/>
        <v>#VALUE!</v>
      </c>
      <c r="DC178" s="1">
        <f t="shared" si="223"/>
        <v>0</v>
      </c>
      <c r="DD178" s="1">
        <f t="shared" si="224"/>
        <v>0</v>
      </c>
      <c r="DE178" s="1">
        <f t="shared" si="225"/>
        <v>0</v>
      </c>
      <c r="DF178" s="1">
        <f t="shared" si="226"/>
        <v>0</v>
      </c>
      <c r="DG178" s="1">
        <f t="shared" si="227"/>
        <v>0</v>
      </c>
      <c r="DH178" s="26">
        <f t="shared" si="215"/>
        <v>0</v>
      </c>
      <c r="DI178" s="1" t="e">
        <f t="shared" ca="1" si="216"/>
        <v>#VALUE!</v>
      </c>
      <c r="DK178" s="11" t="str">
        <f t="shared" si="228"/>
        <v/>
      </c>
      <c r="DL178" s="11" t="e">
        <f ca="1">IF(AND(NOT(ISBLANK('Exception Stores'!$A$6)),CO178="YES"),S178-$BH$2-(DI178*$BS$2)-(CU178*$BS$2),S178-(DB178*$BS$2))</f>
        <v>#VALUE!</v>
      </c>
      <c r="DM178" s="11" t="str">
        <f>IF(ISBLANK(A178),"",IF(COUNTIF(Remaps!$A$2:$A$200,B178)&gt;0,"YES",""))</f>
        <v>YES</v>
      </c>
      <c r="DN178" s="29">
        <f>IFERROR(INDEX(Remaps!$B$2:$B$200,MATCH(B178,Remaps!$A$2:$A$200,0),1),0)</f>
        <v>0</v>
      </c>
      <c r="DO178" s="11" t="e">
        <f t="shared" ca="1" si="229"/>
        <v>#VALUE!</v>
      </c>
      <c r="DP178" s="29" t="e">
        <f t="shared" si="230"/>
        <v>#VALUE!</v>
      </c>
      <c r="DQ178" s="11" t="e">
        <f ca="1">('Apollo Dock Status'!$Z$1-DP178)/DO178</f>
        <v>#VALUE!</v>
      </c>
      <c r="DR178" s="15" t="e">
        <f t="shared" ca="1" si="217"/>
        <v>#VALUE!</v>
      </c>
    </row>
    <row r="179" spans="1:122">
      <c r="A179" s="1" t="str">
        <f>IF(ISBLANK('Apollo Dock Status'!A179),"",'Apollo Dock Status'!A179)</f>
        <v/>
      </c>
      <c r="B179" s="1" t="str">
        <f>IF(ISBLANK('Apollo Dock Status'!B179),"",'Apollo Dock Status'!B179)</f>
        <v/>
      </c>
      <c r="C179" s="1" t="str">
        <f>IF(ISBLANK('Apollo Dock Status'!C179),"",'Apollo Dock Status'!C179)</f>
        <v/>
      </c>
      <c r="D179" s="1" t="str">
        <f>IF(ISBLANK('Apollo Dock Status'!D179),"",'Apollo Dock Status'!D179)</f>
        <v/>
      </c>
      <c r="E179" s="1" t="str">
        <f>IF(ISBLANK('Apollo Dock Status'!E179),"",'Apollo Dock Status'!E179)</f>
        <v/>
      </c>
      <c r="F179" s="1" t="str">
        <f>IF(ISBLANK('Apollo Dock Status'!F179),"",'Apollo Dock Status'!F179)</f>
        <v/>
      </c>
      <c r="G179" s="1" t="str">
        <f>IF(ISBLANK('Apollo Dock Status'!G179),"",'Apollo Dock Status'!G179)</f>
        <v/>
      </c>
      <c r="H179" s="1" t="str">
        <f>IF(ISBLANK('Apollo Dock Status'!H179),"",'Apollo Dock Status'!H179)</f>
        <v/>
      </c>
      <c r="I179" s="1" t="str">
        <f>IF(ISBLANK('Apollo Dock Status'!I179),"",'Apollo Dock Status'!I179)</f>
        <v/>
      </c>
      <c r="J179" s="1" t="str">
        <f>IF(ISBLANK('Apollo Dock Status'!J179),"",'Apollo Dock Status'!J179)</f>
        <v/>
      </c>
      <c r="K179" s="1" t="str">
        <f>IF(ISBLANK('Apollo Dock Status'!K179),"",'Apollo Dock Status'!K179)</f>
        <v/>
      </c>
      <c r="L179" s="1" t="str">
        <f>IF(ISBLANK('Apollo Dock Status'!L179),"",'Apollo Dock Status'!L179)</f>
        <v/>
      </c>
      <c r="M179" s="1" t="str">
        <f>IF(ISBLANK('Apollo Dock Status'!M179),"",'Apollo Dock Status'!M179)</f>
        <v/>
      </c>
      <c r="N179" s="1" t="str">
        <f>IF(ISBLANK('Apollo Dock Status'!N179),"",'Apollo Dock Status'!N179)</f>
        <v/>
      </c>
      <c r="O179" s="1" t="str">
        <f t="shared" si="167"/>
        <v/>
      </c>
      <c r="P179" s="1" t="str">
        <f t="shared" si="168"/>
        <v/>
      </c>
      <c r="Q179" s="1" t="str">
        <f t="shared" si="169"/>
        <v/>
      </c>
      <c r="R179" s="1" t="str">
        <f t="shared" si="170"/>
        <v/>
      </c>
      <c r="S179" s="11" t="str">
        <f t="shared" si="171"/>
        <v/>
      </c>
      <c r="T179" s="1" t="str">
        <f t="shared" si="172"/>
        <v/>
      </c>
      <c r="U179" s="11" t="str">
        <f t="shared" si="173"/>
        <v/>
      </c>
      <c r="V179" s="11" t="str">
        <f t="shared" si="174"/>
        <v/>
      </c>
      <c r="X179" s="1" t="str">
        <f t="shared" si="175"/>
        <v/>
      </c>
      <c r="Y179" s="1" t="str">
        <f t="shared" si="176"/>
        <v/>
      </c>
      <c r="Z179" s="1" t="str">
        <f t="shared" si="177"/>
        <v/>
      </c>
      <c r="AB179" s="13">
        <f t="shared" ca="1" si="178"/>
        <v>46176</v>
      </c>
      <c r="AC179" s="1">
        <f t="shared" ca="1" si="179"/>
        <v>2026</v>
      </c>
      <c r="AD179" s="1" t="str">
        <f t="shared" ca="1" si="180"/>
        <v>6</v>
      </c>
      <c r="AE179" s="1">
        <f t="shared" si="181"/>
        <v>1</v>
      </c>
      <c r="AF179" s="1" t="str">
        <f t="shared" si="182"/>
        <v/>
      </c>
      <c r="AG179" s="1">
        <f t="shared" ca="1" si="183"/>
        <v>2026</v>
      </c>
      <c r="AH179" s="1">
        <f t="shared" si="184"/>
        <v>1</v>
      </c>
      <c r="AI179" s="1" t="str">
        <f t="shared" ca="1" si="185"/>
        <v>6</v>
      </c>
      <c r="AJ179" s="13" t="e">
        <f t="shared" ca="1" si="186"/>
        <v>#VALUE!</v>
      </c>
      <c r="AK179" s="1" t="e">
        <f>IF(ISBLANK(A179),"",IFERROR(MID(F179,SEARCH(", ",F179)+LEN(", "),SEARCH(" "&amp;'Exception Stores'!$A$2,F179)-SEARCH(", ",F179)-LEN(", ")),MID(F179,SEARCH(", ",F179)+LEN(", "),SEARCH(" "&amp;'Exception Stores'!$B$2,F179)-SEARCH(", ",F179)-LEN(", "))))</f>
        <v>#VALUE!</v>
      </c>
      <c r="AL179" s="1" t="e">
        <f t="shared" si="187"/>
        <v>#VALUE!</v>
      </c>
      <c r="AM179" s="15" t="e">
        <f t="shared" ca="1" si="188"/>
        <v>#VALUE!</v>
      </c>
      <c r="AN179" s="24" t="e">
        <f t="shared" ca="1" si="189"/>
        <v>#VALUE!</v>
      </c>
      <c r="AO179" s="1" t="e">
        <f t="shared" ca="1" si="190"/>
        <v>#VALUE!</v>
      </c>
      <c r="AP179" s="13" t="e">
        <f t="shared" ca="1" si="191"/>
        <v>#VALUE!</v>
      </c>
      <c r="AQ179" s="17" t="e">
        <f t="shared" ca="1" si="192"/>
        <v>#VALUE!</v>
      </c>
      <c r="AS179" s="15" t="e">
        <f t="shared" ca="1" si="193"/>
        <v>#VALUE!</v>
      </c>
      <c r="AT179" s="5">
        <f>'Exception Stores'!$D$2</f>
        <v>0.125</v>
      </c>
      <c r="AU179" s="15" t="e">
        <f t="shared" ca="1" si="194"/>
        <v>#VALUE!</v>
      </c>
      <c r="AV179" s="15" t="e">
        <f t="shared" ca="1" si="195"/>
        <v>#VALUE!</v>
      </c>
      <c r="AW179" s="15" t="e">
        <f t="shared" ca="1" si="196"/>
        <v>#VALUE!</v>
      </c>
      <c r="AX179" s="15" t="e">
        <f t="shared" ca="1" si="197"/>
        <v>#VALUE!</v>
      </c>
      <c r="AY179" s="15" t="e">
        <f t="shared" ca="1" si="198"/>
        <v>#VALUE!</v>
      </c>
      <c r="AZ179" s="1" t="e">
        <f t="shared" ca="1" si="199"/>
        <v>#VALUE!</v>
      </c>
      <c r="BA179" s="15" t="e">
        <f t="shared" ca="1" si="200"/>
        <v>#VALUE!</v>
      </c>
      <c r="BB179" s="15" t="e">
        <f t="shared" ca="1" si="201"/>
        <v>#VALUE!</v>
      </c>
      <c r="BC179" s="1" t="e">
        <f t="shared" ca="1" si="202"/>
        <v>#VALUE!</v>
      </c>
      <c r="BE179" s="15" t="str">
        <f>IF(ISBLANK('Exception Stores'!$A$6),"",'Exception Stores'!$A$6)</f>
        <v/>
      </c>
      <c r="BF179" s="15" t="str">
        <f>IF(ISBLANK('Exception Stores'!$B$6),"",'Exception Stores'!$B$6)</f>
        <v/>
      </c>
      <c r="BG179" s="1">
        <f>IF(ISBLANK('Exception Stores'!$A$6),0,IF($AN$2&gt;$BF$2,($AN$2-$BF$2)*24,0))</f>
        <v>0</v>
      </c>
      <c r="BH179" s="11">
        <f>IF(ISBLANK('Exception Stores'!$A$6),0,($BF$2-$BE$2)*24)</f>
        <v>0</v>
      </c>
      <c r="BI17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79" s="1">
        <f>IF(ISBLANK('Exception Stores'!$A$6),0,IF($AN$2&gt;$BF$2,0,IF(AND($AN$2&lt;$BF$2,$BT$2="B"),(($BF$2-$AN$2)*24)-$BS$2,($BF$2-$AN$2)*24)))</f>
        <v>0</v>
      </c>
      <c r="BL179" s="5"/>
      <c r="BM179" s="5"/>
      <c r="BN179" s="5"/>
      <c r="BO179" s="5"/>
      <c r="BP179" s="5"/>
      <c r="BV179" s="1" t="e">
        <f t="shared" ca="1" si="203"/>
        <v>#VALUE!</v>
      </c>
      <c r="BW179" s="1" t="e">
        <f t="shared" ca="1" si="204"/>
        <v>#VALUE!</v>
      </c>
      <c r="BX179" s="1" t="e">
        <f t="shared" ca="1" si="205"/>
        <v>#VALUE!</v>
      </c>
      <c r="BY179" s="1" t="e">
        <f t="shared" ca="1" si="206"/>
        <v>#VALUE!</v>
      </c>
      <c r="BZ179" s="1" t="e">
        <f t="shared" ca="1" si="207"/>
        <v>#VALUE!</v>
      </c>
      <c r="CB179" s="1" t="str">
        <f>IF(ISBLANK('Exception Stores'!$A$6),"",WEEKDAY($BF$2))</f>
        <v/>
      </c>
      <c r="CC179" s="1" t="str">
        <f>IF(ISBLANK('Exception Stores'!$A$6),"NO",IF('Exception Stores'!$A$6&lt;$AU$2,"YES","NO"))</f>
        <v>NO</v>
      </c>
      <c r="CD179" s="1" t="str">
        <f>IF(ISBLANK('Exception Stores'!$A$6),"NO",IF('Exception Stores'!$A$6&lt;$AV$2,"YES","NO"))</f>
        <v>NO</v>
      </c>
      <c r="CE179" s="1" t="str">
        <f>IF(ISBLANK('Exception Stores'!$A$6),"NO",IF('Exception Stores'!$A$6&lt;$AW$2,"YES","NO"))</f>
        <v>NO</v>
      </c>
      <c r="CF179" s="1" t="str">
        <f>IF(ISBLANK('Exception Stores'!$A$6),"NO",IF('Exception Stores'!$A$6&lt;$AX$2,"YES","NO"))</f>
        <v>NO</v>
      </c>
      <c r="CG179" s="1" t="str">
        <f>IF(ISBLANK('Exception Stores'!$A$6),"NO",IF('Exception Stores'!$A$6&lt;$AY$2,"YES","NO"))</f>
        <v>NO</v>
      </c>
      <c r="CI179" s="42" t="str">
        <f>IF(ISBLANK('Exception Stores'!$B$6),"NO",IF('Exception Stores'!$B$6&lt;=$AU$2,"YES","NO"))</f>
        <v>NO</v>
      </c>
      <c r="CJ179" s="42" t="str">
        <f>IF(ISBLANK('Exception Stores'!$B$6),"NO",IF('Exception Stores'!$B$6&lt;=$AV$2,"YES","NO"))</f>
        <v>NO</v>
      </c>
      <c r="CK179" s="1" t="str">
        <f>IF(ISBLANK('Exception Stores'!$B$6),"NO",IF('Exception Stores'!$B$6&lt;=$AW$2,"YES","NO"))</f>
        <v>NO</v>
      </c>
      <c r="CL179" s="1" t="str">
        <f>IF(ISBLANK('Exception Stores'!$B$6),"NO",IF('Exception Stores'!$B$6&lt;=$AX$2,"YES","NO"))</f>
        <v>NO</v>
      </c>
      <c r="CM179" s="1" t="str">
        <f>IF(ISBLANK('Exception Stores'!$B$6),"NO",IF('Exception Stores'!$B$6&lt;=$AY$2,"YES","NO"))</f>
        <v>NO</v>
      </c>
      <c r="CO179" s="1" t="e">
        <f ca="1">IF(AM179&lt;'Exception Stores'!$A$6,"YES","NO")</f>
        <v>#VALUE!</v>
      </c>
      <c r="CP179" s="1">
        <f t="shared" si="208"/>
        <v>0</v>
      </c>
      <c r="CQ179" s="1">
        <f t="shared" si="209"/>
        <v>0</v>
      </c>
      <c r="CR179" s="1">
        <f t="shared" si="210"/>
        <v>0</v>
      </c>
      <c r="CS179" s="1">
        <f t="shared" si="211"/>
        <v>0</v>
      </c>
      <c r="CT179" s="1">
        <f t="shared" si="212"/>
        <v>0</v>
      </c>
      <c r="CU179" s="1">
        <f t="shared" si="213"/>
        <v>0</v>
      </c>
      <c r="CW179" s="1" t="e">
        <f t="shared" ca="1" si="218"/>
        <v>#VALUE!</v>
      </c>
      <c r="CX179" s="1" t="e">
        <f t="shared" ca="1" si="219"/>
        <v>#VALUE!</v>
      </c>
      <c r="CY179" s="1" t="e">
        <f t="shared" ca="1" si="220"/>
        <v>#VALUE!</v>
      </c>
      <c r="CZ179" s="1" t="e">
        <f t="shared" ca="1" si="221"/>
        <v>#VALUE!</v>
      </c>
      <c r="DA179" s="1" t="e">
        <f t="shared" ca="1" si="222"/>
        <v>#VALUE!</v>
      </c>
      <c r="DB179" s="26" t="e">
        <f t="shared" ca="1" si="214"/>
        <v>#VALUE!</v>
      </c>
      <c r="DC179" s="1">
        <f t="shared" si="223"/>
        <v>0</v>
      </c>
      <c r="DD179" s="1">
        <f t="shared" si="224"/>
        <v>0</v>
      </c>
      <c r="DE179" s="1">
        <f t="shared" si="225"/>
        <v>0</v>
      </c>
      <c r="DF179" s="1">
        <f t="shared" si="226"/>
        <v>0</v>
      </c>
      <c r="DG179" s="1">
        <f t="shared" si="227"/>
        <v>0</v>
      </c>
      <c r="DH179" s="26">
        <f t="shared" si="215"/>
        <v>0</v>
      </c>
      <c r="DI179" s="1" t="e">
        <f t="shared" ca="1" si="216"/>
        <v>#VALUE!</v>
      </c>
      <c r="DK179" s="11" t="str">
        <f t="shared" si="228"/>
        <v/>
      </c>
      <c r="DL179" s="11" t="e">
        <f ca="1">IF(AND(NOT(ISBLANK('Exception Stores'!$A$6)),CO179="YES"),S179-$BH$2-(DI179*$BS$2)-(CU179*$BS$2),S179-(DB179*$BS$2))</f>
        <v>#VALUE!</v>
      </c>
      <c r="DM179" s="11" t="str">
        <f>IF(ISBLANK(A179),"",IF(COUNTIF(Remaps!$A$2:$A$200,B179)&gt;0,"YES",""))</f>
        <v>YES</v>
      </c>
      <c r="DN179" s="29">
        <f>IFERROR(INDEX(Remaps!$B$2:$B$200,MATCH(B179,Remaps!$A$2:$A$200,0),1),0)</f>
        <v>0</v>
      </c>
      <c r="DO179" s="11" t="e">
        <f t="shared" ca="1" si="229"/>
        <v>#VALUE!</v>
      </c>
      <c r="DP179" s="29" t="e">
        <f t="shared" si="230"/>
        <v>#VALUE!</v>
      </c>
      <c r="DQ179" s="11" t="e">
        <f ca="1">('Apollo Dock Status'!$Z$1-DP179)/DO179</f>
        <v>#VALUE!</v>
      </c>
      <c r="DR179" s="15" t="e">
        <f t="shared" ca="1" si="217"/>
        <v>#VALUE!</v>
      </c>
    </row>
    <row r="180" spans="1:122">
      <c r="A180" s="1" t="str">
        <f>IF(ISBLANK('Apollo Dock Status'!A180),"",'Apollo Dock Status'!A180)</f>
        <v/>
      </c>
      <c r="B180" s="1" t="str">
        <f>IF(ISBLANK('Apollo Dock Status'!B180),"",'Apollo Dock Status'!B180)</f>
        <v/>
      </c>
      <c r="C180" s="1" t="str">
        <f>IF(ISBLANK('Apollo Dock Status'!C180),"",'Apollo Dock Status'!C180)</f>
        <v/>
      </c>
      <c r="D180" s="1" t="str">
        <f>IF(ISBLANK('Apollo Dock Status'!D180),"",'Apollo Dock Status'!D180)</f>
        <v/>
      </c>
      <c r="E180" s="1" t="str">
        <f>IF(ISBLANK('Apollo Dock Status'!E180),"",'Apollo Dock Status'!E180)</f>
        <v/>
      </c>
      <c r="F180" s="1" t="str">
        <f>IF(ISBLANK('Apollo Dock Status'!F180),"",'Apollo Dock Status'!F180)</f>
        <v/>
      </c>
      <c r="G180" s="1" t="str">
        <f>IF(ISBLANK('Apollo Dock Status'!G180),"",'Apollo Dock Status'!G180)</f>
        <v/>
      </c>
      <c r="H180" s="1" t="str">
        <f>IF(ISBLANK('Apollo Dock Status'!H180),"",'Apollo Dock Status'!H180)</f>
        <v/>
      </c>
      <c r="I180" s="1" t="str">
        <f>IF(ISBLANK('Apollo Dock Status'!I180),"",'Apollo Dock Status'!I180)</f>
        <v/>
      </c>
      <c r="J180" s="1" t="str">
        <f>IF(ISBLANK('Apollo Dock Status'!J180),"",'Apollo Dock Status'!J180)</f>
        <v/>
      </c>
      <c r="K180" s="1" t="str">
        <f>IF(ISBLANK('Apollo Dock Status'!K180),"",'Apollo Dock Status'!K180)</f>
        <v/>
      </c>
      <c r="L180" s="1" t="str">
        <f>IF(ISBLANK('Apollo Dock Status'!L180),"",'Apollo Dock Status'!L180)</f>
        <v/>
      </c>
      <c r="M180" s="1" t="str">
        <f>IF(ISBLANK('Apollo Dock Status'!M180),"",'Apollo Dock Status'!M180)</f>
        <v/>
      </c>
      <c r="N180" s="1" t="str">
        <f>IF(ISBLANK('Apollo Dock Status'!N180),"",'Apollo Dock Status'!N180)</f>
        <v/>
      </c>
      <c r="O180" s="1" t="str">
        <f t="shared" si="167"/>
        <v/>
      </c>
      <c r="P180" s="1" t="str">
        <f t="shared" si="168"/>
        <v/>
      </c>
      <c r="Q180" s="1" t="str">
        <f t="shared" si="169"/>
        <v/>
      </c>
      <c r="R180" s="1" t="str">
        <f t="shared" si="170"/>
        <v/>
      </c>
      <c r="S180" s="11" t="str">
        <f t="shared" si="171"/>
        <v/>
      </c>
      <c r="T180" s="1" t="str">
        <f t="shared" si="172"/>
        <v/>
      </c>
      <c r="U180" s="11" t="str">
        <f t="shared" si="173"/>
        <v/>
      </c>
      <c r="V180" s="11" t="str">
        <f t="shared" si="174"/>
        <v/>
      </c>
      <c r="X180" s="1" t="str">
        <f t="shared" si="175"/>
        <v/>
      </c>
      <c r="Y180" s="1" t="str">
        <f t="shared" si="176"/>
        <v/>
      </c>
      <c r="Z180" s="1" t="str">
        <f t="shared" si="177"/>
        <v/>
      </c>
      <c r="AB180" s="13">
        <f t="shared" ca="1" si="178"/>
        <v>46176</v>
      </c>
      <c r="AC180" s="1">
        <f t="shared" ca="1" si="179"/>
        <v>2026</v>
      </c>
      <c r="AD180" s="1" t="str">
        <f t="shared" ca="1" si="180"/>
        <v>6</v>
      </c>
      <c r="AE180" s="1">
        <f t="shared" si="181"/>
        <v>1</v>
      </c>
      <c r="AF180" s="1" t="str">
        <f t="shared" si="182"/>
        <v/>
      </c>
      <c r="AG180" s="1">
        <f t="shared" ca="1" si="183"/>
        <v>2026</v>
      </c>
      <c r="AH180" s="1">
        <f t="shared" si="184"/>
        <v>1</v>
      </c>
      <c r="AI180" s="1" t="str">
        <f t="shared" ca="1" si="185"/>
        <v>6</v>
      </c>
      <c r="AJ180" s="13" t="e">
        <f t="shared" ca="1" si="186"/>
        <v>#VALUE!</v>
      </c>
      <c r="AK180" s="1" t="e">
        <f>IF(ISBLANK(A180),"",IFERROR(MID(F180,SEARCH(", ",F180)+LEN(", "),SEARCH(" "&amp;'Exception Stores'!$A$2,F180)-SEARCH(", ",F180)-LEN(", ")),MID(F180,SEARCH(", ",F180)+LEN(", "),SEARCH(" "&amp;'Exception Stores'!$B$2,F180)-SEARCH(", ",F180)-LEN(", "))))</f>
        <v>#VALUE!</v>
      </c>
      <c r="AL180" s="1" t="e">
        <f t="shared" si="187"/>
        <v>#VALUE!</v>
      </c>
      <c r="AM180" s="15" t="e">
        <f t="shared" ca="1" si="188"/>
        <v>#VALUE!</v>
      </c>
      <c r="AN180" s="24" t="e">
        <f t="shared" ca="1" si="189"/>
        <v>#VALUE!</v>
      </c>
      <c r="AO180" s="1" t="e">
        <f t="shared" ca="1" si="190"/>
        <v>#VALUE!</v>
      </c>
      <c r="AP180" s="13" t="e">
        <f t="shared" ca="1" si="191"/>
        <v>#VALUE!</v>
      </c>
      <c r="AQ180" s="17" t="e">
        <f t="shared" ca="1" si="192"/>
        <v>#VALUE!</v>
      </c>
      <c r="AS180" s="15" t="e">
        <f t="shared" ca="1" si="193"/>
        <v>#VALUE!</v>
      </c>
      <c r="AT180" s="5">
        <f>'Exception Stores'!$D$2</f>
        <v>0.125</v>
      </c>
      <c r="AU180" s="15" t="e">
        <f t="shared" ca="1" si="194"/>
        <v>#VALUE!</v>
      </c>
      <c r="AV180" s="15" t="e">
        <f t="shared" ca="1" si="195"/>
        <v>#VALUE!</v>
      </c>
      <c r="AW180" s="15" t="e">
        <f t="shared" ca="1" si="196"/>
        <v>#VALUE!</v>
      </c>
      <c r="AX180" s="15" t="e">
        <f t="shared" ca="1" si="197"/>
        <v>#VALUE!</v>
      </c>
      <c r="AY180" s="15" t="e">
        <f t="shared" ca="1" si="198"/>
        <v>#VALUE!</v>
      </c>
      <c r="AZ180" s="1" t="e">
        <f t="shared" ca="1" si="199"/>
        <v>#VALUE!</v>
      </c>
      <c r="BA180" s="15" t="e">
        <f t="shared" ca="1" si="200"/>
        <v>#VALUE!</v>
      </c>
      <c r="BB180" s="15" t="e">
        <f t="shared" ca="1" si="201"/>
        <v>#VALUE!</v>
      </c>
      <c r="BC180" s="1" t="e">
        <f t="shared" ca="1" si="202"/>
        <v>#VALUE!</v>
      </c>
      <c r="BE180" s="15" t="str">
        <f>IF(ISBLANK('Exception Stores'!$A$6),"",'Exception Stores'!$A$6)</f>
        <v/>
      </c>
      <c r="BF180" s="15" t="str">
        <f>IF(ISBLANK('Exception Stores'!$B$6),"",'Exception Stores'!$B$6)</f>
        <v/>
      </c>
      <c r="BG180" s="1">
        <f>IF(ISBLANK('Exception Stores'!$A$6),0,IF($AN$2&gt;$BF$2,($AN$2-$BF$2)*24,0))</f>
        <v>0</v>
      </c>
      <c r="BH180" s="11">
        <f>IF(ISBLANK('Exception Stores'!$A$6),0,($BF$2-$BE$2)*24)</f>
        <v>0</v>
      </c>
      <c r="BI18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80" s="1">
        <f>IF(ISBLANK('Exception Stores'!$A$6),0,IF($AN$2&gt;$BF$2,0,IF(AND($AN$2&lt;$BF$2,$BT$2="B"),(($BF$2-$AN$2)*24)-$BS$2,($BF$2-$AN$2)*24)))</f>
        <v>0</v>
      </c>
      <c r="BL180" s="5"/>
      <c r="BM180" s="5"/>
      <c r="BN180" s="5"/>
      <c r="BO180" s="5"/>
      <c r="BP180" s="5"/>
      <c r="BV180" s="1" t="e">
        <f t="shared" ca="1" si="203"/>
        <v>#VALUE!</v>
      </c>
      <c r="BW180" s="1" t="e">
        <f t="shared" ca="1" si="204"/>
        <v>#VALUE!</v>
      </c>
      <c r="BX180" s="1" t="e">
        <f t="shared" ca="1" si="205"/>
        <v>#VALUE!</v>
      </c>
      <c r="BY180" s="1" t="e">
        <f t="shared" ca="1" si="206"/>
        <v>#VALUE!</v>
      </c>
      <c r="BZ180" s="1" t="e">
        <f t="shared" ca="1" si="207"/>
        <v>#VALUE!</v>
      </c>
      <c r="CB180" s="1" t="str">
        <f>IF(ISBLANK('Exception Stores'!$A$6),"",WEEKDAY($BF$2))</f>
        <v/>
      </c>
      <c r="CC180" s="1" t="str">
        <f>IF(ISBLANK('Exception Stores'!$A$6),"NO",IF('Exception Stores'!$A$6&lt;$AU$2,"YES","NO"))</f>
        <v>NO</v>
      </c>
      <c r="CD180" s="1" t="str">
        <f>IF(ISBLANK('Exception Stores'!$A$6),"NO",IF('Exception Stores'!$A$6&lt;$AV$2,"YES","NO"))</f>
        <v>NO</v>
      </c>
      <c r="CE180" s="1" t="str">
        <f>IF(ISBLANK('Exception Stores'!$A$6),"NO",IF('Exception Stores'!$A$6&lt;$AW$2,"YES","NO"))</f>
        <v>NO</v>
      </c>
      <c r="CF180" s="1" t="str">
        <f>IF(ISBLANK('Exception Stores'!$A$6),"NO",IF('Exception Stores'!$A$6&lt;$AX$2,"YES","NO"))</f>
        <v>NO</v>
      </c>
      <c r="CG180" s="1" t="str">
        <f>IF(ISBLANK('Exception Stores'!$A$6),"NO",IF('Exception Stores'!$A$6&lt;$AY$2,"YES","NO"))</f>
        <v>NO</v>
      </c>
      <c r="CI180" s="42" t="str">
        <f>IF(ISBLANK('Exception Stores'!$B$6),"NO",IF('Exception Stores'!$B$6&lt;=$AU$2,"YES","NO"))</f>
        <v>NO</v>
      </c>
      <c r="CJ180" s="42" t="str">
        <f>IF(ISBLANK('Exception Stores'!$B$6),"NO",IF('Exception Stores'!$B$6&lt;=$AV$2,"YES","NO"))</f>
        <v>NO</v>
      </c>
      <c r="CK180" s="1" t="str">
        <f>IF(ISBLANK('Exception Stores'!$B$6),"NO",IF('Exception Stores'!$B$6&lt;=$AW$2,"YES","NO"))</f>
        <v>NO</v>
      </c>
      <c r="CL180" s="1" t="str">
        <f>IF(ISBLANK('Exception Stores'!$B$6),"NO",IF('Exception Stores'!$B$6&lt;=$AX$2,"YES","NO"))</f>
        <v>NO</v>
      </c>
      <c r="CM180" s="1" t="str">
        <f>IF(ISBLANK('Exception Stores'!$B$6),"NO",IF('Exception Stores'!$B$6&lt;=$AY$2,"YES","NO"))</f>
        <v>NO</v>
      </c>
      <c r="CO180" s="1" t="e">
        <f ca="1">IF(AM180&lt;'Exception Stores'!$A$6,"YES","NO")</f>
        <v>#VALUE!</v>
      </c>
      <c r="CP180" s="1">
        <f t="shared" si="208"/>
        <v>0</v>
      </c>
      <c r="CQ180" s="1">
        <f t="shared" si="209"/>
        <v>0</v>
      </c>
      <c r="CR180" s="1">
        <f t="shared" si="210"/>
        <v>0</v>
      </c>
      <c r="CS180" s="1">
        <f t="shared" si="211"/>
        <v>0</v>
      </c>
      <c r="CT180" s="1">
        <f t="shared" si="212"/>
        <v>0</v>
      </c>
      <c r="CU180" s="1">
        <f t="shared" si="213"/>
        <v>0</v>
      </c>
      <c r="CW180" s="1" t="e">
        <f t="shared" ca="1" si="218"/>
        <v>#VALUE!</v>
      </c>
      <c r="CX180" s="1" t="e">
        <f t="shared" ca="1" si="219"/>
        <v>#VALUE!</v>
      </c>
      <c r="CY180" s="1" t="e">
        <f t="shared" ca="1" si="220"/>
        <v>#VALUE!</v>
      </c>
      <c r="CZ180" s="1" t="e">
        <f t="shared" ca="1" si="221"/>
        <v>#VALUE!</v>
      </c>
      <c r="DA180" s="1" t="e">
        <f t="shared" ca="1" si="222"/>
        <v>#VALUE!</v>
      </c>
      <c r="DB180" s="26" t="e">
        <f t="shared" ca="1" si="214"/>
        <v>#VALUE!</v>
      </c>
      <c r="DC180" s="1">
        <f t="shared" si="223"/>
        <v>0</v>
      </c>
      <c r="DD180" s="1">
        <f t="shared" si="224"/>
        <v>0</v>
      </c>
      <c r="DE180" s="1">
        <f t="shared" si="225"/>
        <v>0</v>
      </c>
      <c r="DF180" s="1">
        <f t="shared" si="226"/>
        <v>0</v>
      </c>
      <c r="DG180" s="1">
        <f t="shared" si="227"/>
        <v>0</v>
      </c>
      <c r="DH180" s="26">
        <f t="shared" si="215"/>
        <v>0</v>
      </c>
      <c r="DI180" s="1" t="e">
        <f t="shared" ca="1" si="216"/>
        <v>#VALUE!</v>
      </c>
      <c r="DK180" s="11" t="str">
        <f t="shared" si="228"/>
        <v/>
      </c>
      <c r="DL180" s="11" t="e">
        <f ca="1">IF(AND(NOT(ISBLANK('Exception Stores'!$A$6)),CO180="YES"),S180-$BH$2-(DI180*$BS$2)-(CU180*$BS$2),S180-(DB180*$BS$2))</f>
        <v>#VALUE!</v>
      </c>
      <c r="DM180" s="11" t="str">
        <f>IF(ISBLANK(A180),"",IF(COUNTIF(Remaps!$A$2:$A$200,B180)&gt;0,"YES",""))</f>
        <v>YES</v>
      </c>
      <c r="DN180" s="29">
        <f>IFERROR(INDEX(Remaps!$B$2:$B$200,MATCH(B180,Remaps!$A$2:$A$200,0),1),0)</f>
        <v>0</v>
      </c>
      <c r="DO180" s="11" t="e">
        <f t="shared" ca="1" si="229"/>
        <v>#VALUE!</v>
      </c>
      <c r="DP180" s="29" t="e">
        <f t="shared" si="230"/>
        <v>#VALUE!</v>
      </c>
      <c r="DQ180" s="11" t="e">
        <f ca="1">('Apollo Dock Status'!$Z$1-DP180)/DO180</f>
        <v>#VALUE!</v>
      </c>
      <c r="DR180" s="15" t="e">
        <f t="shared" ca="1" si="217"/>
        <v>#VALUE!</v>
      </c>
    </row>
    <row r="181" spans="1:122">
      <c r="A181" s="1" t="str">
        <f>IF(ISBLANK('Apollo Dock Status'!A181),"",'Apollo Dock Status'!A181)</f>
        <v/>
      </c>
      <c r="B181" s="1" t="str">
        <f>IF(ISBLANK('Apollo Dock Status'!B181),"",'Apollo Dock Status'!B181)</f>
        <v/>
      </c>
      <c r="C181" s="1" t="str">
        <f>IF(ISBLANK('Apollo Dock Status'!C181),"",'Apollo Dock Status'!C181)</f>
        <v/>
      </c>
      <c r="D181" s="1" t="str">
        <f>IF(ISBLANK('Apollo Dock Status'!D181),"",'Apollo Dock Status'!D181)</f>
        <v/>
      </c>
      <c r="E181" s="1" t="str">
        <f>IF(ISBLANK('Apollo Dock Status'!E181),"",'Apollo Dock Status'!E181)</f>
        <v/>
      </c>
      <c r="F181" s="1" t="str">
        <f>IF(ISBLANK('Apollo Dock Status'!F181),"",'Apollo Dock Status'!F181)</f>
        <v/>
      </c>
      <c r="G181" s="1" t="str">
        <f>IF(ISBLANK('Apollo Dock Status'!G181),"",'Apollo Dock Status'!G181)</f>
        <v/>
      </c>
      <c r="H181" s="1" t="str">
        <f>IF(ISBLANK('Apollo Dock Status'!H181),"",'Apollo Dock Status'!H181)</f>
        <v/>
      </c>
      <c r="I181" s="1" t="str">
        <f>IF(ISBLANK('Apollo Dock Status'!I181),"",'Apollo Dock Status'!I181)</f>
        <v/>
      </c>
      <c r="J181" s="1" t="str">
        <f>IF(ISBLANK('Apollo Dock Status'!J181),"",'Apollo Dock Status'!J181)</f>
        <v/>
      </c>
      <c r="K181" s="1" t="str">
        <f>IF(ISBLANK('Apollo Dock Status'!K181),"",'Apollo Dock Status'!K181)</f>
        <v/>
      </c>
      <c r="L181" s="1" t="str">
        <f>IF(ISBLANK('Apollo Dock Status'!L181),"",'Apollo Dock Status'!L181)</f>
        <v/>
      </c>
      <c r="M181" s="1" t="str">
        <f>IF(ISBLANK('Apollo Dock Status'!M181),"",'Apollo Dock Status'!M181)</f>
        <v/>
      </c>
      <c r="N181" s="1" t="str">
        <f>IF(ISBLANK('Apollo Dock Status'!N181),"",'Apollo Dock Status'!N181)</f>
        <v/>
      </c>
      <c r="O181" s="1" t="str">
        <f t="shared" si="167"/>
        <v/>
      </c>
      <c r="P181" s="1" t="str">
        <f t="shared" si="168"/>
        <v/>
      </c>
      <c r="Q181" s="1" t="str">
        <f t="shared" si="169"/>
        <v/>
      </c>
      <c r="R181" s="1" t="str">
        <f t="shared" si="170"/>
        <v/>
      </c>
      <c r="S181" s="11" t="str">
        <f t="shared" si="171"/>
        <v/>
      </c>
      <c r="T181" s="1" t="str">
        <f t="shared" si="172"/>
        <v/>
      </c>
      <c r="U181" s="11" t="str">
        <f t="shared" si="173"/>
        <v/>
      </c>
      <c r="V181" s="11" t="str">
        <f t="shared" si="174"/>
        <v/>
      </c>
      <c r="X181" s="1" t="str">
        <f t="shared" si="175"/>
        <v/>
      </c>
      <c r="Y181" s="1" t="str">
        <f t="shared" si="176"/>
        <v/>
      </c>
      <c r="Z181" s="1" t="str">
        <f t="shared" si="177"/>
        <v/>
      </c>
      <c r="AB181" s="13">
        <f t="shared" ca="1" si="178"/>
        <v>46176</v>
      </c>
      <c r="AC181" s="1">
        <f t="shared" ca="1" si="179"/>
        <v>2026</v>
      </c>
      <c r="AD181" s="1" t="str">
        <f t="shared" ca="1" si="180"/>
        <v>6</v>
      </c>
      <c r="AE181" s="1">
        <f t="shared" si="181"/>
        <v>1</v>
      </c>
      <c r="AF181" s="1" t="str">
        <f t="shared" si="182"/>
        <v/>
      </c>
      <c r="AG181" s="1">
        <f t="shared" ca="1" si="183"/>
        <v>2026</v>
      </c>
      <c r="AH181" s="1">
        <f t="shared" si="184"/>
        <v>1</v>
      </c>
      <c r="AI181" s="1" t="str">
        <f t="shared" ca="1" si="185"/>
        <v>6</v>
      </c>
      <c r="AJ181" s="13" t="e">
        <f t="shared" ca="1" si="186"/>
        <v>#VALUE!</v>
      </c>
      <c r="AK181" s="1" t="e">
        <f>IF(ISBLANK(A181),"",IFERROR(MID(F181,SEARCH(", ",F181)+LEN(", "),SEARCH(" "&amp;'Exception Stores'!$A$2,F181)-SEARCH(", ",F181)-LEN(", ")),MID(F181,SEARCH(", ",F181)+LEN(", "),SEARCH(" "&amp;'Exception Stores'!$B$2,F181)-SEARCH(", ",F181)-LEN(", "))))</f>
        <v>#VALUE!</v>
      </c>
      <c r="AL181" s="1" t="e">
        <f t="shared" si="187"/>
        <v>#VALUE!</v>
      </c>
      <c r="AM181" s="15" t="e">
        <f t="shared" ca="1" si="188"/>
        <v>#VALUE!</v>
      </c>
      <c r="AN181" s="24" t="e">
        <f t="shared" ca="1" si="189"/>
        <v>#VALUE!</v>
      </c>
      <c r="AO181" s="1" t="e">
        <f t="shared" ca="1" si="190"/>
        <v>#VALUE!</v>
      </c>
      <c r="AP181" s="13" t="e">
        <f t="shared" ca="1" si="191"/>
        <v>#VALUE!</v>
      </c>
      <c r="AQ181" s="17" t="e">
        <f t="shared" ca="1" si="192"/>
        <v>#VALUE!</v>
      </c>
      <c r="AS181" s="15" t="e">
        <f t="shared" ca="1" si="193"/>
        <v>#VALUE!</v>
      </c>
      <c r="AT181" s="5">
        <f>'Exception Stores'!$D$2</f>
        <v>0.125</v>
      </c>
      <c r="AU181" s="15" t="e">
        <f t="shared" ca="1" si="194"/>
        <v>#VALUE!</v>
      </c>
      <c r="AV181" s="15" t="e">
        <f t="shared" ca="1" si="195"/>
        <v>#VALUE!</v>
      </c>
      <c r="AW181" s="15" t="e">
        <f t="shared" ca="1" si="196"/>
        <v>#VALUE!</v>
      </c>
      <c r="AX181" s="15" t="e">
        <f t="shared" ca="1" si="197"/>
        <v>#VALUE!</v>
      </c>
      <c r="AY181" s="15" t="e">
        <f t="shared" ca="1" si="198"/>
        <v>#VALUE!</v>
      </c>
      <c r="AZ181" s="1" t="e">
        <f t="shared" ca="1" si="199"/>
        <v>#VALUE!</v>
      </c>
      <c r="BA181" s="15" t="e">
        <f t="shared" ca="1" si="200"/>
        <v>#VALUE!</v>
      </c>
      <c r="BB181" s="15" t="e">
        <f t="shared" ca="1" si="201"/>
        <v>#VALUE!</v>
      </c>
      <c r="BC181" s="1" t="e">
        <f t="shared" ca="1" si="202"/>
        <v>#VALUE!</v>
      </c>
      <c r="BE181" s="15" t="str">
        <f>IF(ISBLANK('Exception Stores'!$A$6),"",'Exception Stores'!$A$6)</f>
        <v/>
      </c>
      <c r="BF181" s="15" t="str">
        <f>IF(ISBLANK('Exception Stores'!$B$6),"",'Exception Stores'!$B$6)</f>
        <v/>
      </c>
      <c r="BG181" s="1">
        <f>IF(ISBLANK('Exception Stores'!$A$6),0,IF($AN$2&gt;$BF$2,($AN$2-$BF$2)*24,0))</f>
        <v>0</v>
      </c>
      <c r="BH181" s="11">
        <f>IF(ISBLANK('Exception Stores'!$A$6),0,($BF$2-$BE$2)*24)</f>
        <v>0</v>
      </c>
      <c r="BI18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81" s="1">
        <f>IF(ISBLANK('Exception Stores'!$A$6),0,IF($AN$2&gt;$BF$2,0,IF(AND($AN$2&lt;$BF$2,$BT$2="B"),(($BF$2-$AN$2)*24)-$BS$2,($BF$2-$AN$2)*24)))</f>
        <v>0</v>
      </c>
      <c r="BL181" s="5"/>
      <c r="BM181" s="5"/>
      <c r="BN181" s="5"/>
      <c r="BO181" s="5"/>
      <c r="BP181" s="5"/>
      <c r="BV181" s="1" t="e">
        <f t="shared" ca="1" si="203"/>
        <v>#VALUE!</v>
      </c>
      <c r="BW181" s="1" t="e">
        <f t="shared" ca="1" si="204"/>
        <v>#VALUE!</v>
      </c>
      <c r="BX181" s="1" t="e">
        <f t="shared" ca="1" si="205"/>
        <v>#VALUE!</v>
      </c>
      <c r="BY181" s="1" t="e">
        <f t="shared" ca="1" si="206"/>
        <v>#VALUE!</v>
      </c>
      <c r="BZ181" s="1" t="e">
        <f t="shared" ca="1" si="207"/>
        <v>#VALUE!</v>
      </c>
      <c r="CB181" s="1" t="str">
        <f>IF(ISBLANK('Exception Stores'!$A$6),"",WEEKDAY($BF$2))</f>
        <v/>
      </c>
      <c r="CC181" s="1" t="str">
        <f>IF(ISBLANK('Exception Stores'!$A$6),"NO",IF('Exception Stores'!$A$6&lt;$AU$2,"YES","NO"))</f>
        <v>NO</v>
      </c>
      <c r="CD181" s="1" t="str">
        <f>IF(ISBLANK('Exception Stores'!$A$6),"NO",IF('Exception Stores'!$A$6&lt;$AV$2,"YES","NO"))</f>
        <v>NO</v>
      </c>
      <c r="CE181" s="1" t="str">
        <f>IF(ISBLANK('Exception Stores'!$A$6),"NO",IF('Exception Stores'!$A$6&lt;$AW$2,"YES","NO"))</f>
        <v>NO</v>
      </c>
      <c r="CF181" s="1" t="str">
        <f>IF(ISBLANK('Exception Stores'!$A$6),"NO",IF('Exception Stores'!$A$6&lt;$AX$2,"YES","NO"))</f>
        <v>NO</v>
      </c>
      <c r="CG181" s="1" t="str">
        <f>IF(ISBLANK('Exception Stores'!$A$6),"NO",IF('Exception Stores'!$A$6&lt;$AY$2,"YES","NO"))</f>
        <v>NO</v>
      </c>
      <c r="CI181" s="42" t="str">
        <f>IF(ISBLANK('Exception Stores'!$B$6),"NO",IF('Exception Stores'!$B$6&lt;=$AU$2,"YES","NO"))</f>
        <v>NO</v>
      </c>
      <c r="CJ181" s="42" t="str">
        <f>IF(ISBLANK('Exception Stores'!$B$6),"NO",IF('Exception Stores'!$B$6&lt;=$AV$2,"YES","NO"))</f>
        <v>NO</v>
      </c>
      <c r="CK181" s="1" t="str">
        <f>IF(ISBLANK('Exception Stores'!$B$6),"NO",IF('Exception Stores'!$B$6&lt;=$AW$2,"YES","NO"))</f>
        <v>NO</v>
      </c>
      <c r="CL181" s="1" t="str">
        <f>IF(ISBLANK('Exception Stores'!$B$6),"NO",IF('Exception Stores'!$B$6&lt;=$AX$2,"YES","NO"))</f>
        <v>NO</v>
      </c>
      <c r="CM181" s="1" t="str">
        <f>IF(ISBLANK('Exception Stores'!$B$6),"NO",IF('Exception Stores'!$B$6&lt;=$AY$2,"YES","NO"))</f>
        <v>NO</v>
      </c>
      <c r="CO181" s="1" t="e">
        <f ca="1">IF(AM181&lt;'Exception Stores'!$A$6,"YES","NO")</f>
        <v>#VALUE!</v>
      </c>
      <c r="CP181" s="1">
        <f t="shared" si="208"/>
        <v>0</v>
      </c>
      <c r="CQ181" s="1">
        <f t="shared" si="209"/>
        <v>0</v>
      </c>
      <c r="CR181" s="1">
        <f t="shared" si="210"/>
        <v>0</v>
      </c>
      <c r="CS181" s="1">
        <f t="shared" si="211"/>
        <v>0</v>
      </c>
      <c r="CT181" s="1">
        <f t="shared" si="212"/>
        <v>0</v>
      </c>
      <c r="CU181" s="1">
        <f t="shared" si="213"/>
        <v>0</v>
      </c>
      <c r="CW181" s="1" t="e">
        <f t="shared" ca="1" si="218"/>
        <v>#VALUE!</v>
      </c>
      <c r="CX181" s="1" t="e">
        <f t="shared" ca="1" si="219"/>
        <v>#VALUE!</v>
      </c>
      <c r="CY181" s="1" t="e">
        <f t="shared" ca="1" si="220"/>
        <v>#VALUE!</v>
      </c>
      <c r="CZ181" s="1" t="e">
        <f t="shared" ca="1" si="221"/>
        <v>#VALUE!</v>
      </c>
      <c r="DA181" s="1" t="e">
        <f t="shared" ca="1" si="222"/>
        <v>#VALUE!</v>
      </c>
      <c r="DB181" s="26" t="e">
        <f t="shared" ca="1" si="214"/>
        <v>#VALUE!</v>
      </c>
      <c r="DC181" s="1">
        <f t="shared" si="223"/>
        <v>0</v>
      </c>
      <c r="DD181" s="1">
        <f t="shared" si="224"/>
        <v>0</v>
      </c>
      <c r="DE181" s="1">
        <f t="shared" si="225"/>
        <v>0</v>
      </c>
      <c r="DF181" s="1">
        <f t="shared" si="226"/>
        <v>0</v>
      </c>
      <c r="DG181" s="1">
        <f t="shared" si="227"/>
        <v>0</v>
      </c>
      <c r="DH181" s="26">
        <f t="shared" si="215"/>
        <v>0</v>
      </c>
      <c r="DI181" s="1" t="e">
        <f t="shared" ca="1" si="216"/>
        <v>#VALUE!</v>
      </c>
      <c r="DK181" s="11" t="str">
        <f t="shared" si="228"/>
        <v/>
      </c>
      <c r="DL181" s="11" t="e">
        <f ca="1">IF(AND(NOT(ISBLANK('Exception Stores'!$A$6)),CO181="YES"),S181-$BH$2-(DI181*$BS$2)-(CU181*$BS$2),S181-(DB181*$BS$2))</f>
        <v>#VALUE!</v>
      </c>
      <c r="DM181" s="11" t="str">
        <f>IF(ISBLANK(A181),"",IF(COUNTIF(Remaps!$A$2:$A$200,B181)&gt;0,"YES",""))</f>
        <v>YES</v>
      </c>
      <c r="DN181" s="29">
        <f>IFERROR(INDEX(Remaps!$B$2:$B$200,MATCH(B181,Remaps!$A$2:$A$200,0),1),0)</f>
        <v>0</v>
      </c>
      <c r="DO181" s="11" t="e">
        <f t="shared" ca="1" si="229"/>
        <v>#VALUE!</v>
      </c>
      <c r="DP181" s="29" t="e">
        <f t="shared" si="230"/>
        <v>#VALUE!</v>
      </c>
      <c r="DQ181" s="11" t="e">
        <f ca="1">('Apollo Dock Status'!$Z$1-DP181)/DO181</f>
        <v>#VALUE!</v>
      </c>
      <c r="DR181" s="15" t="e">
        <f t="shared" ca="1" si="217"/>
        <v>#VALUE!</v>
      </c>
    </row>
    <row r="182" spans="1:122">
      <c r="A182" s="1" t="str">
        <f>IF(ISBLANK('Apollo Dock Status'!A182),"",'Apollo Dock Status'!A182)</f>
        <v/>
      </c>
      <c r="B182" s="1" t="str">
        <f>IF(ISBLANK('Apollo Dock Status'!B182),"",'Apollo Dock Status'!B182)</f>
        <v/>
      </c>
      <c r="C182" s="1" t="str">
        <f>IF(ISBLANK('Apollo Dock Status'!C182),"",'Apollo Dock Status'!C182)</f>
        <v/>
      </c>
      <c r="D182" s="1" t="str">
        <f>IF(ISBLANK('Apollo Dock Status'!D182),"",'Apollo Dock Status'!D182)</f>
        <v/>
      </c>
      <c r="E182" s="1" t="str">
        <f>IF(ISBLANK('Apollo Dock Status'!E182),"",'Apollo Dock Status'!E182)</f>
        <v/>
      </c>
      <c r="F182" s="1" t="str">
        <f>IF(ISBLANK('Apollo Dock Status'!F182),"",'Apollo Dock Status'!F182)</f>
        <v/>
      </c>
      <c r="G182" s="1" t="str">
        <f>IF(ISBLANK('Apollo Dock Status'!G182),"",'Apollo Dock Status'!G182)</f>
        <v/>
      </c>
      <c r="H182" s="1" t="str">
        <f>IF(ISBLANK('Apollo Dock Status'!H182),"",'Apollo Dock Status'!H182)</f>
        <v/>
      </c>
      <c r="I182" s="1" t="str">
        <f>IF(ISBLANK('Apollo Dock Status'!I182),"",'Apollo Dock Status'!I182)</f>
        <v/>
      </c>
      <c r="J182" s="1" t="str">
        <f>IF(ISBLANK('Apollo Dock Status'!J182),"",'Apollo Dock Status'!J182)</f>
        <v/>
      </c>
      <c r="K182" s="1" t="str">
        <f>IF(ISBLANK('Apollo Dock Status'!K182),"",'Apollo Dock Status'!K182)</f>
        <v/>
      </c>
      <c r="L182" s="1" t="str">
        <f>IF(ISBLANK('Apollo Dock Status'!L182),"",'Apollo Dock Status'!L182)</f>
        <v/>
      </c>
      <c r="M182" s="1" t="str">
        <f>IF(ISBLANK('Apollo Dock Status'!M182),"",'Apollo Dock Status'!M182)</f>
        <v/>
      </c>
      <c r="N182" s="1" t="str">
        <f>IF(ISBLANK('Apollo Dock Status'!N182),"",'Apollo Dock Status'!N182)</f>
        <v/>
      </c>
      <c r="O182" s="1" t="str">
        <f t="shared" si="167"/>
        <v/>
      </c>
      <c r="P182" s="1" t="str">
        <f t="shared" si="168"/>
        <v/>
      </c>
      <c r="Q182" s="1" t="str">
        <f t="shared" si="169"/>
        <v/>
      </c>
      <c r="R182" s="1" t="str">
        <f t="shared" si="170"/>
        <v/>
      </c>
      <c r="S182" s="11" t="str">
        <f t="shared" si="171"/>
        <v/>
      </c>
      <c r="T182" s="1" t="str">
        <f t="shared" si="172"/>
        <v/>
      </c>
      <c r="U182" s="11" t="str">
        <f t="shared" si="173"/>
        <v/>
      </c>
      <c r="V182" s="11" t="str">
        <f t="shared" si="174"/>
        <v/>
      </c>
      <c r="X182" s="1" t="str">
        <f t="shared" si="175"/>
        <v/>
      </c>
      <c r="Y182" s="1" t="str">
        <f t="shared" si="176"/>
        <v/>
      </c>
      <c r="Z182" s="1" t="str">
        <f t="shared" si="177"/>
        <v/>
      </c>
      <c r="AB182" s="13">
        <f t="shared" ca="1" si="178"/>
        <v>46176</v>
      </c>
      <c r="AC182" s="1">
        <f t="shared" ca="1" si="179"/>
        <v>2026</v>
      </c>
      <c r="AD182" s="1" t="str">
        <f t="shared" ca="1" si="180"/>
        <v>6</v>
      </c>
      <c r="AE182" s="1">
        <f t="shared" si="181"/>
        <v>1</v>
      </c>
      <c r="AF182" s="1" t="str">
        <f t="shared" si="182"/>
        <v/>
      </c>
      <c r="AG182" s="1">
        <f t="shared" ca="1" si="183"/>
        <v>2026</v>
      </c>
      <c r="AH182" s="1">
        <f t="shared" si="184"/>
        <v>1</v>
      </c>
      <c r="AI182" s="1" t="str">
        <f t="shared" ca="1" si="185"/>
        <v>6</v>
      </c>
      <c r="AJ182" s="13" t="e">
        <f t="shared" ca="1" si="186"/>
        <v>#VALUE!</v>
      </c>
      <c r="AK182" s="1" t="e">
        <f>IF(ISBLANK(A182),"",IFERROR(MID(F182,SEARCH(", ",F182)+LEN(", "),SEARCH(" "&amp;'Exception Stores'!$A$2,F182)-SEARCH(", ",F182)-LEN(", ")),MID(F182,SEARCH(", ",F182)+LEN(", "),SEARCH(" "&amp;'Exception Stores'!$B$2,F182)-SEARCH(", ",F182)-LEN(", "))))</f>
        <v>#VALUE!</v>
      </c>
      <c r="AL182" s="1" t="e">
        <f t="shared" si="187"/>
        <v>#VALUE!</v>
      </c>
      <c r="AM182" s="15" t="e">
        <f t="shared" ca="1" si="188"/>
        <v>#VALUE!</v>
      </c>
      <c r="AN182" s="24" t="e">
        <f t="shared" ca="1" si="189"/>
        <v>#VALUE!</v>
      </c>
      <c r="AO182" s="1" t="e">
        <f t="shared" ca="1" si="190"/>
        <v>#VALUE!</v>
      </c>
      <c r="AP182" s="13" t="e">
        <f t="shared" ca="1" si="191"/>
        <v>#VALUE!</v>
      </c>
      <c r="AQ182" s="17" t="e">
        <f t="shared" ca="1" si="192"/>
        <v>#VALUE!</v>
      </c>
      <c r="AS182" s="15" t="e">
        <f t="shared" ca="1" si="193"/>
        <v>#VALUE!</v>
      </c>
      <c r="AT182" s="5">
        <f>'Exception Stores'!$D$2</f>
        <v>0.125</v>
      </c>
      <c r="AU182" s="15" t="e">
        <f t="shared" ca="1" si="194"/>
        <v>#VALUE!</v>
      </c>
      <c r="AV182" s="15" t="e">
        <f t="shared" ca="1" si="195"/>
        <v>#VALUE!</v>
      </c>
      <c r="AW182" s="15" t="e">
        <f t="shared" ca="1" si="196"/>
        <v>#VALUE!</v>
      </c>
      <c r="AX182" s="15" t="e">
        <f t="shared" ca="1" si="197"/>
        <v>#VALUE!</v>
      </c>
      <c r="AY182" s="15" t="e">
        <f t="shared" ca="1" si="198"/>
        <v>#VALUE!</v>
      </c>
      <c r="AZ182" s="1" t="e">
        <f t="shared" ca="1" si="199"/>
        <v>#VALUE!</v>
      </c>
      <c r="BA182" s="15" t="e">
        <f t="shared" ca="1" si="200"/>
        <v>#VALUE!</v>
      </c>
      <c r="BB182" s="15" t="e">
        <f t="shared" ca="1" si="201"/>
        <v>#VALUE!</v>
      </c>
      <c r="BC182" s="1" t="e">
        <f t="shared" ca="1" si="202"/>
        <v>#VALUE!</v>
      </c>
      <c r="BE182" s="15" t="str">
        <f>IF(ISBLANK('Exception Stores'!$A$6),"",'Exception Stores'!$A$6)</f>
        <v/>
      </c>
      <c r="BF182" s="15" t="str">
        <f>IF(ISBLANK('Exception Stores'!$B$6),"",'Exception Stores'!$B$6)</f>
        <v/>
      </c>
      <c r="BG182" s="1">
        <f>IF(ISBLANK('Exception Stores'!$A$6),0,IF($AN$2&gt;$BF$2,($AN$2-$BF$2)*24,0))</f>
        <v>0</v>
      </c>
      <c r="BH182" s="11">
        <f>IF(ISBLANK('Exception Stores'!$A$6),0,($BF$2-$BE$2)*24)</f>
        <v>0</v>
      </c>
      <c r="BI18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82" s="1">
        <f>IF(ISBLANK('Exception Stores'!$A$6),0,IF($AN$2&gt;$BF$2,0,IF(AND($AN$2&lt;$BF$2,$BT$2="B"),(($BF$2-$AN$2)*24)-$BS$2,($BF$2-$AN$2)*24)))</f>
        <v>0</v>
      </c>
      <c r="BL182" s="5"/>
      <c r="BM182" s="5"/>
      <c r="BN182" s="5"/>
      <c r="BO182" s="5"/>
      <c r="BP182" s="5"/>
      <c r="BV182" s="1" t="e">
        <f t="shared" ca="1" si="203"/>
        <v>#VALUE!</v>
      </c>
      <c r="BW182" s="1" t="e">
        <f t="shared" ca="1" si="204"/>
        <v>#VALUE!</v>
      </c>
      <c r="BX182" s="1" t="e">
        <f t="shared" ca="1" si="205"/>
        <v>#VALUE!</v>
      </c>
      <c r="BY182" s="1" t="e">
        <f t="shared" ca="1" si="206"/>
        <v>#VALUE!</v>
      </c>
      <c r="BZ182" s="1" t="e">
        <f t="shared" ca="1" si="207"/>
        <v>#VALUE!</v>
      </c>
      <c r="CB182" s="1" t="str">
        <f>IF(ISBLANK('Exception Stores'!$A$6),"",WEEKDAY($BF$2))</f>
        <v/>
      </c>
      <c r="CC182" s="1" t="str">
        <f>IF(ISBLANK('Exception Stores'!$A$6),"NO",IF('Exception Stores'!$A$6&lt;$AU$2,"YES","NO"))</f>
        <v>NO</v>
      </c>
      <c r="CD182" s="1" t="str">
        <f>IF(ISBLANK('Exception Stores'!$A$6),"NO",IF('Exception Stores'!$A$6&lt;$AV$2,"YES","NO"))</f>
        <v>NO</v>
      </c>
      <c r="CE182" s="1" t="str">
        <f>IF(ISBLANK('Exception Stores'!$A$6),"NO",IF('Exception Stores'!$A$6&lt;$AW$2,"YES","NO"))</f>
        <v>NO</v>
      </c>
      <c r="CF182" s="1" t="str">
        <f>IF(ISBLANK('Exception Stores'!$A$6),"NO",IF('Exception Stores'!$A$6&lt;$AX$2,"YES","NO"))</f>
        <v>NO</v>
      </c>
      <c r="CG182" s="1" t="str">
        <f>IF(ISBLANK('Exception Stores'!$A$6),"NO",IF('Exception Stores'!$A$6&lt;$AY$2,"YES","NO"))</f>
        <v>NO</v>
      </c>
      <c r="CI182" s="42" t="str">
        <f>IF(ISBLANK('Exception Stores'!$B$6),"NO",IF('Exception Stores'!$B$6&lt;=$AU$2,"YES","NO"))</f>
        <v>NO</v>
      </c>
      <c r="CJ182" s="42" t="str">
        <f>IF(ISBLANK('Exception Stores'!$B$6),"NO",IF('Exception Stores'!$B$6&lt;=$AV$2,"YES","NO"))</f>
        <v>NO</v>
      </c>
      <c r="CK182" s="1" t="str">
        <f>IF(ISBLANK('Exception Stores'!$B$6),"NO",IF('Exception Stores'!$B$6&lt;=$AW$2,"YES","NO"))</f>
        <v>NO</v>
      </c>
      <c r="CL182" s="1" t="str">
        <f>IF(ISBLANK('Exception Stores'!$B$6),"NO",IF('Exception Stores'!$B$6&lt;=$AX$2,"YES","NO"))</f>
        <v>NO</v>
      </c>
      <c r="CM182" s="1" t="str">
        <f>IF(ISBLANK('Exception Stores'!$B$6),"NO",IF('Exception Stores'!$B$6&lt;=$AY$2,"YES","NO"))</f>
        <v>NO</v>
      </c>
      <c r="CO182" s="1" t="e">
        <f ca="1">IF(AM182&lt;'Exception Stores'!$A$6,"YES","NO")</f>
        <v>#VALUE!</v>
      </c>
      <c r="CP182" s="1">
        <f t="shared" si="208"/>
        <v>0</v>
      </c>
      <c r="CQ182" s="1">
        <f t="shared" si="209"/>
        <v>0</v>
      </c>
      <c r="CR182" s="1">
        <f t="shared" si="210"/>
        <v>0</v>
      </c>
      <c r="CS182" s="1">
        <f t="shared" si="211"/>
        <v>0</v>
      </c>
      <c r="CT182" s="1">
        <f t="shared" si="212"/>
        <v>0</v>
      </c>
      <c r="CU182" s="1">
        <f t="shared" si="213"/>
        <v>0</v>
      </c>
      <c r="CW182" s="1" t="e">
        <f t="shared" ca="1" si="218"/>
        <v>#VALUE!</v>
      </c>
      <c r="CX182" s="1" t="e">
        <f t="shared" ca="1" si="219"/>
        <v>#VALUE!</v>
      </c>
      <c r="CY182" s="1" t="e">
        <f t="shared" ca="1" si="220"/>
        <v>#VALUE!</v>
      </c>
      <c r="CZ182" s="1" t="e">
        <f t="shared" ca="1" si="221"/>
        <v>#VALUE!</v>
      </c>
      <c r="DA182" s="1" t="e">
        <f t="shared" ca="1" si="222"/>
        <v>#VALUE!</v>
      </c>
      <c r="DB182" s="26" t="e">
        <f t="shared" ca="1" si="214"/>
        <v>#VALUE!</v>
      </c>
      <c r="DC182" s="1">
        <f t="shared" si="223"/>
        <v>0</v>
      </c>
      <c r="DD182" s="1">
        <f t="shared" si="224"/>
        <v>0</v>
      </c>
      <c r="DE182" s="1">
        <f t="shared" si="225"/>
        <v>0</v>
      </c>
      <c r="DF182" s="1">
        <f t="shared" si="226"/>
        <v>0</v>
      </c>
      <c r="DG182" s="1">
        <f t="shared" si="227"/>
        <v>0</v>
      </c>
      <c r="DH182" s="26">
        <f t="shared" si="215"/>
        <v>0</v>
      </c>
      <c r="DI182" s="1" t="e">
        <f t="shared" ca="1" si="216"/>
        <v>#VALUE!</v>
      </c>
      <c r="DK182" s="11" t="str">
        <f t="shared" si="228"/>
        <v/>
      </c>
      <c r="DL182" s="11" t="e">
        <f ca="1">IF(AND(NOT(ISBLANK('Exception Stores'!$A$6)),CO182="YES"),S182-$BH$2-(DI182*$BS$2)-(CU182*$BS$2),S182-(DB182*$BS$2))</f>
        <v>#VALUE!</v>
      </c>
      <c r="DM182" s="11" t="str">
        <f>IF(ISBLANK(A182),"",IF(COUNTIF(Remaps!$A$2:$A$200,B182)&gt;0,"YES",""))</f>
        <v>YES</v>
      </c>
      <c r="DN182" s="29">
        <f>IFERROR(INDEX(Remaps!$B$2:$B$200,MATCH(B182,Remaps!$A$2:$A$200,0),1),0)</f>
        <v>0</v>
      </c>
      <c r="DO182" s="11" t="e">
        <f t="shared" ca="1" si="229"/>
        <v>#VALUE!</v>
      </c>
      <c r="DP182" s="29" t="e">
        <f t="shared" si="230"/>
        <v>#VALUE!</v>
      </c>
      <c r="DQ182" s="11" t="e">
        <f ca="1">('Apollo Dock Status'!$Z$1-DP182)/DO182</f>
        <v>#VALUE!</v>
      </c>
      <c r="DR182" s="15" t="e">
        <f t="shared" ca="1" si="217"/>
        <v>#VALUE!</v>
      </c>
    </row>
    <row r="183" spans="1:122">
      <c r="A183" s="1" t="str">
        <f>IF(ISBLANK('Apollo Dock Status'!A183),"",'Apollo Dock Status'!A183)</f>
        <v/>
      </c>
      <c r="B183" s="1" t="str">
        <f>IF(ISBLANK('Apollo Dock Status'!B183),"",'Apollo Dock Status'!B183)</f>
        <v/>
      </c>
      <c r="C183" s="1" t="str">
        <f>IF(ISBLANK('Apollo Dock Status'!C183),"",'Apollo Dock Status'!C183)</f>
        <v/>
      </c>
      <c r="D183" s="1" t="str">
        <f>IF(ISBLANK('Apollo Dock Status'!D183),"",'Apollo Dock Status'!D183)</f>
        <v/>
      </c>
      <c r="E183" s="1" t="str">
        <f>IF(ISBLANK('Apollo Dock Status'!E183),"",'Apollo Dock Status'!E183)</f>
        <v/>
      </c>
      <c r="F183" s="1" t="str">
        <f>IF(ISBLANK('Apollo Dock Status'!F183),"",'Apollo Dock Status'!F183)</f>
        <v/>
      </c>
      <c r="G183" s="1" t="str">
        <f>IF(ISBLANK('Apollo Dock Status'!G183),"",'Apollo Dock Status'!G183)</f>
        <v/>
      </c>
      <c r="H183" s="1" t="str">
        <f>IF(ISBLANK('Apollo Dock Status'!H183),"",'Apollo Dock Status'!H183)</f>
        <v/>
      </c>
      <c r="I183" s="1" t="str">
        <f>IF(ISBLANK('Apollo Dock Status'!I183),"",'Apollo Dock Status'!I183)</f>
        <v/>
      </c>
      <c r="J183" s="1" t="str">
        <f>IF(ISBLANK('Apollo Dock Status'!J183),"",'Apollo Dock Status'!J183)</f>
        <v/>
      </c>
      <c r="K183" s="1" t="str">
        <f>IF(ISBLANK('Apollo Dock Status'!K183),"",'Apollo Dock Status'!K183)</f>
        <v/>
      </c>
      <c r="L183" s="1" t="str">
        <f>IF(ISBLANK('Apollo Dock Status'!L183),"",'Apollo Dock Status'!L183)</f>
        <v/>
      </c>
      <c r="M183" s="1" t="str">
        <f>IF(ISBLANK('Apollo Dock Status'!M183),"",'Apollo Dock Status'!M183)</f>
        <v/>
      </c>
      <c r="N183" s="1" t="str">
        <f>IF(ISBLANK('Apollo Dock Status'!N183),"",'Apollo Dock Status'!N183)</f>
        <v/>
      </c>
      <c r="O183" s="1" t="str">
        <f t="shared" si="167"/>
        <v/>
      </c>
      <c r="P183" s="1" t="str">
        <f t="shared" si="168"/>
        <v/>
      </c>
      <c r="Q183" s="1" t="str">
        <f t="shared" si="169"/>
        <v/>
      </c>
      <c r="R183" s="1" t="str">
        <f t="shared" si="170"/>
        <v/>
      </c>
      <c r="S183" s="11" t="str">
        <f t="shared" si="171"/>
        <v/>
      </c>
      <c r="T183" s="1" t="str">
        <f t="shared" si="172"/>
        <v/>
      </c>
      <c r="U183" s="11" t="str">
        <f t="shared" si="173"/>
        <v/>
      </c>
      <c r="V183" s="11" t="str">
        <f t="shared" si="174"/>
        <v/>
      </c>
      <c r="X183" s="1" t="str">
        <f t="shared" si="175"/>
        <v/>
      </c>
      <c r="Y183" s="1" t="str">
        <f t="shared" si="176"/>
        <v/>
      </c>
      <c r="Z183" s="1" t="str">
        <f t="shared" si="177"/>
        <v/>
      </c>
      <c r="AB183" s="13">
        <f t="shared" ca="1" si="178"/>
        <v>46176</v>
      </c>
      <c r="AC183" s="1">
        <f t="shared" ca="1" si="179"/>
        <v>2026</v>
      </c>
      <c r="AD183" s="1" t="str">
        <f t="shared" ca="1" si="180"/>
        <v>6</v>
      </c>
      <c r="AE183" s="1">
        <f t="shared" si="181"/>
        <v>1</v>
      </c>
      <c r="AF183" s="1" t="str">
        <f t="shared" si="182"/>
        <v/>
      </c>
      <c r="AG183" s="1">
        <f t="shared" ca="1" si="183"/>
        <v>2026</v>
      </c>
      <c r="AH183" s="1">
        <f t="shared" si="184"/>
        <v>1</v>
      </c>
      <c r="AI183" s="1" t="str">
        <f t="shared" ca="1" si="185"/>
        <v>6</v>
      </c>
      <c r="AJ183" s="13" t="e">
        <f t="shared" ca="1" si="186"/>
        <v>#VALUE!</v>
      </c>
      <c r="AK183" s="1" t="e">
        <f>IF(ISBLANK(A183),"",IFERROR(MID(F183,SEARCH(", ",F183)+LEN(", "),SEARCH(" "&amp;'Exception Stores'!$A$2,F183)-SEARCH(", ",F183)-LEN(", ")),MID(F183,SEARCH(", ",F183)+LEN(", "),SEARCH(" "&amp;'Exception Stores'!$B$2,F183)-SEARCH(", ",F183)-LEN(", "))))</f>
        <v>#VALUE!</v>
      </c>
      <c r="AL183" s="1" t="e">
        <f t="shared" si="187"/>
        <v>#VALUE!</v>
      </c>
      <c r="AM183" s="15" t="e">
        <f t="shared" ca="1" si="188"/>
        <v>#VALUE!</v>
      </c>
      <c r="AN183" s="24" t="e">
        <f t="shared" ca="1" si="189"/>
        <v>#VALUE!</v>
      </c>
      <c r="AO183" s="1" t="e">
        <f t="shared" ca="1" si="190"/>
        <v>#VALUE!</v>
      </c>
      <c r="AP183" s="13" t="e">
        <f t="shared" ca="1" si="191"/>
        <v>#VALUE!</v>
      </c>
      <c r="AQ183" s="17" t="e">
        <f t="shared" ca="1" si="192"/>
        <v>#VALUE!</v>
      </c>
      <c r="AS183" s="15" t="e">
        <f t="shared" ca="1" si="193"/>
        <v>#VALUE!</v>
      </c>
      <c r="AT183" s="5">
        <f>'Exception Stores'!$D$2</f>
        <v>0.125</v>
      </c>
      <c r="AU183" s="15" t="e">
        <f t="shared" ca="1" si="194"/>
        <v>#VALUE!</v>
      </c>
      <c r="AV183" s="15" t="e">
        <f t="shared" ca="1" si="195"/>
        <v>#VALUE!</v>
      </c>
      <c r="AW183" s="15" t="e">
        <f t="shared" ca="1" si="196"/>
        <v>#VALUE!</v>
      </c>
      <c r="AX183" s="15" t="e">
        <f t="shared" ca="1" si="197"/>
        <v>#VALUE!</v>
      </c>
      <c r="AY183" s="15" t="e">
        <f t="shared" ca="1" si="198"/>
        <v>#VALUE!</v>
      </c>
      <c r="AZ183" s="1" t="e">
        <f t="shared" ca="1" si="199"/>
        <v>#VALUE!</v>
      </c>
      <c r="BA183" s="15" t="e">
        <f t="shared" ca="1" si="200"/>
        <v>#VALUE!</v>
      </c>
      <c r="BB183" s="15" t="e">
        <f t="shared" ca="1" si="201"/>
        <v>#VALUE!</v>
      </c>
      <c r="BC183" s="1" t="e">
        <f t="shared" ca="1" si="202"/>
        <v>#VALUE!</v>
      </c>
      <c r="BE183" s="15" t="str">
        <f>IF(ISBLANK('Exception Stores'!$A$6),"",'Exception Stores'!$A$6)</f>
        <v/>
      </c>
      <c r="BF183" s="15" t="str">
        <f>IF(ISBLANK('Exception Stores'!$B$6),"",'Exception Stores'!$B$6)</f>
        <v/>
      </c>
      <c r="BG183" s="1">
        <f>IF(ISBLANK('Exception Stores'!$A$6),0,IF($AN$2&gt;$BF$2,($AN$2-$BF$2)*24,0))</f>
        <v>0</v>
      </c>
      <c r="BH183" s="11">
        <f>IF(ISBLANK('Exception Stores'!$A$6),0,($BF$2-$BE$2)*24)</f>
        <v>0</v>
      </c>
      <c r="BI18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83" s="1">
        <f>IF(ISBLANK('Exception Stores'!$A$6),0,IF($AN$2&gt;$BF$2,0,IF(AND($AN$2&lt;$BF$2,$BT$2="B"),(($BF$2-$AN$2)*24)-$BS$2,($BF$2-$AN$2)*24)))</f>
        <v>0</v>
      </c>
      <c r="BL183" s="5"/>
      <c r="BM183" s="5"/>
      <c r="BN183" s="5"/>
      <c r="BO183" s="5"/>
      <c r="BP183" s="5"/>
      <c r="BV183" s="1" t="e">
        <f t="shared" ca="1" si="203"/>
        <v>#VALUE!</v>
      </c>
      <c r="BW183" s="1" t="e">
        <f t="shared" ca="1" si="204"/>
        <v>#VALUE!</v>
      </c>
      <c r="BX183" s="1" t="e">
        <f t="shared" ca="1" si="205"/>
        <v>#VALUE!</v>
      </c>
      <c r="BY183" s="1" t="e">
        <f t="shared" ca="1" si="206"/>
        <v>#VALUE!</v>
      </c>
      <c r="BZ183" s="1" t="e">
        <f t="shared" ca="1" si="207"/>
        <v>#VALUE!</v>
      </c>
      <c r="CB183" s="1" t="str">
        <f>IF(ISBLANK('Exception Stores'!$A$6),"",WEEKDAY($BF$2))</f>
        <v/>
      </c>
      <c r="CC183" s="1" t="str">
        <f>IF(ISBLANK('Exception Stores'!$A$6),"NO",IF('Exception Stores'!$A$6&lt;$AU$2,"YES","NO"))</f>
        <v>NO</v>
      </c>
      <c r="CD183" s="1" t="str">
        <f>IF(ISBLANK('Exception Stores'!$A$6),"NO",IF('Exception Stores'!$A$6&lt;$AV$2,"YES","NO"))</f>
        <v>NO</v>
      </c>
      <c r="CE183" s="1" t="str">
        <f>IF(ISBLANK('Exception Stores'!$A$6),"NO",IF('Exception Stores'!$A$6&lt;$AW$2,"YES","NO"))</f>
        <v>NO</v>
      </c>
      <c r="CF183" s="1" t="str">
        <f>IF(ISBLANK('Exception Stores'!$A$6),"NO",IF('Exception Stores'!$A$6&lt;$AX$2,"YES","NO"))</f>
        <v>NO</v>
      </c>
      <c r="CG183" s="1" t="str">
        <f>IF(ISBLANK('Exception Stores'!$A$6),"NO",IF('Exception Stores'!$A$6&lt;$AY$2,"YES","NO"))</f>
        <v>NO</v>
      </c>
      <c r="CI183" s="42" t="str">
        <f>IF(ISBLANK('Exception Stores'!$B$6),"NO",IF('Exception Stores'!$B$6&lt;=$AU$2,"YES","NO"))</f>
        <v>NO</v>
      </c>
      <c r="CJ183" s="42" t="str">
        <f>IF(ISBLANK('Exception Stores'!$B$6),"NO",IF('Exception Stores'!$B$6&lt;=$AV$2,"YES","NO"))</f>
        <v>NO</v>
      </c>
      <c r="CK183" s="1" t="str">
        <f>IF(ISBLANK('Exception Stores'!$B$6),"NO",IF('Exception Stores'!$B$6&lt;=$AW$2,"YES","NO"))</f>
        <v>NO</v>
      </c>
      <c r="CL183" s="1" t="str">
        <f>IF(ISBLANK('Exception Stores'!$B$6),"NO",IF('Exception Stores'!$B$6&lt;=$AX$2,"YES","NO"))</f>
        <v>NO</v>
      </c>
      <c r="CM183" s="1" t="str">
        <f>IF(ISBLANK('Exception Stores'!$B$6),"NO",IF('Exception Stores'!$B$6&lt;=$AY$2,"YES","NO"))</f>
        <v>NO</v>
      </c>
      <c r="CO183" s="1" t="e">
        <f ca="1">IF(AM183&lt;'Exception Stores'!$A$6,"YES","NO")</f>
        <v>#VALUE!</v>
      </c>
      <c r="CP183" s="1">
        <f t="shared" si="208"/>
        <v>0</v>
      </c>
      <c r="CQ183" s="1">
        <f t="shared" si="209"/>
        <v>0</v>
      </c>
      <c r="CR183" s="1">
        <f t="shared" si="210"/>
        <v>0</v>
      </c>
      <c r="CS183" s="1">
        <f t="shared" si="211"/>
        <v>0</v>
      </c>
      <c r="CT183" s="1">
        <f t="shared" si="212"/>
        <v>0</v>
      </c>
      <c r="CU183" s="1">
        <f t="shared" si="213"/>
        <v>0</v>
      </c>
      <c r="CW183" s="1" t="e">
        <f t="shared" ca="1" si="218"/>
        <v>#VALUE!</v>
      </c>
      <c r="CX183" s="1" t="e">
        <f t="shared" ca="1" si="219"/>
        <v>#VALUE!</v>
      </c>
      <c r="CY183" s="1" t="e">
        <f t="shared" ca="1" si="220"/>
        <v>#VALUE!</v>
      </c>
      <c r="CZ183" s="1" t="e">
        <f t="shared" ca="1" si="221"/>
        <v>#VALUE!</v>
      </c>
      <c r="DA183" s="1" t="e">
        <f t="shared" ca="1" si="222"/>
        <v>#VALUE!</v>
      </c>
      <c r="DB183" s="26" t="e">
        <f t="shared" ca="1" si="214"/>
        <v>#VALUE!</v>
      </c>
      <c r="DC183" s="1">
        <f t="shared" si="223"/>
        <v>0</v>
      </c>
      <c r="DD183" s="1">
        <f t="shared" si="224"/>
        <v>0</v>
      </c>
      <c r="DE183" s="1">
        <f t="shared" si="225"/>
        <v>0</v>
      </c>
      <c r="DF183" s="1">
        <f t="shared" si="226"/>
        <v>0</v>
      </c>
      <c r="DG183" s="1">
        <f t="shared" si="227"/>
        <v>0</v>
      </c>
      <c r="DH183" s="26">
        <f t="shared" si="215"/>
        <v>0</v>
      </c>
      <c r="DI183" s="1" t="e">
        <f t="shared" ca="1" si="216"/>
        <v>#VALUE!</v>
      </c>
      <c r="DK183" s="11" t="str">
        <f t="shared" si="228"/>
        <v/>
      </c>
      <c r="DL183" s="11" t="e">
        <f ca="1">IF(AND(NOT(ISBLANK('Exception Stores'!$A$6)),CO183="YES"),S183-$BH$2-(DI183*$BS$2)-(CU183*$BS$2),S183-(DB183*$BS$2))</f>
        <v>#VALUE!</v>
      </c>
      <c r="DM183" s="11" t="str">
        <f>IF(ISBLANK(A183),"",IF(COUNTIF(Remaps!$A$2:$A$200,B183)&gt;0,"YES",""))</f>
        <v>YES</v>
      </c>
      <c r="DN183" s="29">
        <f>IFERROR(INDEX(Remaps!$B$2:$B$200,MATCH(B183,Remaps!$A$2:$A$200,0),1),0)</f>
        <v>0</v>
      </c>
      <c r="DO183" s="11" t="e">
        <f t="shared" ca="1" si="229"/>
        <v>#VALUE!</v>
      </c>
      <c r="DP183" s="29" t="e">
        <f t="shared" si="230"/>
        <v>#VALUE!</v>
      </c>
      <c r="DQ183" s="11" t="e">
        <f ca="1">('Apollo Dock Status'!$Z$1-DP183)/DO183</f>
        <v>#VALUE!</v>
      </c>
      <c r="DR183" s="15" t="e">
        <f t="shared" ca="1" si="217"/>
        <v>#VALUE!</v>
      </c>
    </row>
    <row r="184" spans="1:122">
      <c r="A184" s="1" t="str">
        <f>IF(ISBLANK('Apollo Dock Status'!A184),"",'Apollo Dock Status'!A184)</f>
        <v/>
      </c>
      <c r="B184" s="1" t="str">
        <f>IF(ISBLANK('Apollo Dock Status'!B184),"",'Apollo Dock Status'!B184)</f>
        <v/>
      </c>
      <c r="C184" s="1" t="str">
        <f>IF(ISBLANK('Apollo Dock Status'!C184),"",'Apollo Dock Status'!C184)</f>
        <v/>
      </c>
      <c r="D184" s="1" t="str">
        <f>IF(ISBLANK('Apollo Dock Status'!D184),"",'Apollo Dock Status'!D184)</f>
        <v/>
      </c>
      <c r="E184" s="1" t="str">
        <f>IF(ISBLANK('Apollo Dock Status'!E184),"",'Apollo Dock Status'!E184)</f>
        <v/>
      </c>
      <c r="F184" s="1" t="str">
        <f>IF(ISBLANK('Apollo Dock Status'!F184),"",'Apollo Dock Status'!F184)</f>
        <v/>
      </c>
      <c r="G184" s="1" t="str">
        <f>IF(ISBLANK('Apollo Dock Status'!G184),"",'Apollo Dock Status'!G184)</f>
        <v/>
      </c>
      <c r="H184" s="1" t="str">
        <f>IF(ISBLANK('Apollo Dock Status'!H184),"",'Apollo Dock Status'!H184)</f>
        <v/>
      </c>
      <c r="I184" s="1" t="str">
        <f>IF(ISBLANK('Apollo Dock Status'!I184),"",'Apollo Dock Status'!I184)</f>
        <v/>
      </c>
      <c r="J184" s="1" t="str">
        <f>IF(ISBLANK('Apollo Dock Status'!J184),"",'Apollo Dock Status'!J184)</f>
        <v/>
      </c>
      <c r="K184" s="1" t="str">
        <f>IF(ISBLANK('Apollo Dock Status'!K184),"",'Apollo Dock Status'!K184)</f>
        <v/>
      </c>
      <c r="L184" s="1" t="str">
        <f>IF(ISBLANK('Apollo Dock Status'!L184),"",'Apollo Dock Status'!L184)</f>
        <v/>
      </c>
      <c r="M184" s="1" t="str">
        <f>IF(ISBLANK('Apollo Dock Status'!M184),"",'Apollo Dock Status'!M184)</f>
        <v/>
      </c>
      <c r="N184" s="1" t="str">
        <f>IF(ISBLANK('Apollo Dock Status'!N184),"",'Apollo Dock Status'!N184)</f>
        <v/>
      </c>
      <c r="O184" s="1" t="str">
        <f t="shared" si="167"/>
        <v/>
      </c>
      <c r="P184" s="1" t="str">
        <f t="shared" si="168"/>
        <v/>
      </c>
      <c r="Q184" s="1" t="str">
        <f t="shared" si="169"/>
        <v/>
      </c>
      <c r="R184" s="1" t="str">
        <f t="shared" si="170"/>
        <v/>
      </c>
      <c r="S184" s="11" t="str">
        <f t="shared" si="171"/>
        <v/>
      </c>
      <c r="T184" s="1" t="str">
        <f t="shared" si="172"/>
        <v/>
      </c>
      <c r="U184" s="11" t="str">
        <f t="shared" si="173"/>
        <v/>
      </c>
      <c r="V184" s="11" t="str">
        <f t="shared" si="174"/>
        <v/>
      </c>
      <c r="X184" s="1" t="str">
        <f t="shared" si="175"/>
        <v/>
      </c>
      <c r="Y184" s="1" t="str">
        <f t="shared" si="176"/>
        <v/>
      </c>
      <c r="Z184" s="1" t="str">
        <f t="shared" si="177"/>
        <v/>
      </c>
      <c r="AB184" s="13">
        <f t="shared" ca="1" si="178"/>
        <v>46176</v>
      </c>
      <c r="AC184" s="1">
        <f t="shared" ca="1" si="179"/>
        <v>2026</v>
      </c>
      <c r="AD184" s="1" t="str">
        <f t="shared" ca="1" si="180"/>
        <v>6</v>
      </c>
      <c r="AE184" s="1">
        <f t="shared" si="181"/>
        <v>1</v>
      </c>
      <c r="AF184" s="1" t="str">
        <f t="shared" si="182"/>
        <v/>
      </c>
      <c r="AG184" s="1">
        <f t="shared" ca="1" si="183"/>
        <v>2026</v>
      </c>
      <c r="AH184" s="1">
        <f t="shared" si="184"/>
        <v>1</v>
      </c>
      <c r="AI184" s="1" t="str">
        <f t="shared" ca="1" si="185"/>
        <v>6</v>
      </c>
      <c r="AJ184" s="13" t="e">
        <f t="shared" ca="1" si="186"/>
        <v>#VALUE!</v>
      </c>
      <c r="AK184" s="1" t="e">
        <f>IF(ISBLANK(A184),"",IFERROR(MID(F184,SEARCH(", ",F184)+LEN(", "),SEARCH(" "&amp;'Exception Stores'!$A$2,F184)-SEARCH(", ",F184)-LEN(", ")),MID(F184,SEARCH(", ",F184)+LEN(", "),SEARCH(" "&amp;'Exception Stores'!$B$2,F184)-SEARCH(", ",F184)-LEN(", "))))</f>
        <v>#VALUE!</v>
      </c>
      <c r="AL184" s="1" t="e">
        <f t="shared" si="187"/>
        <v>#VALUE!</v>
      </c>
      <c r="AM184" s="15" t="e">
        <f t="shared" ca="1" si="188"/>
        <v>#VALUE!</v>
      </c>
      <c r="AN184" s="24" t="e">
        <f t="shared" ca="1" si="189"/>
        <v>#VALUE!</v>
      </c>
      <c r="AO184" s="1" t="e">
        <f t="shared" ca="1" si="190"/>
        <v>#VALUE!</v>
      </c>
      <c r="AP184" s="13" t="e">
        <f t="shared" ca="1" si="191"/>
        <v>#VALUE!</v>
      </c>
      <c r="AQ184" s="17" t="e">
        <f t="shared" ca="1" si="192"/>
        <v>#VALUE!</v>
      </c>
      <c r="AS184" s="15" t="e">
        <f t="shared" ca="1" si="193"/>
        <v>#VALUE!</v>
      </c>
      <c r="AT184" s="5">
        <f>'Exception Stores'!$D$2</f>
        <v>0.125</v>
      </c>
      <c r="AU184" s="15" t="e">
        <f t="shared" ca="1" si="194"/>
        <v>#VALUE!</v>
      </c>
      <c r="AV184" s="15" t="e">
        <f t="shared" ca="1" si="195"/>
        <v>#VALUE!</v>
      </c>
      <c r="AW184" s="15" t="e">
        <f t="shared" ca="1" si="196"/>
        <v>#VALUE!</v>
      </c>
      <c r="AX184" s="15" t="e">
        <f t="shared" ca="1" si="197"/>
        <v>#VALUE!</v>
      </c>
      <c r="AY184" s="15" t="e">
        <f t="shared" ca="1" si="198"/>
        <v>#VALUE!</v>
      </c>
      <c r="AZ184" s="1" t="e">
        <f t="shared" ca="1" si="199"/>
        <v>#VALUE!</v>
      </c>
      <c r="BA184" s="15" t="e">
        <f t="shared" ca="1" si="200"/>
        <v>#VALUE!</v>
      </c>
      <c r="BB184" s="15" t="e">
        <f t="shared" ca="1" si="201"/>
        <v>#VALUE!</v>
      </c>
      <c r="BC184" s="1" t="e">
        <f t="shared" ca="1" si="202"/>
        <v>#VALUE!</v>
      </c>
      <c r="BE184" s="15" t="str">
        <f>IF(ISBLANK('Exception Stores'!$A$6),"",'Exception Stores'!$A$6)</f>
        <v/>
      </c>
      <c r="BF184" s="15" t="str">
        <f>IF(ISBLANK('Exception Stores'!$B$6),"",'Exception Stores'!$B$6)</f>
        <v/>
      </c>
      <c r="BG184" s="1">
        <f>IF(ISBLANK('Exception Stores'!$A$6),0,IF($AN$2&gt;$BF$2,($AN$2-$BF$2)*24,0))</f>
        <v>0</v>
      </c>
      <c r="BH184" s="11">
        <f>IF(ISBLANK('Exception Stores'!$A$6),0,($BF$2-$BE$2)*24)</f>
        <v>0</v>
      </c>
      <c r="BI18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84" s="1">
        <f>IF(ISBLANK('Exception Stores'!$A$6),0,IF($AN$2&gt;$BF$2,0,IF(AND($AN$2&lt;$BF$2,$BT$2="B"),(($BF$2-$AN$2)*24)-$BS$2,($BF$2-$AN$2)*24)))</f>
        <v>0</v>
      </c>
      <c r="BL184" s="5"/>
      <c r="BM184" s="5"/>
      <c r="BN184" s="5"/>
      <c r="BO184" s="5"/>
      <c r="BP184" s="5"/>
      <c r="BV184" s="1" t="e">
        <f t="shared" ca="1" si="203"/>
        <v>#VALUE!</v>
      </c>
      <c r="BW184" s="1" t="e">
        <f t="shared" ca="1" si="204"/>
        <v>#VALUE!</v>
      </c>
      <c r="BX184" s="1" t="e">
        <f t="shared" ca="1" si="205"/>
        <v>#VALUE!</v>
      </c>
      <c r="BY184" s="1" t="e">
        <f t="shared" ca="1" si="206"/>
        <v>#VALUE!</v>
      </c>
      <c r="BZ184" s="1" t="e">
        <f t="shared" ca="1" si="207"/>
        <v>#VALUE!</v>
      </c>
      <c r="CB184" s="1" t="str">
        <f>IF(ISBLANK('Exception Stores'!$A$6),"",WEEKDAY($BF$2))</f>
        <v/>
      </c>
      <c r="CC184" s="1" t="str">
        <f>IF(ISBLANK('Exception Stores'!$A$6),"NO",IF('Exception Stores'!$A$6&lt;$AU$2,"YES","NO"))</f>
        <v>NO</v>
      </c>
      <c r="CD184" s="1" t="str">
        <f>IF(ISBLANK('Exception Stores'!$A$6),"NO",IF('Exception Stores'!$A$6&lt;$AV$2,"YES","NO"))</f>
        <v>NO</v>
      </c>
      <c r="CE184" s="1" t="str">
        <f>IF(ISBLANK('Exception Stores'!$A$6),"NO",IF('Exception Stores'!$A$6&lt;$AW$2,"YES","NO"))</f>
        <v>NO</v>
      </c>
      <c r="CF184" s="1" t="str">
        <f>IF(ISBLANK('Exception Stores'!$A$6),"NO",IF('Exception Stores'!$A$6&lt;$AX$2,"YES","NO"))</f>
        <v>NO</v>
      </c>
      <c r="CG184" s="1" t="str">
        <f>IF(ISBLANK('Exception Stores'!$A$6),"NO",IF('Exception Stores'!$A$6&lt;$AY$2,"YES","NO"))</f>
        <v>NO</v>
      </c>
      <c r="CI184" s="42" t="str">
        <f>IF(ISBLANK('Exception Stores'!$B$6),"NO",IF('Exception Stores'!$B$6&lt;=$AU$2,"YES","NO"))</f>
        <v>NO</v>
      </c>
      <c r="CJ184" s="42" t="str">
        <f>IF(ISBLANK('Exception Stores'!$B$6),"NO",IF('Exception Stores'!$B$6&lt;=$AV$2,"YES","NO"))</f>
        <v>NO</v>
      </c>
      <c r="CK184" s="1" t="str">
        <f>IF(ISBLANK('Exception Stores'!$B$6),"NO",IF('Exception Stores'!$B$6&lt;=$AW$2,"YES","NO"))</f>
        <v>NO</v>
      </c>
      <c r="CL184" s="1" t="str">
        <f>IF(ISBLANK('Exception Stores'!$B$6),"NO",IF('Exception Stores'!$B$6&lt;=$AX$2,"YES","NO"))</f>
        <v>NO</v>
      </c>
      <c r="CM184" s="1" t="str">
        <f>IF(ISBLANK('Exception Stores'!$B$6),"NO",IF('Exception Stores'!$B$6&lt;=$AY$2,"YES","NO"))</f>
        <v>NO</v>
      </c>
      <c r="CO184" s="1" t="e">
        <f ca="1">IF(AM184&lt;'Exception Stores'!$A$6,"YES","NO")</f>
        <v>#VALUE!</v>
      </c>
      <c r="CP184" s="1">
        <f t="shared" si="208"/>
        <v>0</v>
      </c>
      <c r="CQ184" s="1">
        <f t="shared" si="209"/>
        <v>0</v>
      </c>
      <c r="CR184" s="1">
        <f t="shared" si="210"/>
        <v>0</v>
      </c>
      <c r="CS184" s="1">
        <f t="shared" si="211"/>
        <v>0</v>
      </c>
      <c r="CT184" s="1">
        <f t="shared" si="212"/>
        <v>0</v>
      </c>
      <c r="CU184" s="1">
        <f t="shared" si="213"/>
        <v>0</v>
      </c>
      <c r="CW184" s="1" t="e">
        <f t="shared" ca="1" si="218"/>
        <v>#VALUE!</v>
      </c>
      <c r="CX184" s="1" t="e">
        <f t="shared" ca="1" si="219"/>
        <v>#VALUE!</v>
      </c>
      <c r="CY184" s="1" t="e">
        <f t="shared" ca="1" si="220"/>
        <v>#VALUE!</v>
      </c>
      <c r="CZ184" s="1" t="e">
        <f t="shared" ca="1" si="221"/>
        <v>#VALUE!</v>
      </c>
      <c r="DA184" s="1" t="e">
        <f t="shared" ca="1" si="222"/>
        <v>#VALUE!</v>
      </c>
      <c r="DB184" s="26" t="e">
        <f t="shared" ca="1" si="214"/>
        <v>#VALUE!</v>
      </c>
      <c r="DC184" s="1">
        <f t="shared" si="223"/>
        <v>0</v>
      </c>
      <c r="DD184" s="1">
        <f t="shared" si="224"/>
        <v>0</v>
      </c>
      <c r="DE184" s="1">
        <f t="shared" si="225"/>
        <v>0</v>
      </c>
      <c r="DF184" s="1">
        <f t="shared" si="226"/>
        <v>0</v>
      </c>
      <c r="DG184" s="1">
        <f t="shared" si="227"/>
        <v>0</v>
      </c>
      <c r="DH184" s="26">
        <f t="shared" si="215"/>
        <v>0</v>
      </c>
      <c r="DI184" s="1" t="e">
        <f t="shared" ca="1" si="216"/>
        <v>#VALUE!</v>
      </c>
      <c r="DK184" s="11" t="str">
        <f t="shared" si="228"/>
        <v/>
      </c>
      <c r="DL184" s="11" t="e">
        <f ca="1">IF(AND(NOT(ISBLANK('Exception Stores'!$A$6)),CO184="YES"),S184-$BH$2-(DI184*$BS$2)-(CU184*$BS$2),S184-(DB184*$BS$2))</f>
        <v>#VALUE!</v>
      </c>
      <c r="DM184" s="11" t="str">
        <f>IF(ISBLANK(A184),"",IF(COUNTIF(Remaps!$A$2:$A$200,B184)&gt;0,"YES",""))</f>
        <v>YES</v>
      </c>
      <c r="DN184" s="29">
        <f>IFERROR(INDEX(Remaps!$B$2:$B$200,MATCH(B184,Remaps!$A$2:$A$200,0),1),0)</f>
        <v>0</v>
      </c>
      <c r="DO184" s="11" t="e">
        <f t="shared" ca="1" si="229"/>
        <v>#VALUE!</v>
      </c>
      <c r="DP184" s="29" t="e">
        <f t="shared" si="230"/>
        <v>#VALUE!</v>
      </c>
      <c r="DQ184" s="11" t="e">
        <f ca="1">('Apollo Dock Status'!$Z$1-DP184)/DO184</f>
        <v>#VALUE!</v>
      </c>
      <c r="DR184" s="15" t="e">
        <f t="shared" ca="1" si="217"/>
        <v>#VALUE!</v>
      </c>
    </row>
    <row r="185" spans="1:122">
      <c r="A185" s="1" t="str">
        <f>IF(ISBLANK('Apollo Dock Status'!A185),"",'Apollo Dock Status'!A185)</f>
        <v/>
      </c>
      <c r="B185" s="1" t="str">
        <f>IF(ISBLANK('Apollo Dock Status'!B185),"",'Apollo Dock Status'!B185)</f>
        <v/>
      </c>
      <c r="C185" s="1" t="str">
        <f>IF(ISBLANK('Apollo Dock Status'!C185),"",'Apollo Dock Status'!C185)</f>
        <v/>
      </c>
      <c r="D185" s="1" t="str">
        <f>IF(ISBLANK('Apollo Dock Status'!D185),"",'Apollo Dock Status'!D185)</f>
        <v/>
      </c>
      <c r="E185" s="1" t="str">
        <f>IF(ISBLANK('Apollo Dock Status'!E185),"",'Apollo Dock Status'!E185)</f>
        <v/>
      </c>
      <c r="F185" s="1" t="str">
        <f>IF(ISBLANK('Apollo Dock Status'!F185),"",'Apollo Dock Status'!F185)</f>
        <v/>
      </c>
      <c r="G185" s="1" t="str">
        <f>IF(ISBLANK('Apollo Dock Status'!G185),"",'Apollo Dock Status'!G185)</f>
        <v/>
      </c>
      <c r="H185" s="1" t="str">
        <f>IF(ISBLANK('Apollo Dock Status'!H185),"",'Apollo Dock Status'!H185)</f>
        <v/>
      </c>
      <c r="I185" s="1" t="str">
        <f>IF(ISBLANK('Apollo Dock Status'!I185),"",'Apollo Dock Status'!I185)</f>
        <v/>
      </c>
      <c r="J185" s="1" t="str">
        <f>IF(ISBLANK('Apollo Dock Status'!J185),"",'Apollo Dock Status'!J185)</f>
        <v/>
      </c>
      <c r="K185" s="1" t="str">
        <f>IF(ISBLANK('Apollo Dock Status'!K185),"",'Apollo Dock Status'!K185)</f>
        <v/>
      </c>
      <c r="L185" s="1" t="str">
        <f>IF(ISBLANK('Apollo Dock Status'!L185),"",'Apollo Dock Status'!L185)</f>
        <v/>
      </c>
      <c r="M185" s="1" t="str">
        <f>IF(ISBLANK('Apollo Dock Status'!M185),"",'Apollo Dock Status'!M185)</f>
        <v/>
      </c>
      <c r="N185" s="1" t="str">
        <f>IF(ISBLANK('Apollo Dock Status'!N185),"",'Apollo Dock Status'!N185)</f>
        <v/>
      </c>
      <c r="O185" s="1" t="str">
        <f t="shared" si="167"/>
        <v/>
      </c>
      <c r="P185" s="1" t="str">
        <f t="shared" si="168"/>
        <v/>
      </c>
      <c r="Q185" s="1" t="str">
        <f t="shared" si="169"/>
        <v/>
      </c>
      <c r="R185" s="1" t="str">
        <f t="shared" si="170"/>
        <v/>
      </c>
      <c r="S185" s="11" t="str">
        <f t="shared" si="171"/>
        <v/>
      </c>
      <c r="T185" s="1" t="str">
        <f t="shared" si="172"/>
        <v/>
      </c>
      <c r="U185" s="11" t="str">
        <f t="shared" si="173"/>
        <v/>
      </c>
      <c r="V185" s="11" t="str">
        <f t="shared" si="174"/>
        <v/>
      </c>
      <c r="X185" s="1" t="str">
        <f t="shared" si="175"/>
        <v/>
      </c>
      <c r="Y185" s="1" t="str">
        <f t="shared" si="176"/>
        <v/>
      </c>
      <c r="Z185" s="1" t="str">
        <f t="shared" si="177"/>
        <v/>
      </c>
      <c r="AB185" s="13">
        <f t="shared" ca="1" si="178"/>
        <v>46176</v>
      </c>
      <c r="AC185" s="1">
        <f t="shared" ca="1" si="179"/>
        <v>2026</v>
      </c>
      <c r="AD185" s="1" t="str">
        <f t="shared" ca="1" si="180"/>
        <v>6</v>
      </c>
      <c r="AE185" s="1">
        <f t="shared" si="181"/>
        <v>1</v>
      </c>
      <c r="AF185" s="1" t="str">
        <f t="shared" si="182"/>
        <v/>
      </c>
      <c r="AG185" s="1">
        <f t="shared" ca="1" si="183"/>
        <v>2026</v>
      </c>
      <c r="AH185" s="1">
        <f t="shared" si="184"/>
        <v>1</v>
      </c>
      <c r="AI185" s="1" t="str">
        <f t="shared" ca="1" si="185"/>
        <v>6</v>
      </c>
      <c r="AJ185" s="13" t="e">
        <f t="shared" ca="1" si="186"/>
        <v>#VALUE!</v>
      </c>
      <c r="AK185" s="1" t="e">
        <f>IF(ISBLANK(A185),"",IFERROR(MID(F185,SEARCH(", ",F185)+LEN(", "),SEARCH(" "&amp;'Exception Stores'!$A$2,F185)-SEARCH(", ",F185)-LEN(", ")),MID(F185,SEARCH(", ",F185)+LEN(", "),SEARCH(" "&amp;'Exception Stores'!$B$2,F185)-SEARCH(", ",F185)-LEN(", "))))</f>
        <v>#VALUE!</v>
      </c>
      <c r="AL185" s="1" t="e">
        <f t="shared" si="187"/>
        <v>#VALUE!</v>
      </c>
      <c r="AM185" s="15" t="e">
        <f t="shared" ca="1" si="188"/>
        <v>#VALUE!</v>
      </c>
      <c r="AN185" s="24" t="e">
        <f t="shared" ca="1" si="189"/>
        <v>#VALUE!</v>
      </c>
      <c r="AO185" s="1" t="e">
        <f t="shared" ca="1" si="190"/>
        <v>#VALUE!</v>
      </c>
      <c r="AP185" s="13" t="e">
        <f t="shared" ca="1" si="191"/>
        <v>#VALUE!</v>
      </c>
      <c r="AQ185" s="17" t="e">
        <f t="shared" ca="1" si="192"/>
        <v>#VALUE!</v>
      </c>
      <c r="AS185" s="15" t="e">
        <f t="shared" ca="1" si="193"/>
        <v>#VALUE!</v>
      </c>
      <c r="AT185" s="5">
        <f>'Exception Stores'!$D$2</f>
        <v>0.125</v>
      </c>
      <c r="AU185" s="15" t="e">
        <f t="shared" ca="1" si="194"/>
        <v>#VALUE!</v>
      </c>
      <c r="AV185" s="15" t="e">
        <f t="shared" ca="1" si="195"/>
        <v>#VALUE!</v>
      </c>
      <c r="AW185" s="15" t="e">
        <f t="shared" ca="1" si="196"/>
        <v>#VALUE!</v>
      </c>
      <c r="AX185" s="15" t="e">
        <f t="shared" ca="1" si="197"/>
        <v>#VALUE!</v>
      </c>
      <c r="AY185" s="15" t="e">
        <f t="shared" ca="1" si="198"/>
        <v>#VALUE!</v>
      </c>
      <c r="AZ185" s="1" t="e">
        <f t="shared" ca="1" si="199"/>
        <v>#VALUE!</v>
      </c>
      <c r="BA185" s="15" t="e">
        <f t="shared" ca="1" si="200"/>
        <v>#VALUE!</v>
      </c>
      <c r="BB185" s="15" t="e">
        <f t="shared" ca="1" si="201"/>
        <v>#VALUE!</v>
      </c>
      <c r="BC185" s="1" t="e">
        <f t="shared" ca="1" si="202"/>
        <v>#VALUE!</v>
      </c>
      <c r="BE185" s="15" t="str">
        <f>IF(ISBLANK('Exception Stores'!$A$6),"",'Exception Stores'!$A$6)</f>
        <v/>
      </c>
      <c r="BF185" s="15" t="str">
        <f>IF(ISBLANK('Exception Stores'!$B$6),"",'Exception Stores'!$B$6)</f>
        <v/>
      </c>
      <c r="BG185" s="1">
        <f>IF(ISBLANK('Exception Stores'!$A$6),0,IF($AN$2&gt;$BF$2,($AN$2-$BF$2)*24,0))</f>
        <v>0</v>
      </c>
      <c r="BH185" s="11">
        <f>IF(ISBLANK('Exception Stores'!$A$6),0,($BF$2-$BE$2)*24)</f>
        <v>0</v>
      </c>
      <c r="BI18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85" s="1">
        <f>IF(ISBLANK('Exception Stores'!$A$6),0,IF($AN$2&gt;$BF$2,0,IF(AND($AN$2&lt;$BF$2,$BT$2="B"),(($BF$2-$AN$2)*24)-$BS$2,($BF$2-$AN$2)*24)))</f>
        <v>0</v>
      </c>
      <c r="BL185" s="5"/>
      <c r="BM185" s="5"/>
      <c r="BN185" s="5"/>
      <c r="BO185" s="5"/>
      <c r="BP185" s="5"/>
      <c r="BV185" s="1" t="e">
        <f t="shared" ca="1" si="203"/>
        <v>#VALUE!</v>
      </c>
      <c r="BW185" s="1" t="e">
        <f t="shared" ca="1" si="204"/>
        <v>#VALUE!</v>
      </c>
      <c r="BX185" s="1" t="e">
        <f t="shared" ca="1" si="205"/>
        <v>#VALUE!</v>
      </c>
      <c r="BY185" s="1" t="e">
        <f t="shared" ca="1" si="206"/>
        <v>#VALUE!</v>
      </c>
      <c r="BZ185" s="1" t="e">
        <f t="shared" ca="1" si="207"/>
        <v>#VALUE!</v>
      </c>
      <c r="CB185" s="1" t="str">
        <f>IF(ISBLANK('Exception Stores'!$A$6),"",WEEKDAY($BF$2))</f>
        <v/>
      </c>
      <c r="CC185" s="1" t="str">
        <f>IF(ISBLANK('Exception Stores'!$A$6),"NO",IF('Exception Stores'!$A$6&lt;$AU$2,"YES","NO"))</f>
        <v>NO</v>
      </c>
      <c r="CD185" s="1" t="str">
        <f>IF(ISBLANK('Exception Stores'!$A$6),"NO",IF('Exception Stores'!$A$6&lt;$AV$2,"YES","NO"))</f>
        <v>NO</v>
      </c>
      <c r="CE185" s="1" t="str">
        <f>IF(ISBLANK('Exception Stores'!$A$6),"NO",IF('Exception Stores'!$A$6&lt;$AW$2,"YES","NO"))</f>
        <v>NO</v>
      </c>
      <c r="CF185" s="1" t="str">
        <f>IF(ISBLANK('Exception Stores'!$A$6),"NO",IF('Exception Stores'!$A$6&lt;$AX$2,"YES","NO"))</f>
        <v>NO</v>
      </c>
      <c r="CG185" s="1" t="str">
        <f>IF(ISBLANK('Exception Stores'!$A$6),"NO",IF('Exception Stores'!$A$6&lt;$AY$2,"YES","NO"))</f>
        <v>NO</v>
      </c>
      <c r="CI185" s="42" t="str">
        <f>IF(ISBLANK('Exception Stores'!$B$6),"NO",IF('Exception Stores'!$B$6&lt;=$AU$2,"YES","NO"))</f>
        <v>NO</v>
      </c>
      <c r="CJ185" s="42" t="str">
        <f>IF(ISBLANK('Exception Stores'!$B$6),"NO",IF('Exception Stores'!$B$6&lt;=$AV$2,"YES","NO"))</f>
        <v>NO</v>
      </c>
      <c r="CK185" s="1" t="str">
        <f>IF(ISBLANK('Exception Stores'!$B$6),"NO",IF('Exception Stores'!$B$6&lt;=$AW$2,"YES","NO"))</f>
        <v>NO</v>
      </c>
      <c r="CL185" s="1" t="str">
        <f>IF(ISBLANK('Exception Stores'!$B$6),"NO",IF('Exception Stores'!$B$6&lt;=$AX$2,"YES","NO"))</f>
        <v>NO</v>
      </c>
      <c r="CM185" s="1" t="str">
        <f>IF(ISBLANK('Exception Stores'!$B$6),"NO",IF('Exception Stores'!$B$6&lt;=$AY$2,"YES","NO"))</f>
        <v>NO</v>
      </c>
      <c r="CO185" s="1" t="e">
        <f ca="1">IF(AM185&lt;'Exception Stores'!$A$6,"YES","NO")</f>
        <v>#VALUE!</v>
      </c>
      <c r="CP185" s="1">
        <f t="shared" si="208"/>
        <v>0</v>
      </c>
      <c r="CQ185" s="1">
        <f t="shared" si="209"/>
        <v>0</v>
      </c>
      <c r="CR185" s="1">
        <f t="shared" si="210"/>
        <v>0</v>
      </c>
      <c r="CS185" s="1">
        <f t="shared" si="211"/>
        <v>0</v>
      </c>
      <c r="CT185" s="1">
        <f t="shared" si="212"/>
        <v>0</v>
      </c>
      <c r="CU185" s="1">
        <f t="shared" si="213"/>
        <v>0</v>
      </c>
      <c r="CW185" s="1" t="e">
        <f t="shared" ca="1" si="218"/>
        <v>#VALUE!</v>
      </c>
      <c r="CX185" s="1" t="e">
        <f t="shared" ca="1" si="219"/>
        <v>#VALUE!</v>
      </c>
      <c r="CY185" s="1" t="e">
        <f t="shared" ca="1" si="220"/>
        <v>#VALUE!</v>
      </c>
      <c r="CZ185" s="1" t="e">
        <f t="shared" ca="1" si="221"/>
        <v>#VALUE!</v>
      </c>
      <c r="DA185" s="1" t="e">
        <f t="shared" ca="1" si="222"/>
        <v>#VALUE!</v>
      </c>
      <c r="DB185" s="26" t="e">
        <f t="shared" ca="1" si="214"/>
        <v>#VALUE!</v>
      </c>
      <c r="DC185" s="1">
        <f t="shared" si="223"/>
        <v>0</v>
      </c>
      <c r="DD185" s="1">
        <f t="shared" si="224"/>
        <v>0</v>
      </c>
      <c r="DE185" s="1">
        <f t="shared" si="225"/>
        <v>0</v>
      </c>
      <c r="DF185" s="1">
        <f t="shared" si="226"/>
        <v>0</v>
      </c>
      <c r="DG185" s="1">
        <f t="shared" si="227"/>
        <v>0</v>
      </c>
      <c r="DH185" s="26">
        <f t="shared" si="215"/>
        <v>0</v>
      </c>
      <c r="DI185" s="1" t="e">
        <f t="shared" ca="1" si="216"/>
        <v>#VALUE!</v>
      </c>
      <c r="DK185" s="11" t="str">
        <f t="shared" si="228"/>
        <v/>
      </c>
      <c r="DL185" s="11" t="e">
        <f ca="1">IF(AND(NOT(ISBLANK('Exception Stores'!$A$6)),CO185="YES"),S185-$BH$2-(DI185*$BS$2)-(CU185*$BS$2),S185-(DB185*$BS$2))</f>
        <v>#VALUE!</v>
      </c>
      <c r="DM185" s="11" t="str">
        <f>IF(ISBLANK(A185),"",IF(COUNTIF(Remaps!$A$2:$A$200,B185)&gt;0,"YES",""))</f>
        <v>YES</v>
      </c>
      <c r="DN185" s="29">
        <f>IFERROR(INDEX(Remaps!$B$2:$B$200,MATCH(B185,Remaps!$A$2:$A$200,0),1),0)</f>
        <v>0</v>
      </c>
      <c r="DO185" s="11" t="e">
        <f t="shared" ca="1" si="229"/>
        <v>#VALUE!</v>
      </c>
      <c r="DP185" s="29" t="e">
        <f t="shared" si="230"/>
        <v>#VALUE!</v>
      </c>
      <c r="DQ185" s="11" t="e">
        <f ca="1">('Apollo Dock Status'!$Z$1-DP185)/DO185</f>
        <v>#VALUE!</v>
      </c>
      <c r="DR185" s="15" t="e">
        <f t="shared" ca="1" si="217"/>
        <v>#VALUE!</v>
      </c>
    </row>
    <row r="186" spans="1:122">
      <c r="A186" s="1" t="str">
        <f>IF(ISBLANK('Apollo Dock Status'!A186),"",'Apollo Dock Status'!A186)</f>
        <v/>
      </c>
      <c r="B186" s="1" t="str">
        <f>IF(ISBLANK('Apollo Dock Status'!B186),"",'Apollo Dock Status'!B186)</f>
        <v/>
      </c>
      <c r="C186" s="1" t="str">
        <f>IF(ISBLANK('Apollo Dock Status'!C186),"",'Apollo Dock Status'!C186)</f>
        <v/>
      </c>
      <c r="D186" s="1" t="str">
        <f>IF(ISBLANK('Apollo Dock Status'!D186),"",'Apollo Dock Status'!D186)</f>
        <v/>
      </c>
      <c r="E186" s="1" t="str">
        <f>IF(ISBLANK('Apollo Dock Status'!E186),"",'Apollo Dock Status'!E186)</f>
        <v/>
      </c>
      <c r="F186" s="1" t="str">
        <f>IF(ISBLANK('Apollo Dock Status'!F186),"",'Apollo Dock Status'!F186)</f>
        <v/>
      </c>
      <c r="G186" s="1" t="str">
        <f>IF(ISBLANK('Apollo Dock Status'!G186),"",'Apollo Dock Status'!G186)</f>
        <v/>
      </c>
      <c r="H186" s="1" t="str">
        <f>IF(ISBLANK('Apollo Dock Status'!H186),"",'Apollo Dock Status'!H186)</f>
        <v/>
      </c>
      <c r="I186" s="1" t="str">
        <f>IF(ISBLANK('Apollo Dock Status'!I186),"",'Apollo Dock Status'!I186)</f>
        <v/>
      </c>
      <c r="J186" s="1" t="str">
        <f>IF(ISBLANK('Apollo Dock Status'!J186),"",'Apollo Dock Status'!J186)</f>
        <v/>
      </c>
      <c r="K186" s="1" t="str">
        <f>IF(ISBLANK('Apollo Dock Status'!K186),"",'Apollo Dock Status'!K186)</f>
        <v/>
      </c>
      <c r="L186" s="1" t="str">
        <f>IF(ISBLANK('Apollo Dock Status'!L186),"",'Apollo Dock Status'!L186)</f>
        <v/>
      </c>
      <c r="M186" s="1" t="str">
        <f>IF(ISBLANK('Apollo Dock Status'!M186),"",'Apollo Dock Status'!M186)</f>
        <v/>
      </c>
      <c r="N186" s="1" t="str">
        <f>IF(ISBLANK('Apollo Dock Status'!N186),"",'Apollo Dock Status'!N186)</f>
        <v/>
      </c>
      <c r="O186" s="1" t="str">
        <f t="shared" si="167"/>
        <v/>
      </c>
      <c r="P186" s="1" t="str">
        <f t="shared" si="168"/>
        <v/>
      </c>
      <c r="Q186" s="1" t="str">
        <f t="shared" si="169"/>
        <v/>
      </c>
      <c r="R186" s="1" t="str">
        <f t="shared" si="170"/>
        <v/>
      </c>
      <c r="S186" s="11" t="str">
        <f t="shared" si="171"/>
        <v/>
      </c>
      <c r="T186" s="1" t="str">
        <f t="shared" si="172"/>
        <v/>
      </c>
      <c r="U186" s="11" t="str">
        <f t="shared" si="173"/>
        <v/>
      </c>
      <c r="V186" s="11" t="str">
        <f t="shared" si="174"/>
        <v/>
      </c>
      <c r="X186" s="1" t="str">
        <f t="shared" si="175"/>
        <v/>
      </c>
      <c r="Y186" s="1" t="str">
        <f t="shared" si="176"/>
        <v/>
      </c>
      <c r="Z186" s="1" t="str">
        <f t="shared" si="177"/>
        <v/>
      </c>
      <c r="AB186" s="13">
        <f t="shared" ca="1" si="178"/>
        <v>46176</v>
      </c>
      <c r="AC186" s="1">
        <f t="shared" ca="1" si="179"/>
        <v>2026</v>
      </c>
      <c r="AD186" s="1" t="str">
        <f t="shared" ca="1" si="180"/>
        <v>6</v>
      </c>
      <c r="AE186" s="1">
        <f t="shared" si="181"/>
        <v>1</v>
      </c>
      <c r="AF186" s="1" t="str">
        <f t="shared" si="182"/>
        <v/>
      </c>
      <c r="AG186" s="1">
        <f t="shared" ca="1" si="183"/>
        <v>2026</v>
      </c>
      <c r="AH186" s="1">
        <f t="shared" si="184"/>
        <v>1</v>
      </c>
      <c r="AI186" s="1" t="str">
        <f t="shared" ca="1" si="185"/>
        <v>6</v>
      </c>
      <c r="AJ186" s="13" t="e">
        <f t="shared" ca="1" si="186"/>
        <v>#VALUE!</v>
      </c>
      <c r="AK186" s="1" t="e">
        <f>IF(ISBLANK(A186),"",IFERROR(MID(F186,SEARCH(", ",F186)+LEN(", "),SEARCH(" "&amp;'Exception Stores'!$A$2,F186)-SEARCH(", ",F186)-LEN(", ")),MID(F186,SEARCH(", ",F186)+LEN(", "),SEARCH(" "&amp;'Exception Stores'!$B$2,F186)-SEARCH(", ",F186)-LEN(", "))))</f>
        <v>#VALUE!</v>
      </c>
      <c r="AL186" s="1" t="e">
        <f t="shared" si="187"/>
        <v>#VALUE!</v>
      </c>
      <c r="AM186" s="15" t="e">
        <f t="shared" ca="1" si="188"/>
        <v>#VALUE!</v>
      </c>
      <c r="AN186" s="24" t="e">
        <f t="shared" ca="1" si="189"/>
        <v>#VALUE!</v>
      </c>
      <c r="AO186" s="1" t="e">
        <f t="shared" ca="1" si="190"/>
        <v>#VALUE!</v>
      </c>
      <c r="AP186" s="13" t="e">
        <f t="shared" ca="1" si="191"/>
        <v>#VALUE!</v>
      </c>
      <c r="AQ186" s="17" t="e">
        <f t="shared" ca="1" si="192"/>
        <v>#VALUE!</v>
      </c>
      <c r="AS186" s="15" t="e">
        <f t="shared" ca="1" si="193"/>
        <v>#VALUE!</v>
      </c>
      <c r="AT186" s="5">
        <f>'Exception Stores'!$D$2</f>
        <v>0.125</v>
      </c>
      <c r="AU186" s="15" t="e">
        <f t="shared" ca="1" si="194"/>
        <v>#VALUE!</v>
      </c>
      <c r="AV186" s="15" t="e">
        <f t="shared" ca="1" si="195"/>
        <v>#VALUE!</v>
      </c>
      <c r="AW186" s="15" t="e">
        <f t="shared" ca="1" si="196"/>
        <v>#VALUE!</v>
      </c>
      <c r="AX186" s="15" t="e">
        <f t="shared" ca="1" si="197"/>
        <v>#VALUE!</v>
      </c>
      <c r="AY186" s="15" t="e">
        <f t="shared" ca="1" si="198"/>
        <v>#VALUE!</v>
      </c>
      <c r="AZ186" s="1" t="e">
        <f t="shared" ca="1" si="199"/>
        <v>#VALUE!</v>
      </c>
      <c r="BA186" s="15" t="e">
        <f t="shared" ca="1" si="200"/>
        <v>#VALUE!</v>
      </c>
      <c r="BB186" s="15" t="e">
        <f t="shared" ca="1" si="201"/>
        <v>#VALUE!</v>
      </c>
      <c r="BC186" s="1" t="e">
        <f t="shared" ca="1" si="202"/>
        <v>#VALUE!</v>
      </c>
      <c r="BE186" s="15" t="str">
        <f>IF(ISBLANK('Exception Stores'!$A$6),"",'Exception Stores'!$A$6)</f>
        <v/>
      </c>
      <c r="BF186" s="15" t="str">
        <f>IF(ISBLANK('Exception Stores'!$B$6),"",'Exception Stores'!$B$6)</f>
        <v/>
      </c>
      <c r="BG186" s="1">
        <f>IF(ISBLANK('Exception Stores'!$A$6),0,IF($AN$2&gt;$BF$2,($AN$2-$BF$2)*24,0))</f>
        <v>0</v>
      </c>
      <c r="BH186" s="11">
        <f>IF(ISBLANK('Exception Stores'!$A$6),0,($BF$2-$BE$2)*24)</f>
        <v>0</v>
      </c>
      <c r="BI18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86" s="1">
        <f>IF(ISBLANK('Exception Stores'!$A$6),0,IF($AN$2&gt;$BF$2,0,IF(AND($AN$2&lt;$BF$2,$BT$2="B"),(($BF$2-$AN$2)*24)-$BS$2,($BF$2-$AN$2)*24)))</f>
        <v>0</v>
      </c>
      <c r="BL186" s="5"/>
      <c r="BM186" s="5"/>
      <c r="BN186" s="5"/>
      <c r="BO186" s="5"/>
      <c r="BP186" s="5"/>
      <c r="BV186" s="1" t="e">
        <f t="shared" ca="1" si="203"/>
        <v>#VALUE!</v>
      </c>
      <c r="BW186" s="1" t="e">
        <f t="shared" ca="1" si="204"/>
        <v>#VALUE!</v>
      </c>
      <c r="BX186" s="1" t="e">
        <f t="shared" ca="1" si="205"/>
        <v>#VALUE!</v>
      </c>
      <c r="BY186" s="1" t="e">
        <f t="shared" ca="1" si="206"/>
        <v>#VALUE!</v>
      </c>
      <c r="BZ186" s="1" t="e">
        <f t="shared" ca="1" si="207"/>
        <v>#VALUE!</v>
      </c>
      <c r="CB186" s="1" t="str">
        <f>IF(ISBLANK('Exception Stores'!$A$6),"",WEEKDAY($BF$2))</f>
        <v/>
      </c>
      <c r="CC186" s="1" t="str">
        <f>IF(ISBLANK('Exception Stores'!$A$6),"NO",IF('Exception Stores'!$A$6&lt;$AU$2,"YES","NO"))</f>
        <v>NO</v>
      </c>
      <c r="CD186" s="1" t="str">
        <f>IF(ISBLANK('Exception Stores'!$A$6),"NO",IF('Exception Stores'!$A$6&lt;$AV$2,"YES","NO"))</f>
        <v>NO</v>
      </c>
      <c r="CE186" s="1" t="str">
        <f>IF(ISBLANK('Exception Stores'!$A$6),"NO",IF('Exception Stores'!$A$6&lt;$AW$2,"YES","NO"))</f>
        <v>NO</v>
      </c>
      <c r="CF186" s="1" t="str">
        <f>IF(ISBLANK('Exception Stores'!$A$6),"NO",IF('Exception Stores'!$A$6&lt;$AX$2,"YES","NO"))</f>
        <v>NO</v>
      </c>
      <c r="CG186" s="1" t="str">
        <f>IF(ISBLANK('Exception Stores'!$A$6),"NO",IF('Exception Stores'!$A$6&lt;$AY$2,"YES","NO"))</f>
        <v>NO</v>
      </c>
      <c r="CI186" s="42" t="str">
        <f>IF(ISBLANK('Exception Stores'!$B$6),"NO",IF('Exception Stores'!$B$6&lt;=$AU$2,"YES","NO"))</f>
        <v>NO</v>
      </c>
      <c r="CJ186" s="42" t="str">
        <f>IF(ISBLANK('Exception Stores'!$B$6),"NO",IF('Exception Stores'!$B$6&lt;=$AV$2,"YES","NO"))</f>
        <v>NO</v>
      </c>
      <c r="CK186" s="1" t="str">
        <f>IF(ISBLANK('Exception Stores'!$B$6),"NO",IF('Exception Stores'!$B$6&lt;=$AW$2,"YES","NO"))</f>
        <v>NO</v>
      </c>
      <c r="CL186" s="1" t="str">
        <f>IF(ISBLANK('Exception Stores'!$B$6),"NO",IF('Exception Stores'!$B$6&lt;=$AX$2,"YES","NO"))</f>
        <v>NO</v>
      </c>
      <c r="CM186" s="1" t="str">
        <f>IF(ISBLANK('Exception Stores'!$B$6),"NO",IF('Exception Stores'!$B$6&lt;=$AY$2,"YES","NO"))</f>
        <v>NO</v>
      </c>
      <c r="CO186" s="1" t="e">
        <f ca="1">IF(AM186&lt;'Exception Stores'!$A$6,"YES","NO")</f>
        <v>#VALUE!</v>
      </c>
      <c r="CP186" s="1">
        <f t="shared" si="208"/>
        <v>0</v>
      </c>
      <c r="CQ186" s="1">
        <f t="shared" si="209"/>
        <v>0</v>
      </c>
      <c r="CR186" s="1">
        <f t="shared" si="210"/>
        <v>0</v>
      </c>
      <c r="CS186" s="1">
        <f t="shared" si="211"/>
        <v>0</v>
      </c>
      <c r="CT186" s="1">
        <f t="shared" si="212"/>
        <v>0</v>
      </c>
      <c r="CU186" s="1">
        <f t="shared" si="213"/>
        <v>0</v>
      </c>
      <c r="CW186" s="1" t="e">
        <f t="shared" ca="1" si="218"/>
        <v>#VALUE!</v>
      </c>
      <c r="CX186" s="1" t="e">
        <f t="shared" ca="1" si="219"/>
        <v>#VALUE!</v>
      </c>
      <c r="CY186" s="1" t="e">
        <f t="shared" ca="1" si="220"/>
        <v>#VALUE!</v>
      </c>
      <c r="CZ186" s="1" t="e">
        <f t="shared" ca="1" si="221"/>
        <v>#VALUE!</v>
      </c>
      <c r="DA186" s="1" t="e">
        <f t="shared" ca="1" si="222"/>
        <v>#VALUE!</v>
      </c>
      <c r="DB186" s="26" t="e">
        <f t="shared" ca="1" si="214"/>
        <v>#VALUE!</v>
      </c>
      <c r="DC186" s="1">
        <f t="shared" si="223"/>
        <v>0</v>
      </c>
      <c r="DD186" s="1">
        <f t="shared" si="224"/>
        <v>0</v>
      </c>
      <c r="DE186" s="1">
        <f t="shared" si="225"/>
        <v>0</v>
      </c>
      <c r="DF186" s="1">
        <f t="shared" si="226"/>
        <v>0</v>
      </c>
      <c r="DG186" s="1">
        <f t="shared" si="227"/>
        <v>0</v>
      </c>
      <c r="DH186" s="26">
        <f t="shared" si="215"/>
        <v>0</v>
      </c>
      <c r="DI186" s="1" t="e">
        <f t="shared" ca="1" si="216"/>
        <v>#VALUE!</v>
      </c>
      <c r="DK186" s="11" t="str">
        <f t="shared" si="228"/>
        <v/>
      </c>
      <c r="DL186" s="11" t="e">
        <f ca="1">IF(AND(NOT(ISBLANK('Exception Stores'!$A$6)),CO186="YES"),S186-$BH$2-(DI186*$BS$2)-(CU186*$BS$2),S186-(DB186*$BS$2))</f>
        <v>#VALUE!</v>
      </c>
      <c r="DM186" s="11" t="str">
        <f>IF(ISBLANK(A186),"",IF(COUNTIF(Remaps!$A$2:$A$200,B186)&gt;0,"YES",""))</f>
        <v>YES</v>
      </c>
      <c r="DN186" s="29">
        <f>IFERROR(INDEX(Remaps!$B$2:$B$200,MATCH(B186,Remaps!$A$2:$A$200,0),1),0)</f>
        <v>0</v>
      </c>
      <c r="DO186" s="11" t="e">
        <f t="shared" ca="1" si="229"/>
        <v>#VALUE!</v>
      </c>
      <c r="DP186" s="29" t="e">
        <f t="shared" si="230"/>
        <v>#VALUE!</v>
      </c>
      <c r="DQ186" s="11" t="e">
        <f ca="1">('Apollo Dock Status'!$Z$1-DP186)/DO186</f>
        <v>#VALUE!</v>
      </c>
      <c r="DR186" s="15" t="e">
        <f t="shared" ca="1" si="217"/>
        <v>#VALUE!</v>
      </c>
    </row>
    <row r="187" spans="1:122">
      <c r="A187" s="1" t="str">
        <f>IF(ISBLANK('Apollo Dock Status'!A187),"",'Apollo Dock Status'!A187)</f>
        <v/>
      </c>
      <c r="B187" s="1" t="str">
        <f>IF(ISBLANK('Apollo Dock Status'!B187),"",'Apollo Dock Status'!B187)</f>
        <v/>
      </c>
      <c r="C187" s="1" t="str">
        <f>IF(ISBLANK('Apollo Dock Status'!C187),"",'Apollo Dock Status'!C187)</f>
        <v/>
      </c>
      <c r="D187" s="1" t="str">
        <f>IF(ISBLANK('Apollo Dock Status'!D187),"",'Apollo Dock Status'!D187)</f>
        <v/>
      </c>
      <c r="E187" s="1" t="str">
        <f>IF(ISBLANK('Apollo Dock Status'!E187),"",'Apollo Dock Status'!E187)</f>
        <v/>
      </c>
      <c r="F187" s="1" t="str">
        <f>IF(ISBLANK('Apollo Dock Status'!F187),"",'Apollo Dock Status'!F187)</f>
        <v/>
      </c>
      <c r="G187" s="1" t="str">
        <f>IF(ISBLANK('Apollo Dock Status'!G187),"",'Apollo Dock Status'!G187)</f>
        <v/>
      </c>
      <c r="H187" s="1" t="str">
        <f>IF(ISBLANK('Apollo Dock Status'!H187),"",'Apollo Dock Status'!H187)</f>
        <v/>
      </c>
      <c r="I187" s="1" t="str">
        <f>IF(ISBLANK('Apollo Dock Status'!I187),"",'Apollo Dock Status'!I187)</f>
        <v/>
      </c>
      <c r="J187" s="1" t="str">
        <f>IF(ISBLANK('Apollo Dock Status'!J187),"",'Apollo Dock Status'!J187)</f>
        <v/>
      </c>
      <c r="K187" s="1" t="str">
        <f>IF(ISBLANK('Apollo Dock Status'!K187),"",'Apollo Dock Status'!K187)</f>
        <v/>
      </c>
      <c r="L187" s="1" t="str">
        <f>IF(ISBLANK('Apollo Dock Status'!L187),"",'Apollo Dock Status'!L187)</f>
        <v/>
      </c>
      <c r="M187" s="1" t="str">
        <f>IF(ISBLANK('Apollo Dock Status'!M187),"",'Apollo Dock Status'!M187)</f>
        <v/>
      </c>
      <c r="N187" s="1" t="str">
        <f>IF(ISBLANK('Apollo Dock Status'!N187),"",'Apollo Dock Status'!N187)</f>
        <v/>
      </c>
      <c r="O187" s="1" t="str">
        <f t="shared" si="167"/>
        <v/>
      </c>
      <c r="P187" s="1" t="str">
        <f t="shared" si="168"/>
        <v/>
      </c>
      <c r="Q187" s="1" t="str">
        <f t="shared" si="169"/>
        <v/>
      </c>
      <c r="R187" s="1" t="str">
        <f t="shared" si="170"/>
        <v/>
      </c>
      <c r="S187" s="11" t="str">
        <f t="shared" si="171"/>
        <v/>
      </c>
      <c r="T187" s="1" t="str">
        <f t="shared" si="172"/>
        <v/>
      </c>
      <c r="U187" s="11" t="str">
        <f t="shared" si="173"/>
        <v/>
      </c>
      <c r="V187" s="11" t="str">
        <f t="shared" si="174"/>
        <v/>
      </c>
      <c r="X187" s="1" t="str">
        <f t="shared" si="175"/>
        <v/>
      </c>
      <c r="Y187" s="1" t="str">
        <f t="shared" si="176"/>
        <v/>
      </c>
      <c r="Z187" s="1" t="str">
        <f t="shared" si="177"/>
        <v/>
      </c>
      <c r="AB187" s="13">
        <f t="shared" ca="1" si="178"/>
        <v>46176</v>
      </c>
      <c r="AC187" s="1">
        <f t="shared" ca="1" si="179"/>
        <v>2026</v>
      </c>
      <c r="AD187" s="1" t="str">
        <f t="shared" ca="1" si="180"/>
        <v>6</v>
      </c>
      <c r="AE187" s="1">
        <f t="shared" si="181"/>
        <v>1</v>
      </c>
      <c r="AF187" s="1" t="str">
        <f t="shared" si="182"/>
        <v/>
      </c>
      <c r="AG187" s="1">
        <f t="shared" ca="1" si="183"/>
        <v>2026</v>
      </c>
      <c r="AH187" s="1">
        <f t="shared" si="184"/>
        <v>1</v>
      </c>
      <c r="AI187" s="1" t="str">
        <f t="shared" ca="1" si="185"/>
        <v>6</v>
      </c>
      <c r="AJ187" s="13" t="e">
        <f t="shared" ca="1" si="186"/>
        <v>#VALUE!</v>
      </c>
      <c r="AK187" s="1" t="e">
        <f>IF(ISBLANK(A187),"",IFERROR(MID(F187,SEARCH(", ",F187)+LEN(", "),SEARCH(" "&amp;'Exception Stores'!$A$2,F187)-SEARCH(", ",F187)-LEN(", ")),MID(F187,SEARCH(", ",F187)+LEN(", "),SEARCH(" "&amp;'Exception Stores'!$B$2,F187)-SEARCH(", ",F187)-LEN(", "))))</f>
        <v>#VALUE!</v>
      </c>
      <c r="AL187" s="1" t="e">
        <f t="shared" si="187"/>
        <v>#VALUE!</v>
      </c>
      <c r="AM187" s="15" t="e">
        <f t="shared" ca="1" si="188"/>
        <v>#VALUE!</v>
      </c>
      <c r="AN187" s="24" t="e">
        <f t="shared" ca="1" si="189"/>
        <v>#VALUE!</v>
      </c>
      <c r="AO187" s="1" t="e">
        <f t="shared" ca="1" si="190"/>
        <v>#VALUE!</v>
      </c>
      <c r="AP187" s="13" t="e">
        <f t="shared" ca="1" si="191"/>
        <v>#VALUE!</v>
      </c>
      <c r="AQ187" s="17" t="e">
        <f t="shared" ca="1" si="192"/>
        <v>#VALUE!</v>
      </c>
      <c r="AS187" s="15" t="e">
        <f t="shared" ca="1" si="193"/>
        <v>#VALUE!</v>
      </c>
      <c r="AT187" s="5">
        <f>'Exception Stores'!$D$2</f>
        <v>0.125</v>
      </c>
      <c r="AU187" s="15" t="e">
        <f t="shared" ca="1" si="194"/>
        <v>#VALUE!</v>
      </c>
      <c r="AV187" s="15" t="e">
        <f t="shared" ca="1" si="195"/>
        <v>#VALUE!</v>
      </c>
      <c r="AW187" s="15" t="e">
        <f t="shared" ca="1" si="196"/>
        <v>#VALUE!</v>
      </c>
      <c r="AX187" s="15" t="e">
        <f t="shared" ca="1" si="197"/>
        <v>#VALUE!</v>
      </c>
      <c r="AY187" s="15" t="e">
        <f t="shared" ca="1" si="198"/>
        <v>#VALUE!</v>
      </c>
      <c r="AZ187" s="1" t="e">
        <f t="shared" ca="1" si="199"/>
        <v>#VALUE!</v>
      </c>
      <c r="BA187" s="15" t="e">
        <f t="shared" ca="1" si="200"/>
        <v>#VALUE!</v>
      </c>
      <c r="BB187" s="15" t="e">
        <f t="shared" ca="1" si="201"/>
        <v>#VALUE!</v>
      </c>
      <c r="BC187" s="1" t="e">
        <f t="shared" ca="1" si="202"/>
        <v>#VALUE!</v>
      </c>
      <c r="BE187" s="15" t="str">
        <f>IF(ISBLANK('Exception Stores'!$A$6),"",'Exception Stores'!$A$6)</f>
        <v/>
      </c>
      <c r="BF187" s="15" t="str">
        <f>IF(ISBLANK('Exception Stores'!$B$6),"",'Exception Stores'!$B$6)</f>
        <v/>
      </c>
      <c r="BG187" s="1">
        <f>IF(ISBLANK('Exception Stores'!$A$6),0,IF($AN$2&gt;$BF$2,($AN$2-$BF$2)*24,0))</f>
        <v>0</v>
      </c>
      <c r="BH187" s="11">
        <f>IF(ISBLANK('Exception Stores'!$A$6),0,($BF$2-$BE$2)*24)</f>
        <v>0</v>
      </c>
      <c r="BI18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87" s="1">
        <f>IF(ISBLANK('Exception Stores'!$A$6),0,IF($AN$2&gt;$BF$2,0,IF(AND($AN$2&lt;$BF$2,$BT$2="B"),(($BF$2-$AN$2)*24)-$BS$2,($BF$2-$AN$2)*24)))</f>
        <v>0</v>
      </c>
      <c r="BL187" s="5"/>
      <c r="BM187" s="5"/>
      <c r="BN187" s="5"/>
      <c r="BO187" s="5"/>
      <c r="BP187" s="5"/>
      <c r="BV187" s="1" t="e">
        <f t="shared" ca="1" si="203"/>
        <v>#VALUE!</v>
      </c>
      <c r="BW187" s="1" t="e">
        <f t="shared" ca="1" si="204"/>
        <v>#VALUE!</v>
      </c>
      <c r="BX187" s="1" t="e">
        <f t="shared" ca="1" si="205"/>
        <v>#VALUE!</v>
      </c>
      <c r="BY187" s="1" t="e">
        <f t="shared" ca="1" si="206"/>
        <v>#VALUE!</v>
      </c>
      <c r="BZ187" s="1" t="e">
        <f t="shared" ca="1" si="207"/>
        <v>#VALUE!</v>
      </c>
      <c r="CB187" s="1" t="str">
        <f>IF(ISBLANK('Exception Stores'!$A$6),"",WEEKDAY($BF$2))</f>
        <v/>
      </c>
      <c r="CC187" s="1" t="str">
        <f>IF(ISBLANK('Exception Stores'!$A$6),"NO",IF('Exception Stores'!$A$6&lt;$AU$2,"YES","NO"))</f>
        <v>NO</v>
      </c>
      <c r="CD187" s="1" t="str">
        <f>IF(ISBLANK('Exception Stores'!$A$6),"NO",IF('Exception Stores'!$A$6&lt;$AV$2,"YES","NO"))</f>
        <v>NO</v>
      </c>
      <c r="CE187" s="1" t="str">
        <f>IF(ISBLANK('Exception Stores'!$A$6),"NO",IF('Exception Stores'!$A$6&lt;$AW$2,"YES","NO"))</f>
        <v>NO</v>
      </c>
      <c r="CF187" s="1" t="str">
        <f>IF(ISBLANK('Exception Stores'!$A$6),"NO",IF('Exception Stores'!$A$6&lt;$AX$2,"YES","NO"))</f>
        <v>NO</v>
      </c>
      <c r="CG187" s="1" t="str">
        <f>IF(ISBLANK('Exception Stores'!$A$6),"NO",IF('Exception Stores'!$A$6&lt;$AY$2,"YES","NO"))</f>
        <v>NO</v>
      </c>
      <c r="CI187" s="42" t="str">
        <f>IF(ISBLANK('Exception Stores'!$B$6),"NO",IF('Exception Stores'!$B$6&lt;=$AU$2,"YES","NO"))</f>
        <v>NO</v>
      </c>
      <c r="CJ187" s="42" t="str">
        <f>IF(ISBLANK('Exception Stores'!$B$6),"NO",IF('Exception Stores'!$B$6&lt;=$AV$2,"YES","NO"))</f>
        <v>NO</v>
      </c>
      <c r="CK187" s="1" t="str">
        <f>IF(ISBLANK('Exception Stores'!$B$6),"NO",IF('Exception Stores'!$B$6&lt;=$AW$2,"YES","NO"))</f>
        <v>NO</v>
      </c>
      <c r="CL187" s="1" t="str">
        <f>IF(ISBLANK('Exception Stores'!$B$6),"NO",IF('Exception Stores'!$B$6&lt;=$AX$2,"YES","NO"))</f>
        <v>NO</v>
      </c>
      <c r="CM187" s="1" t="str">
        <f>IF(ISBLANK('Exception Stores'!$B$6),"NO",IF('Exception Stores'!$B$6&lt;=$AY$2,"YES","NO"))</f>
        <v>NO</v>
      </c>
      <c r="CO187" s="1" t="e">
        <f ca="1">IF(AM187&lt;'Exception Stores'!$A$6,"YES","NO")</f>
        <v>#VALUE!</v>
      </c>
      <c r="CP187" s="1">
        <f t="shared" si="208"/>
        <v>0</v>
      </c>
      <c r="CQ187" s="1">
        <f t="shared" si="209"/>
        <v>0</v>
      </c>
      <c r="CR187" s="1">
        <f t="shared" si="210"/>
        <v>0</v>
      </c>
      <c r="CS187" s="1">
        <f t="shared" si="211"/>
        <v>0</v>
      </c>
      <c r="CT187" s="1">
        <f t="shared" si="212"/>
        <v>0</v>
      </c>
      <c r="CU187" s="1">
        <f t="shared" si="213"/>
        <v>0</v>
      </c>
      <c r="CW187" s="1" t="e">
        <f t="shared" ca="1" si="218"/>
        <v>#VALUE!</v>
      </c>
      <c r="CX187" s="1" t="e">
        <f t="shared" ca="1" si="219"/>
        <v>#VALUE!</v>
      </c>
      <c r="CY187" s="1" t="e">
        <f t="shared" ca="1" si="220"/>
        <v>#VALUE!</v>
      </c>
      <c r="CZ187" s="1" t="e">
        <f t="shared" ca="1" si="221"/>
        <v>#VALUE!</v>
      </c>
      <c r="DA187" s="1" t="e">
        <f t="shared" ca="1" si="222"/>
        <v>#VALUE!</v>
      </c>
      <c r="DB187" s="26" t="e">
        <f t="shared" ca="1" si="214"/>
        <v>#VALUE!</v>
      </c>
      <c r="DC187" s="1">
        <f t="shared" si="223"/>
        <v>0</v>
      </c>
      <c r="DD187" s="1">
        <f t="shared" si="224"/>
        <v>0</v>
      </c>
      <c r="DE187" s="1">
        <f t="shared" si="225"/>
        <v>0</v>
      </c>
      <c r="DF187" s="1">
        <f t="shared" si="226"/>
        <v>0</v>
      </c>
      <c r="DG187" s="1">
        <f t="shared" si="227"/>
        <v>0</v>
      </c>
      <c r="DH187" s="26">
        <f t="shared" si="215"/>
        <v>0</v>
      </c>
      <c r="DI187" s="1" t="e">
        <f t="shared" ca="1" si="216"/>
        <v>#VALUE!</v>
      </c>
      <c r="DK187" s="11" t="str">
        <f t="shared" si="228"/>
        <v/>
      </c>
      <c r="DL187" s="11" t="e">
        <f ca="1">IF(AND(NOT(ISBLANK('Exception Stores'!$A$6)),CO187="YES"),S187-$BH$2-(DI187*$BS$2)-(CU187*$BS$2),S187-(DB187*$BS$2))</f>
        <v>#VALUE!</v>
      </c>
      <c r="DM187" s="11" t="str">
        <f>IF(ISBLANK(A187),"",IF(COUNTIF(Remaps!$A$2:$A$200,B187)&gt;0,"YES",""))</f>
        <v>YES</v>
      </c>
      <c r="DN187" s="29">
        <f>IFERROR(INDEX(Remaps!$B$2:$B$200,MATCH(B187,Remaps!$A$2:$A$200,0),1),0)</f>
        <v>0</v>
      </c>
      <c r="DO187" s="11" t="e">
        <f t="shared" ca="1" si="229"/>
        <v>#VALUE!</v>
      </c>
      <c r="DP187" s="29" t="e">
        <f t="shared" si="230"/>
        <v>#VALUE!</v>
      </c>
      <c r="DQ187" s="11" t="e">
        <f ca="1">('Apollo Dock Status'!$Z$1-DP187)/DO187</f>
        <v>#VALUE!</v>
      </c>
      <c r="DR187" s="15" t="e">
        <f t="shared" ca="1" si="217"/>
        <v>#VALUE!</v>
      </c>
    </row>
    <row r="188" spans="1:122">
      <c r="A188" s="1" t="str">
        <f>IF(ISBLANK('Apollo Dock Status'!A188),"",'Apollo Dock Status'!A188)</f>
        <v/>
      </c>
      <c r="B188" s="1" t="str">
        <f>IF(ISBLANK('Apollo Dock Status'!B188),"",'Apollo Dock Status'!B188)</f>
        <v/>
      </c>
      <c r="C188" s="1" t="str">
        <f>IF(ISBLANK('Apollo Dock Status'!C188),"",'Apollo Dock Status'!C188)</f>
        <v/>
      </c>
      <c r="D188" s="1" t="str">
        <f>IF(ISBLANK('Apollo Dock Status'!D188),"",'Apollo Dock Status'!D188)</f>
        <v/>
      </c>
      <c r="E188" s="1" t="str">
        <f>IF(ISBLANK('Apollo Dock Status'!E188),"",'Apollo Dock Status'!E188)</f>
        <v/>
      </c>
      <c r="F188" s="1" t="str">
        <f>IF(ISBLANK('Apollo Dock Status'!F188),"",'Apollo Dock Status'!F188)</f>
        <v/>
      </c>
      <c r="G188" s="1" t="str">
        <f>IF(ISBLANK('Apollo Dock Status'!G188),"",'Apollo Dock Status'!G188)</f>
        <v/>
      </c>
      <c r="H188" s="1" t="str">
        <f>IF(ISBLANK('Apollo Dock Status'!H188),"",'Apollo Dock Status'!H188)</f>
        <v/>
      </c>
      <c r="I188" s="1" t="str">
        <f>IF(ISBLANK('Apollo Dock Status'!I188),"",'Apollo Dock Status'!I188)</f>
        <v/>
      </c>
      <c r="J188" s="1" t="str">
        <f>IF(ISBLANK('Apollo Dock Status'!J188),"",'Apollo Dock Status'!J188)</f>
        <v/>
      </c>
      <c r="K188" s="1" t="str">
        <f>IF(ISBLANK('Apollo Dock Status'!K188),"",'Apollo Dock Status'!K188)</f>
        <v/>
      </c>
      <c r="L188" s="1" t="str">
        <f>IF(ISBLANK('Apollo Dock Status'!L188),"",'Apollo Dock Status'!L188)</f>
        <v/>
      </c>
      <c r="M188" s="1" t="str">
        <f>IF(ISBLANK('Apollo Dock Status'!M188),"",'Apollo Dock Status'!M188)</f>
        <v/>
      </c>
      <c r="N188" s="1" t="str">
        <f>IF(ISBLANK('Apollo Dock Status'!N188),"",'Apollo Dock Status'!N188)</f>
        <v/>
      </c>
      <c r="O188" s="1" t="str">
        <f t="shared" si="167"/>
        <v/>
      </c>
      <c r="P188" s="1" t="str">
        <f t="shared" si="168"/>
        <v/>
      </c>
      <c r="Q188" s="1" t="str">
        <f t="shared" si="169"/>
        <v/>
      </c>
      <c r="R188" s="1" t="str">
        <f t="shared" si="170"/>
        <v/>
      </c>
      <c r="S188" s="11" t="str">
        <f t="shared" si="171"/>
        <v/>
      </c>
      <c r="T188" s="1" t="str">
        <f t="shared" si="172"/>
        <v/>
      </c>
      <c r="U188" s="11" t="str">
        <f t="shared" si="173"/>
        <v/>
      </c>
      <c r="V188" s="11" t="str">
        <f t="shared" si="174"/>
        <v/>
      </c>
      <c r="X188" s="1" t="str">
        <f t="shared" si="175"/>
        <v/>
      </c>
      <c r="Y188" s="1" t="str">
        <f t="shared" si="176"/>
        <v/>
      </c>
      <c r="Z188" s="1" t="str">
        <f t="shared" si="177"/>
        <v/>
      </c>
      <c r="AB188" s="13">
        <f t="shared" ca="1" si="178"/>
        <v>46176</v>
      </c>
      <c r="AC188" s="1">
        <f t="shared" ca="1" si="179"/>
        <v>2026</v>
      </c>
      <c r="AD188" s="1" t="str">
        <f t="shared" ca="1" si="180"/>
        <v>6</v>
      </c>
      <c r="AE188" s="1">
        <f t="shared" si="181"/>
        <v>1</v>
      </c>
      <c r="AF188" s="1" t="str">
        <f t="shared" si="182"/>
        <v/>
      </c>
      <c r="AG188" s="1">
        <f t="shared" ca="1" si="183"/>
        <v>2026</v>
      </c>
      <c r="AH188" s="1">
        <f t="shared" si="184"/>
        <v>1</v>
      </c>
      <c r="AI188" s="1" t="str">
        <f t="shared" ca="1" si="185"/>
        <v>6</v>
      </c>
      <c r="AJ188" s="13" t="e">
        <f t="shared" ca="1" si="186"/>
        <v>#VALUE!</v>
      </c>
      <c r="AK188" s="1" t="e">
        <f>IF(ISBLANK(A188),"",IFERROR(MID(F188,SEARCH(", ",F188)+LEN(", "),SEARCH(" "&amp;'Exception Stores'!$A$2,F188)-SEARCH(", ",F188)-LEN(", ")),MID(F188,SEARCH(", ",F188)+LEN(", "),SEARCH(" "&amp;'Exception Stores'!$B$2,F188)-SEARCH(", ",F188)-LEN(", "))))</f>
        <v>#VALUE!</v>
      </c>
      <c r="AL188" s="1" t="e">
        <f t="shared" si="187"/>
        <v>#VALUE!</v>
      </c>
      <c r="AM188" s="15" t="e">
        <f t="shared" ca="1" si="188"/>
        <v>#VALUE!</v>
      </c>
      <c r="AN188" s="24" t="e">
        <f t="shared" ca="1" si="189"/>
        <v>#VALUE!</v>
      </c>
      <c r="AO188" s="1" t="e">
        <f t="shared" ca="1" si="190"/>
        <v>#VALUE!</v>
      </c>
      <c r="AP188" s="13" t="e">
        <f t="shared" ca="1" si="191"/>
        <v>#VALUE!</v>
      </c>
      <c r="AQ188" s="17" t="e">
        <f t="shared" ca="1" si="192"/>
        <v>#VALUE!</v>
      </c>
      <c r="AS188" s="15" t="e">
        <f t="shared" ca="1" si="193"/>
        <v>#VALUE!</v>
      </c>
      <c r="AT188" s="5">
        <f>'Exception Stores'!$D$2</f>
        <v>0.125</v>
      </c>
      <c r="AU188" s="15" t="e">
        <f t="shared" ca="1" si="194"/>
        <v>#VALUE!</v>
      </c>
      <c r="AV188" s="15" t="e">
        <f t="shared" ca="1" si="195"/>
        <v>#VALUE!</v>
      </c>
      <c r="AW188" s="15" t="e">
        <f t="shared" ca="1" si="196"/>
        <v>#VALUE!</v>
      </c>
      <c r="AX188" s="15" t="e">
        <f t="shared" ca="1" si="197"/>
        <v>#VALUE!</v>
      </c>
      <c r="AY188" s="15" t="e">
        <f t="shared" ca="1" si="198"/>
        <v>#VALUE!</v>
      </c>
      <c r="AZ188" s="1" t="e">
        <f t="shared" ca="1" si="199"/>
        <v>#VALUE!</v>
      </c>
      <c r="BA188" s="15" t="e">
        <f t="shared" ca="1" si="200"/>
        <v>#VALUE!</v>
      </c>
      <c r="BB188" s="15" t="e">
        <f t="shared" ca="1" si="201"/>
        <v>#VALUE!</v>
      </c>
      <c r="BC188" s="1" t="e">
        <f t="shared" ca="1" si="202"/>
        <v>#VALUE!</v>
      </c>
      <c r="BE188" s="15" t="str">
        <f>IF(ISBLANK('Exception Stores'!$A$6),"",'Exception Stores'!$A$6)</f>
        <v/>
      </c>
      <c r="BF188" s="15" t="str">
        <f>IF(ISBLANK('Exception Stores'!$B$6),"",'Exception Stores'!$B$6)</f>
        <v/>
      </c>
      <c r="BG188" s="1">
        <f>IF(ISBLANK('Exception Stores'!$A$6),0,IF($AN$2&gt;$BF$2,($AN$2-$BF$2)*24,0))</f>
        <v>0</v>
      </c>
      <c r="BH188" s="11">
        <f>IF(ISBLANK('Exception Stores'!$A$6),0,($BF$2-$BE$2)*24)</f>
        <v>0</v>
      </c>
      <c r="BI18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88" s="1">
        <f>IF(ISBLANK('Exception Stores'!$A$6),0,IF($AN$2&gt;$BF$2,0,IF(AND($AN$2&lt;$BF$2,$BT$2="B"),(($BF$2-$AN$2)*24)-$BS$2,($BF$2-$AN$2)*24)))</f>
        <v>0</v>
      </c>
      <c r="BL188" s="5"/>
      <c r="BM188" s="5"/>
      <c r="BN188" s="5"/>
      <c r="BO188" s="5"/>
      <c r="BP188" s="5"/>
      <c r="BV188" s="1" t="e">
        <f t="shared" ca="1" si="203"/>
        <v>#VALUE!</v>
      </c>
      <c r="BW188" s="1" t="e">
        <f t="shared" ca="1" si="204"/>
        <v>#VALUE!</v>
      </c>
      <c r="BX188" s="1" t="e">
        <f t="shared" ca="1" si="205"/>
        <v>#VALUE!</v>
      </c>
      <c r="BY188" s="1" t="e">
        <f t="shared" ca="1" si="206"/>
        <v>#VALUE!</v>
      </c>
      <c r="BZ188" s="1" t="e">
        <f t="shared" ca="1" si="207"/>
        <v>#VALUE!</v>
      </c>
      <c r="CB188" s="1" t="str">
        <f>IF(ISBLANK('Exception Stores'!$A$6),"",WEEKDAY($BF$2))</f>
        <v/>
      </c>
      <c r="CC188" s="1" t="str">
        <f>IF(ISBLANK('Exception Stores'!$A$6),"NO",IF('Exception Stores'!$A$6&lt;$AU$2,"YES","NO"))</f>
        <v>NO</v>
      </c>
      <c r="CD188" s="1" t="str">
        <f>IF(ISBLANK('Exception Stores'!$A$6),"NO",IF('Exception Stores'!$A$6&lt;$AV$2,"YES","NO"))</f>
        <v>NO</v>
      </c>
      <c r="CE188" s="1" t="str">
        <f>IF(ISBLANK('Exception Stores'!$A$6),"NO",IF('Exception Stores'!$A$6&lt;$AW$2,"YES","NO"))</f>
        <v>NO</v>
      </c>
      <c r="CF188" s="1" t="str">
        <f>IF(ISBLANK('Exception Stores'!$A$6),"NO",IF('Exception Stores'!$A$6&lt;$AX$2,"YES","NO"))</f>
        <v>NO</v>
      </c>
      <c r="CG188" s="1" t="str">
        <f>IF(ISBLANK('Exception Stores'!$A$6),"NO",IF('Exception Stores'!$A$6&lt;$AY$2,"YES","NO"))</f>
        <v>NO</v>
      </c>
      <c r="CI188" s="42" t="str">
        <f>IF(ISBLANK('Exception Stores'!$B$6),"NO",IF('Exception Stores'!$B$6&lt;=$AU$2,"YES","NO"))</f>
        <v>NO</v>
      </c>
      <c r="CJ188" s="42" t="str">
        <f>IF(ISBLANK('Exception Stores'!$B$6),"NO",IF('Exception Stores'!$B$6&lt;=$AV$2,"YES","NO"))</f>
        <v>NO</v>
      </c>
      <c r="CK188" s="1" t="str">
        <f>IF(ISBLANK('Exception Stores'!$B$6),"NO",IF('Exception Stores'!$B$6&lt;=$AW$2,"YES","NO"))</f>
        <v>NO</v>
      </c>
      <c r="CL188" s="1" t="str">
        <f>IF(ISBLANK('Exception Stores'!$B$6),"NO",IF('Exception Stores'!$B$6&lt;=$AX$2,"YES","NO"))</f>
        <v>NO</v>
      </c>
      <c r="CM188" s="1" t="str">
        <f>IF(ISBLANK('Exception Stores'!$B$6),"NO",IF('Exception Stores'!$B$6&lt;=$AY$2,"YES","NO"))</f>
        <v>NO</v>
      </c>
      <c r="CO188" s="1" t="e">
        <f ca="1">IF(AM188&lt;'Exception Stores'!$A$6,"YES","NO")</f>
        <v>#VALUE!</v>
      </c>
      <c r="CP188" s="1">
        <f t="shared" si="208"/>
        <v>0</v>
      </c>
      <c r="CQ188" s="1">
        <f t="shared" si="209"/>
        <v>0</v>
      </c>
      <c r="CR188" s="1">
        <f t="shared" si="210"/>
        <v>0</v>
      </c>
      <c r="CS188" s="1">
        <f t="shared" si="211"/>
        <v>0</v>
      </c>
      <c r="CT188" s="1">
        <f t="shared" si="212"/>
        <v>0</v>
      </c>
      <c r="CU188" s="1">
        <f t="shared" si="213"/>
        <v>0</v>
      </c>
      <c r="CW188" s="1" t="e">
        <f t="shared" ca="1" si="218"/>
        <v>#VALUE!</v>
      </c>
      <c r="CX188" s="1" t="e">
        <f t="shared" ca="1" si="219"/>
        <v>#VALUE!</v>
      </c>
      <c r="CY188" s="1" t="e">
        <f t="shared" ca="1" si="220"/>
        <v>#VALUE!</v>
      </c>
      <c r="CZ188" s="1" t="e">
        <f t="shared" ca="1" si="221"/>
        <v>#VALUE!</v>
      </c>
      <c r="DA188" s="1" t="e">
        <f t="shared" ca="1" si="222"/>
        <v>#VALUE!</v>
      </c>
      <c r="DB188" s="26" t="e">
        <f t="shared" ca="1" si="214"/>
        <v>#VALUE!</v>
      </c>
      <c r="DC188" s="1">
        <f t="shared" si="223"/>
        <v>0</v>
      </c>
      <c r="DD188" s="1">
        <f t="shared" si="224"/>
        <v>0</v>
      </c>
      <c r="DE188" s="1">
        <f t="shared" si="225"/>
        <v>0</v>
      </c>
      <c r="DF188" s="1">
        <f t="shared" si="226"/>
        <v>0</v>
      </c>
      <c r="DG188" s="1">
        <f t="shared" si="227"/>
        <v>0</v>
      </c>
      <c r="DH188" s="26">
        <f t="shared" si="215"/>
        <v>0</v>
      </c>
      <c r="DI188" s="1" t="e">
        <f t="shared" ca="1" si="216"/>
        <v>#VALUE!</v>
      </c>
      <c r="DK188" s="11" t="str">
        <f t="shared" si="228"/>
        <v/>
      </c>
      <c r="DL188" s="11" t="e">
        <f ca="1">IF(AND(NOT(ISBLANK('Exception Stores'!$A$6)),CO188="YES"),S188-$BH$2-(DI188*$BS$2)-(CU188*$BS$2),S188-(DB188*$BS$2))</f>
        <v>#VALUE!</v>
      </c>
      <c r="DM188" s="11" t="str">
        <f>IF(ISBLANK(A188),"",IF(COUNTIF(Remaps!$A$2:$A$200,B188)&gt;0,"YES",""))</f>
        <v>YES</v>
      </c>
      <c r="DN188" s="29">
        <f>IFERROR(INDEX(Remaps!$B$2:$B$200,MATCH(B188,Remaps!$A$2:$A$200,0),1),0)</f>
        <v>0</v>
      </c>
      <c r="DO188" s="11" t="e">
        <f t="shared" ca="1" si="229"/>
        <v>#VALUE!</v>
      </c>
      <c r="DP188" s="29" t="e">
        <f t="shared" si="230"/>
        <v>#VALUE!</v>
      </c>
      <c r="DQ188" s="11" t="e">
        <f ca="1">('Apollo Dock Status'!$Z$1-DP188)/DO188</f>
        <v>#VALUE!</v>
      </c>
      <c r="DR188" s="15" t="e">
        <f t="shared" ca="1" si="217"/>
        <v>#VALUE!</v>
      </c>
    </row>
    <row r="189" spans="1:122">
      <c r="A189" s="1" t="str">
        <f>IF(ISBLANK('Apollo Dock Status'!A189),"",'Apollo Dock Status'!A189)</f>
        <v/>
      </c>
      <c r="B189" s="1" t="str">
        <f>IF(ISBLANK('Apollo Dock Status'!B189),"",'Apollo Dock Status'!B189)</f>
        <v/>
      </c>
      <c r="C189" s="1" t="str">
        <f>IF(ISBLANK('Apollo Dock Status'!C189),"",'Apollo Dock Status'!C189)</f>
        <v/>
      </c>
      <c r="D189" s="1" t="str">
        <f>IF(ISBLANK('Apollo Dock Status'!D189),"",'Apollo Dock Status'!D189)</f>
        <v/>
      </c>
      <c r="E189" s="1" t="str">
        <f>IF(ISBLANK('Apollo Dock Status'!E189),"",'Apollo Dock Status'!E189)</f>
        <v/>
      </c>
      <c r="F189" s="1" t="str">
        <f>IF(ISBLANK('Apollo Dock Status'!F189),"",'Apollo Dock Status'!F189)</f>
        <v/>
      </c>
      <c r="G189" s="1" t="str">
        <f>IF(ISBLANK('Apollo Dock Status'!G189),"",'Apollo Dock Status'!G189)</f>
        <v/>
      </c>
      <c r="H189" s="1" t="str">
        <f>IF(ISBLANK('Apollo Dock Status'!H189),"",'Apollo Dock Status'!H189)</f>
        <v/>
      </c>
      <c r="I189" s="1" t="str">
        <f>IF(ISBLANK('Apollo Dock Status'!I189),"",'Apollo Dock Status'!I189)</f>
        <v/>
      </c>
      <c r="J189" s="1" t="str">
        <f>IF(ISBLANK('Apollo Dock Status'!J189),"",'Apollo Dock Status'!J189)</f>
        <v/>
      </c>
      <c r="K189" s="1" t="str">
        <f>IF(ISBLANK('Apollo Dock Status'!K189),"",'Apollo Dock Status'!K189)</f>
        <v/>
      </c>
      <c r="L189" s="1" t="str">
        <f>IF(ISBLANK('Apollo Dock Status'!L189),"",'Apollo Dock Status'!L189)</f>
        <v/>
      </c>
      <c r="M189" s="1" t="str">
        <f>IF(ISBLANK('Apollo Dock Status'!M189),"",'Apollo Dock Status'!M189)</f>
        <v/>
      </c>
      <c r="N189" s="1" t="str">
        <f>IF(ISBLANK('Apollo Dock Status'!N189),"",'Apollo Dock Status'!N189)</f>
        <v/>
      </c>
      <c r="O189" s="1" t="str">
        <f t="shared" si="167"/>
        <v/>
      </c>
      <c r="P189" s="1" t="str">
        <f t="shared" si="168"/>
        <v/>
      </c>
      <c r="Q189" s="1" t="str">
        <f t="shared" si="169"/>
        <v/>
      </c>
      <c r="R189" s="1" t="str">
        <f t="shared" si="170"/>
        <v/>
      </c>
      <c r="S189" s="11" t="str">
        <f t="shared" si="171"/>
        <v/>
      </c>
      <c r="T189" s="1" t="str">
        <f t="shared" si="172"/>
        <v/>
      </c>
      <c r="U189" s="11" t="str">
        <f t="shared" si="173"/>
        <v/>
      </c>
      <c r="V189" s="11" t="str">
        <f t="shared" si="174"/>
        <v/>
      </c>
      <c r="X189" s="1" t="str">
        <f t="shared" si="175"/>
        <v/>
      </c>
      <c r="Y189" s="1" t="str">
        <f t="shared" si="176"/>
        <v/>
      </c>
      <c r="Z189" s="1" t="str">
        <f t="shared" si="177"/>
        <v/>
      </c>
      <c r="AB189" s="13">
        <f t="shared" ca="1" si="178"/>
        <v>46176</v>
      </c>
      <c r="AC189" s="1">
        <f t="shared" ca="1" si="179"/>
        <v>2026</v>
      </c>
      <c r="AD189" s="1" t="str">
        <f t="shared" ca="1" si="180"/>
        <v>6</v>
      </c>
      <c r="AE189" s="1">
        <f t="shared" si="181"/>
        <v>1</v>
      </c>
      <c r="AF189" s="1" t="str">
        <f t="shared" si="182"/>
        <v/>
      </c>
      <c r="AG189" s="1">
        <f t="shared" ca="1" si="183"/>
        <v>2026</v>
      </c>
      <c r="AH189" s="1">
        <f t="shared" si="184"/>
        <v>1</v>
      </c>
      <c r="AI189" s="1" t="str">
        <f t="shared" ca="1" si="185"/>
        <v>6</v>
      </c>
      <c r="AJ189" s="13" t="e">
        <f t="shared" ca="1" si="186"/>
        <v>#VALUE!</v>
      </c>
      <c r="AK189" s="1" t="e">
        <f>IF(ISBLANK(A189),"",IFERROR(MID(F189,SEARCH(", ",F189)+LEN(", "),SEARCH(" "&amp;'Exception Stores'!$A$2,F189)-SEARCH(", ",F189)-LEN(", ")),MID(F189,SEARCH(", ",F189)+LEN(", "),SEARCH(" "&amp;'Exception Stores'!$B$2,F189)-SEARCH(", ",F189)-LEN(", "))))</f>
        <v>#VALUE!</v>
      </c>
      <c r="AL189" s="1" t="e">
        <f t="shared" si="187"/>
        <v>#VALUE!</v>
      </c>
      <c r="AM189" s="15" t="e">
        <f t="shared" ca="1" si="188"/>
        <v>#VALUE!</v>
      </c>
      <c r="AN189" s="24" t="e">
        <f t="shared" ca="1" si="189"/>
        <v>#VALUE!</v>
      </c>
      <c r="AO189" s="1" t="e">
        <f t="shared" ca="1" si="190"/>
        <v>#VALUE!</v>
      </c>
      <c r="AP189" s="13" t="e">
        <f t="shared" ca="1" si="191"/>
        <v>#VALUE!</v>
      </c>
      <c r="AQ189" s="17" t="e">
        <f t="shared" ca="1" si="192"/>
        <v>#VALUE!</v>
      </c>
      <c r="AS189" s="15" t="e">
        <f t="shared" ca="1" si="193"/>
        <v>#VALUE!</v>
      </c>
      <c r="AT189" s="5">
        <f>'Exception Stores'!$D$2</f>
        <v>0.125</v>
      </c>
      <c r="AU189" s="15" t="e">
        <f t="shared" ca="1" si="194"/>
        <v>#VALUE!</v>
      </c>
      <c r="AV189" s="15" t="e">
        <f t="shared" ca="1" si="195"/>
        <v>#VALUE!</v>
      </c>
      <c r="AW189" s="15" t="e">
        <f t="shared" ca="1" si="196"/>
        <v>#VALUE!</v>
      </c>
      <c r="AX189" s="15" t="e">
        <f t="shared" ca="1" si="197"/>
        <v>#VALUE!</v>
      </c>
      <c r="AY189" s="15" t="e">
        <f t="shared" ca="1" si="198"/>
        <v>#VALUE!</v>
      </c>
      <c r="AZ189" s="1" t="e">
        <f t="shared" ca="1" si="199"/>
        <v>#VALUE!</v>
      </c>
      <c r="BA189" s="15" t="e">
        <f t="shared" ca="1" si="200"/>
        <v>#VALUE!</v>
      </c>
      <c r="BB189" s="15" t="e">
        <f t="shared" ca="1" si="201"/>
        <v>#VALUE!</v>
      </c>
      <c r="BC189" s="1" t="e">
        <f t="shared" ca="1" si="202"/>
        <v>#VALUE!</v>
      </c>
      <c r="BE189" s="15" t="str">
        <f>IF(ISBLANK('Exception Stores'!$A$6),"",'Exception Stores'!$A$6)</f>
        <v/>
      </c>
      <c r="BF189" s="15" t="str">
        <f>IF(ISBLANK('Exception Stores'!$B$6),"",'Exception Stores'!$B$6)</f>
        <v/>
      </c>
      <c r="BG189" s="1">
        <f>IF(ISBLANK('Exception Stores'!$A$6),0,IF($AN$2&gt;$BF$2,($AN$2-$BF$2)*24,0))</f>
        <v>0</v>
      </c>
      <c r="BH189" s="11">
        <f>IF(ISBLANK('Exception Stores'!$A$6),0,($BF$2-$BE$2)*24)</f>
        <v>0</v>
      </c>
      <c r="BI18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89" s="1">
        <f>IF(ISBLANK('Exception Stores'!$A$6),0,IF($AN$2&gt;$BF$2,0,IF(AND($AN$2&lt;$BF$2,$BT$2="B"),(($BF$2-$AN$2)*24)-$BS$2,($BF$2-$AN$2)*24)))</f>
        <v>0</v>
      </c>
      <c r="BL189" s="5"/>
      <c r="BM189" s="5"/>
      <c r="BN189" s="5"/>
      <c r="BO189" s="5"/>
      <c r="BP189" s="5"/>
      <c r="BV189" s="1" t="e">
        <f t="shared" ca="1" si="203"/>
        <v>#VALUE!</v>
      </c>
      <c r="BW189" s="1" t="e">
        <f t="shared" ca="1" si="204"/>
        <v>#VALUE!</v>
      </c>
      <c r="BX189" s="1" t="e">
        <f t="shared" ca="1" si="205"/>
        <v>#VALUE!</v>
      </c>
      <c r="BY189" s="1" t="e">
        <f t="shared" ca="1" si="206"/>
        <v>#VALUE!</v>
      </c>
      <c r="BZ189" s="1" t="e">
        <f t="shared" ca="1" si="207"/>
        <v>#VALUE!</v>
      </c>
      <c r="CB189" s="1" t="str">
        <f>IF(ISBLANK('Exception Stores'!$A$6),"",WEEKDAY($BF$2))</f>
        <v/>
      </c>
      <c r="CC189" s="1" t="str">
        <f>IF(ISBLANK('Exception Stores'!$A$6),"NO",IF('Exception Stores'!$A$6&lt;$AU$2,"YES","NO"))</f>
        <v>NO</v>
      </c>
      <c r="CD189" s="1" t="str">
        <f>IF(ISBLANK('Exception Stores'!$A$6),"NO",IF('Exception Stores'!$A$6&lt;$AV$2,"YES","NO"))</f>
        <v>NO</v>
      </c>
      <c r="CE189" s="1" t="str">
        <f>IF(ISBLANK('Exception Stores'!$A$6),"NO",IF('Exception Stores'!$A$6&lt;$AW$2,"YES","NO"))</f>
        <v>NO</v>
      </c>
      <c r="CF189" s="1" t="str">
        <f>IF(ISBLANK('Exception Stores'!$A$6),"NO",IF('Exception Stores'!$A$6&lt;$AX$2,"YES","NO"))</f>
        <v>NO</v>
      </c>
      <c r="CG189" s="1" t="str">
        <f>IF(ISBLANK('Exception Stores'!$A$6),"NO",IF('Exception Stores'!$A$6&lt;$AY$2,"YES","NO"))</f>
        <v>NO</v>
      </c>
      <c r="CI189" s="42" t="str">
        <f>IF(ISBLANK('Exception Stores'!$B$6),"NO",IF('Exception Stores'!$B$6&lt;=$AU$2,"YES","NO"))</f>
        <v>NO</v>
      </c>
      <c r="CJ189" s="42" t="str">
        <f>IF(ISBLANK('Exception Stores'!$B$6),"NO",IF('Exception Stores'!$B$6&lt;=$AV$2,"YES","NO"))</f>
        <v>NO</v>
      </c>
      <c r="CK189" s="1" t="str">
        <f>IF(ISBLANK('Exception Stores'!$B$6),"NO",IF('Exception Stores'!$B$6&lt;=$AW$2,"YES","NO"))</f>
        <v>NO</v>
      </c>
      <c r="CL189" s="1" t="str">
        <f>IF(ISBLANK('Exception Stores'!$B$6),"NO",IF('Exception Stores'!$B$6&lt;=$AX$2,"YES","NO"))</f>
        <v>NO</v>
      </c>
      <c r="CM189" s="1" t="str">
        <f>IF(ISBLANK('Exception Stores'!$B$6),"NO",IF('Exception Stores'!$B$6&lt;=$AY$2,"YES","NO"))</f>
        <v>NO</v>
      </c>
      <c r="CO189" s="1" t="e">
        <f ca="1">IF(AM189&lt;'Exception Stores'!$A$6,"YES","NO")</f>
        <v>#VALUE!</v>
      </c>
      <c r="CP189" s="1">
        <f t="shared" si="208"/>
        <v>0</v>
      </c>
      <c r="CQ189" s="1">
        <f t="shared" si="209"/>
        <v>0</v>
      </c>
      <c r="CR189" s="1">
        <f t="shared" si="210"/>
        <v>0</v>
      </c>
      <c r="CS189" s="1">
        <f t="shared" si="211"/>
        <v>0</v>
      </c>
      <c r="CT189" s="1">
        <f t="shared" si="212"/>
        <v>0</v>
      </c>
      <c r="CU189" s="1">
        <f t="shared" si="213"/>
        <v>0</v>
      </c>
      <c r="CW189" s="1" t="e">
        <f t="shared" ca="1" si="218"/>
        <v>#VALUE!</v>
      </c>
      <c r="CX189" s="1" t="e">
        <f t="shared" ca="1" si="219"/>
        <v>#VALUE!</v>
      </c>
      <c r="CY189" s="1" t="e">
        <f t="shared" ca="1" si="220"/>
        <v>#VALUE!</v>
      </c>
      <c r="CZ189" s="1" t="e">
        <f t="shared" ca="1" si="221"/>
        <v>#VALUE!</v>
      </c>
      <c r="DA189" s="1" t="e">
        <f t="shared" ca="1" si="222"/>
        <v>#VALUE!</v>
      </c>
      <c r="DB189" s="26" t="e">
        <f t="shared" ca="1" si="214"/>
        <v>#VALUE!</v>
      </c>
      <c r="DC189" s="1">
        <f t="shared" si="223"/>
        <v>0</v>
      </c>
      <c r="DD189" s="1">
        <f t="shared" si="224"/>
        <v>0</v>
      </c>
      <c r="DE189" s="1">
        <f t="shared" si="225"/>
        <v>0</v>
      </c>
      <c r="DF189" s="1">
        <f t="shared" si="226"/>
        <v>0</v>
      </c>
      <c r="DG189" s="1">
        <f t="shared" si="227"/>
        <v>0</v>
      </c>
      <c r="DH189" s="26">
        <f t="shared" si="215"/>
        <v>0</v>
      </c>
      <c r="DI189" s="1" t="e">
        <f t="shared" ca="1" si="216"/>
        <v>#VALUE!</v>
      </c>
      <c r="DK189" s="11" t="str">
        <f t="shared" si="228"/>
        <v/>
      </c>
      <c r="DL189" s="11" t="e">
        <f ca="1">IF(AND(NOT(ISBLANK('Exception Stores'!$A$6)),CO189="YES"),S189-$BH$2-(DI189*$BS$2)-(CU189*$BS$2),S189-(DB189*$BS$2))</f>
        <v>#VALUE!</v>
      </c>
      <c r="DM189" s="11" t="str">
        <f>IF(ISBLANK(A189),"",IF(COUNTIF(Remaps!$A$2:$A$200,B189)&gt;0,"YES",""))</f>
        <v>YES</v>
      </c>
      <c r="DN189" s="29">
        <f>IFERROR(INDEX(Remaps!$B$2:$B$200,MATCH(B189,Remaps!$A$2:$A$200,0),1),0)</f>
        <v>0</v>
      </c>
      <c r="DO189" s="11" t="e">
        <f t="shared" ca="1" si="229"/>
        <v>#VALUE!</v>
      </c>
      <c r="DP189" s="29" t="e">
        <f t="shared" si="230"/>
        <v>#VALUE!</v>
      </c>
      <c r="DQ189" s="11" t="e">
        <f ca="1">('Apollo Dock Status'!$Z$1-DP189)/DO189</f>
        <v>#VALUE!</v>
      </c>
      <c r="DR189" s="15" t="e">
        <f t="shared" ca="1" si="217"/>
        <v>#VALUE!</v>
      </c>
    </row>
    <row r="190" spans="1:122">
      <c r="A190" s="1" t="str">
        <f>IF(ISBLANK('Apollo Dock Status'!A190),"",'Apollo Dock Status'!A190)</f>
        <v/>
      </c>
      <c r="B190" s="1" t="str">
        <f>IF(ISBLANK('Apollo Dock Status'!B190),"",'Apollo Dock Status'!B190)</f>
        <v/>
      </c>
      <c r="C190" s="1" t="str">
        <f>IF(ISBLANK('Apollo Dock Status'!C190),"",'Apollo Dock Status'!C190)</f>
        <v/>
      </c>
      <c r="D190" s="1" t="str">
        <f>IF(ISBLANK('Apollo Dock Status'!D190),"",'Apollo Dock Status'!D190)</f>
        <v/>
      </c>
      <c r="E190" s="1" t="str">
        <f>IF(ISBLANK('Apollo Dock Status'!E190),"",'Apollo Dock Status'!E190)</f>
        <v/>
      </c>
      <c r="F190" s="1" t="str">
        <f>IF(ISBLANK('Apollo Dock Status'!F190),"",'Apollo Dock Status'!F190)</f>
        <v/>
      </c>
      <c r="G190" s="1" t="str">
        <f>IF(ISBLANK('Apollo Dock Status'!G190),"",'Apollo Dock Status'!G190)</f>
        <v/>
      </c>
      <c r="H190" s="1" t="str">
        <f>IF(ISBLANK('Apollo Dock Status'!H190),"",'Apollo Dock Status'!H190)</f>
        <v/>
      </c>
      <c r="I190" s="1" t="str">
        <f>IF(ISBLANK('Apollo Dock Status'!I190),"",'Apollo Dock Status'!I190)</f>
        <v/>
      </c>
      <c r="J190" s="1" t="str">
        <f>IF(ISBLANK('Apollo Dock Status'!J190),"",'Apollo Dock Status'!J190)</f>
        <v/>
      </c>
      <c r="K190" s="1" t="str">
        <f>IF(ISBLANK('Apollo Dock Status'!K190),"",'Apollo Dock Status'!K190)</f>
        <v/>
      </c>
      <c r="L190" s="1" t="str">
        <f>IF(ISBLANK('Apollo Dock Status'!L190),"",'Apollo Dock Status'!L190)</f>
        <v/>
      </c>
      <c r="M190" s="1" t="str">
        <f>IF(ISBLANK('Apollo Dock Status'!M190),"",'Apollo Dock Status'!M190)</f>
        <v/>
      </c>
      <c r="N190" s="1" t="str">
        <f>IF(ISBLANK('Apollo Dock Status'!N190),"",'Apollo Dock Status'!N190)</f>
        <v/>
      </c>
      <c r="O190" s="1" t="str">
        <f t="shared" si="167"/>
        <v/>
      </c>
      <c r="P190" s="1" t="str">
        <f t="shared" si="168"/>
        <v/>
      </c>
      <c r="Q190" s="1" t="str">
        <f t="shared" si="169"/>
        <v/>
      </c>
      <c r="R190" s="1" t="str">
        <f t="shared" si="170"/>
        <v/>
      </c>
      <c r="S190" s="11" t="str">
        <f t="shared" si="171"/>
        <v/>
      </c>
      <c r="T190" s="1" t="str">
        <f t="shared" si="172"/>
        <v/>
      </c>
      <c r="U190" s="11" t="str">
        <f t="shared" si="173"/>
        <v/>
      </c>
      <c r="V190" s="11" t="str">
        <f t="shared" si="174"/>
        <v/>
      </c>
      <c r="X190" s="1" t="str">
        <f t="shared" si="175"/>
        <v/>
      </c>
      <c r="Y190" s="1" t="str">
        <f t="shared" si="176"/>
        <v/>
      </c>
      <c r="Z190" s="1" t="str">
        <f t="shared" si="177"/>
        <v/>
      </c>
      <c r="AB190" s="13">
        <f t="shared" ca="1" si="178"/>
        <v>46176</v>
      </c>
      <c r="AC190" s="1">
        <f t="shared" ca="1" si="179"/>
        <v>2026</v>
      </c>
      <c r="AD190" s="1" t="str">
        <f t="shared" ca="1" si="180"/>
        <v>6</v>
      </c>
      <c r="AE190" s="1">
        <f t="shared" si="181"/>
        <v>1</v>
      </c>
      <c r="AF190" s="1" t="str">
        <f t="shared" si="182"/>
        <v/>
      </c>
      <c r="AG190" s="1">
        <f t="shared" ca="1" si="183"/>
        <v>2026</v>
      </c>
      <c r="AH190" s="1">
        <f t="shared" si="184"/>
        <v>1</v>
      </c>
      <c r="AI190" s="1" t="str">
        <f t="shared" ca="1" si="185"/>
        <v>6</v>
      </c>
      <c r="AJ190" s="13" t="e">
        <f t="shared" ca="1" si="186"/>
        <v>#VALUE!</v>
      </c>
      <c r="AK190" s="1" t="e">
        <f>IF(ISBLANK(A190),"",IFERROR(MID(F190,SEARCH(", ",F190)+LEN(", "),SEARCH(" "&amp;'Exception Stores'!$A$2,F190)-SEARCH(", ",F190)-LEN(", ")),MID(F190,SEARCH(", ",F190)+LEN(", "),SEARCH(" "&amp;'Exception Stores'!$B$2,F190)-SEARCH(", ",F190)-LEN(", "))))</f>
        <v>#VALUE!</v>
      </c>
      <c r="AL190" s="1" t="e">
        <f t="shared" si="187"/>
        <v>#VALUE!</v>
      </c>
      <c r="AM190" s="15" t="e">
        <f t="shared" ca="1" si="188"/>
        <v>#VALUE!</v>
      </c>
      <c r="AN190" s="24" t="e">
        <f t="shared" ca="1" si="189"/>
        <v>#VALUE!</v>
      </c>
      <c r="AO190" s="1" t="e">
        <f t="shared" ca="1" si="190"/>
        <v>#VALUE!</v>
      </c>
      <c r="AP190" s="13" t="e">
        <f t="shared" ca="1" si="191"/>
        <v>#VALUE!</v>
      </c>
      <c r="AQ190" s="17" t="e">
        <f t="shared" ca="1" si="192"/>
        <v>#VALUE!</v>
      </c>
      <c r="AS190" s="15" t="e">
        <f t="shared" ca="1" si="193"/>
        <v>#VALUE!</v>
      </c>
      <c r="AT190" s="5">
        <f>'Exception Stores'!$D$2</f>
        <v>0.125</v>
      </c>
      <c r="AU190" s="15" t="e">
        <f t="shared" ca="1" si="194"/>
        <v>#VALUE!</v>
      </c>
      <c r="AV190" s="15" t="e">
        <f t="shared" ca="1" si="195"/>
        <v>#VALUE!</v>
      </c>
      <c r="AW190" s="15" t="e">
        <f t="shared" ca="1" si="196"/>
        <v>#VALUE!</v>
      </c>
      <c r="AX190" s="15" t="e">
        <f t="shared" ca="1" si="197"/>
        <v>#VALUE!</v>
      </c>
      <c r="AY190" s="15" t="e">
        <f t="shared" ca="1" si="198"/>
        <v>#VALUE!</v>
      </c>
      <c r="AZ190" s="1" t="e">
        <f t="shared" ca="1" si="199"/>
        <v>#VALUE!</v>
      </c>
      <c r="BA190" s="15" t="e">
        <f t="shared" ca="1" si="200"/>
        <v>#VALUE!</v>
      </c>
      <c r="BB190" s="15" t="e">
        <f t="shared" ca="1" si="201"/>
        <v>#VALUE!</v>
      </c>
      <c r="BC190" s="1" t="e">
        <f t="shared" ca="1" si="202"/>
        <v>#VALUE!</v>
      </c>
      <c r="BE190" s="15" t="str">
        <f>IF(ISBLANK('Exception Stores'!$A$6),"",'Exception Stores'!$A$6)</f>
        <v/>
      </c>
      <c r="BF190" s="15" t="str">
        <f>IF(ISBLANK('Exception Stores'!$B$6),"",'Exception Stores'!$B$6)</f>
        <v/>
      </c>
      <c r="BG190" s="1">
        <f>IF(ISBLANK('Exception Stores'!$A$6),0,IF($AN$2&gt;$BF$2,($AN$2-$BF$2)*24,0))</f>
        <v>0</v>
      </c>
      <c r="BH190" s="11">
        <f>IF(ISBLANK('Exception Stores'!$A$6),0,($BF$2-$BE$2)*24)</f>
        <v>0</v>
      </c>
      <c r="BI19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90" s="1">
        <f>IF(ISBLANK('Exception Stores'!$A$6),0,IF($AN$2&gt;$BF$2,0,IF(AND($AN$2&lt;$BF$2,$BT$2="B"),(($BF$2-$AN$2)*24)-$BS$2,($BF$2-$AN$2)*24)))</f>
        <v>0</v>
      </c>
      <c r="BL190" s="5"/>
      <c r="BM190" s="5"/>
      <c r="BN190" s="5"/>
      <c r="BO190" s="5"/>
      <c r="BP190" s="5"/>
      <c r="BV190" s="1" t="e">
        <f t="shared" ca="1" si="203"/>
        <v>#VALUE!</v>
      </c>
      <c r="BW190" s="1" t="e">
        <f t="shared" ca="1" si="204"/>
        <v>#VALUE!</v>
      </c>
      <c r="BX190" s="1" t="e">
        <f t="shared" ca="1" si="205"/>
        <v>#VALUE!</v>
      </c>
      <c r="BY190" s="1" t="e">
        <f t="shared" ca="1" si="206"/>
        <v>#VALUE!</v>
      </c>
      <c r="BZ190" s="1" t="e">
        <f t="shared" ca="1" si="207"/>
        <v>#VALUE!</v>
      </c>
      <c r="CB190" s="1" t="str">
        <f>IF(ISBLANK('Exception Stores'!$A$6),"",WEEKDAY($BF$2))</f>
        <v/>
      </c>
      <c r="CC190" s="1" t="str">
        <f>IF(ISBLANK('Exception Stores'!$A$6),"NO",IF('Exception Stores'!$A$6&lt;$AU$2,"YES","NO"))</f>
        <v>NO</v>
      </c>
      <c r="CD190" s="1" t="str">
        <f>IF(ISBLANK('Exception Stores'!$A$6),"NO",IF('Exception Stores'!$A$6&lt;$AV$2,"YES","NO"))</f>
        <v>NO</v>
      </c>
      <c r="CE190" s="1" t="str">
        <f>IF(ISBLANK('Exception Stores'!$A$6),"NO",IF('Exception Stores'!$A$6&lt;$AW$2,"YES","NO"))</f>
        <v>NO</v>
      </c>
      <c r="CF190" s="1" t="str">
        <f>IF(ISBLANK('Exception Stores'!$A$6),"NO",IF('Exception Stores'!$A$6&lt;$AX$2,"YES","NO"))</f>
        <v>NO</v>
      </c>
      <c r="CG190" s="1" t="str">
        <f>IF(ISBLANK('Exception Stores'!$A$6),"NO",IF('Exception Stores'!$A$6&lt;$AY$2,"YES","NO"))</f>
        <v>NO</v>
      </c>
      <c r="CI190" s="42" t="str">
        <f>IF(ISBLANK('Exception Stores'!$B$6),"NO",IF('Exception Stores'!$B$6&lt;=$AU$2,"YES","NO"))</f>
        <v>NO</v>
      </c>
      <c r="CJ190" s="42" t="str">
        <f>IF(ISBLANK('Exception Stores'!$B$6),"NO",IF('Exception Stores'!$B$6&lt;=$AV$2,"YES","NO"))</f>
        <v>NO</v>
      </c>
      <c r="CK190" s="1" t="str">
        <f>IF(ISBLANK('Exception Stores'!$B$6),"NO",IF('Exception Stores'!$B$6&lt;=$AW$2,"YES","NO"))</f>
        <v>NO</v>
      </c>
      <c r="CL190" s="1" t="str">
        <f>IF(ISBLANK('Exception Stores'!$B$6),"NO",IF('Exception Stores'!$B$6&lt;=$AX$2,"YES","NO"))</f>
        <v>NO</v>
      </c>
      <c r="CM190" s="1" t="str">
        <f>IF(ISBLANK('Exception Stores'!$B$6),"NO",IF('Exception Stores'!$B$6&lt;=$AY$2,"YES","NO"))</f>
        <v>NO</v>
      </c>
      <c r="CO190" s="1" t="e">
        <f ca="1">IF(AM190&lt;'Exception Stores'!$A$6,"YES","NO")</f>
        <v>#VALUE!</v>
      </c>
      <c r="CP190" s="1">
        <f t="shared" si="208"/>
        <v>0</v>
      </c>
      <c r="CQ190" s="1">
        <f t="shared" si="209"/>
        <v>0</v>
      </c>
      <c r="CR190" s="1">
        <f t="shared" si="210"/>
        <v>0</v>
      </c>
      <c r="CS190" s="1">
        <f t="shared" si="211"/>
        <v>0</v>
      </c>
      <c r="CT190" s="1">
        <f t="shared" si="212"/>
        <v>0</v>
      </c>
      <c r="CU190" s="1">
        <f t="shared" si="213"/>
        <v>0</v>
      </c>
      <c r="CW190" s="1" t="e">
        <f t="shared" ca="1" si="218"/>
        <v>#VALUE!</v>
      </c>
      <c r="CX190" s="1" t="e">
        <f t="shared" ca="1" si="219"/>
        <v>#VALUE!</v>
      </c>
      <c r="CY190" s="1" t="e">
        <f t="shared" ca="1" si="220"/>
        <v>#VALUE!</v>
      </c>
      <c r="CZ190" s="1" t="e">
        <f t="shared" ca="1" si="221"/>
        <v>#VALUE!</v>
      </c>
      <c r="DA190" s="1" t="e">
        <f t="shared" ca="1" si="222"/>
        <v>#VALUE!</v>
      </c>
      <c r="DB190" s="26" t="e">
        <f t="shared" ca="1" si="214"/>
        <v>#VALUE!</v>
      </c>
      <c r="DC190" s="1">
        <f t="shared" si="223"/>
        <v>0</v>
      </c>
      <c r="DD190" s="1">
        <f t="shared" si="224"/>
        <v>0</v>
      </c>
      <c r="DE190" s="1">
        <f t="shared" si="225"/>
        <v>0</v>
      </c>
      <c r="DF190" s="1">
        <f t="shared" si="226"/>
        <v>0</v>
      </c>
      <c r="DG190" s="1">
        <f t="shared" si="227"/>
        <v>0</v>
      </c>
      <c r="DH190" s="26">
        <f t="shared" si="215"/>
        <v>0</v>
      </c>
      <c r="DI190" s="1" t="e">
        <f t="shared" ca="1" si="216"/>
        <v>#VALUE!</v>
      </c>
      <c r="DK190" s="11" t="str">
        <f t="shared" si="228"/>
        <v/>
      </c>
      <c r="DL190" s="11" t="e">
        <f ca="1">IF(AND(NOT(ISBLANK('Exception Stores'!$A$6)),CO190="YES"),S190-$BH$2-(DI190*$BS$2)-(CU190*$BS$2),S190-(DB190*$BS$2))</f>
        <v>#VALUE!</v>
      </c>
      <c r="DM190" s="11" t="str">
        <f>IF(ISBLANK(A190),"",IF(COUNTIF(Remaps!$A$2:$A$200,B190)&gt;0,"YES",""))</f>
        <v>YES</v>
      </c>
      <c r="DN190" s="29">
        <f>IFERROR(INDEX(Remaps!$B$2:$B$200,MATCH(B190,Remaps!$A$2:$A$200,0),1),0)</f>
        <v>0</v>
      </c>
      <c r="DO190" s="11" t="e">
        <f t="shared" ca="1" si="229"/>
        <v>#VALUE!</v>
      </c>
      <c r="DP190" s="29" t="e">
        <f t="shared" si="230"/>
        <v>#VALUE!</v>
      </c>
      <c r="DQ190" s="11" t="e">
        <f ca="1">('Apollo Dock Status'!$Z$1-DP190)/DO190</f>
        <v>#VALUE!</v>
      </c>
      <c r="DR190" s="15" t="e">
        <f t="shared" ca="1" si="217"/>
        <v>#VALUE!</v>
      </c>
    </row>
    <row r="191" spans="1:122">
      <c r="A191" s="1" t="str">
        <f>IF(ISBLANK('Apollo Dock Status'!A191),"",'Apollo Dock Status'!A191)</f>
        <v/>
      </c>
      <c r="B191" s="1" t="str">
        <f>IF(ISBLANK('Apollo Dock Status'!B191),"",'Apollo Dock Status'!B191)</f>
        <v/>
      </c>
      <c r="C191" s="1" t="str">
        <f>IF(ISBLANK('Apollo Dock Status'!C191),"",'Apollo Dock Status'!C191)</f>
        <v/>
      </c>
      <c r="D191" s="1" t="str">
        <f>IF(ISBLANK('Apollo Dock Status'!D191),"",'Apollo Dock Status'!D191)</f>
        <v/>
      </c>
      <c r="E191" s="1" t="str">
        <f>IF(ISBLANK('Apollo Dock Status'!E191),"",'Apollo Dock Status'!E191)</f>
        <v/>
      </c>
      <c r="F191" s="1" t="str">
        <f>IF(ISBLANK('Apollo Dock Status'!F191),"",'Apollo Dock Status'!F191)</f>
        <v/>
      </c>
      <c r="G191" s="1" t="str">
        <f>IF(ISBLANK('Apollo Dock Status'!G191),"",'Apollo Dock Status'!G191)</f>
        <v/>
      </c>
      <c r="H191" s="1" t="str">
        <f>IF(ISBLANK('Apollo Dock Status'!H191),"",'Apollo Dock Status'!H191)</f>
        <v/>
      </c>
      <c r="I191" s="1" t="str">
        <f>IF(ISBLANK('Apollo Dock Status'!I191),"",'Apollo Dock Status'!I191)</f>
        <v/>
      </c>
      <c r="J191" s="1" t="str">
        <f>IF(ISBLANK('Apollo Dock Status'!J191),"",'Apollo Dock Status'!J191)</f>
        <v/>
      </c>
      <c r="K191" s="1" t="str">
        <f>IF(ISBLANK('Apollo Dock Status'!K191),"",'Apollo Dock Status'!K191)</f>
        <v/>
      </c>
      <c r="L191" s="1" t="str">
        <f>IF(ISBLANK('Apollo Dock Status'!L191),"",'Apollo Dock Status'!L191)</f>
        <v/>
      </c>
      <c r="M191" s="1" t="str">
        <f>IF(ISBLANK('Apollo Dock Status'!M191),"",'Apollo Dock Status'!M191)</f>
        <v/>
      </c>
      <c r="N191" s="1" t="str">
        <f>IF(ISBLANK('Apollo Dock Status'!N191),"",'Apollo Dock Status'!N191)</f>
        <v/>
      </c>
      <c r="O191" s="1" t="str">
        <f t="shared" si="167"/>
        <v/>
      </c>
      <c r="P191" s="1" t="str">
        <f t="shared" si="168"/>
        <v/>
      </c>
      <c r="Q191" s="1" t="str">
        <f t="shared" si="169"/>
        <v/>
      </c>
      <c r="R191" s="1" t="str">
        <f t="shared" si="170"/>
        <v/>
      </c>
      <c r="S191" s="11" t="str">
        <f t="shared" si="171"/>
        <v/>
      </c>
      <c r="T191" s="1" t="str">
        <f t="shared" si="172"/>
        <v/>
      </c>
      <c r="U191" s="11" t="str">
        <f t="shared" si="173"/>
        <v/>
      </c>
      <c r="V191" s="11" t="str">
        <f t="shared" si="174"/>
        <v/>
      </c>
      <c r="X191" s="1" t="str">
        <f t="shared" si="175"/>
        <v/>
      </c>
      <c r="Y191" s="1" t="str">
        <f t="shared" si="176"/>
        <v/>
      </c>
      <c r="Z191" s="1" t="str">
        <f t="shared" si="177"/>
        <v/>
      </c>
      <c r="AB191" s="13">
        <f t="shared" ca="1" si="178"/>
        <v>46176</v>
      </c>
      <c r="AC191" s="1">
        <f t="shared" ca="1" si="179"/>
        <v>2026</v>
      </c>
      <c r="AD191" s="1" t="str">
        <f t="shared" ca="1" si="180"/>
        <v>6</v>
      </c>
      <c r="AE191" s="1">
        <f t="shared" si="181"/>
        <v>1</v>
      </c>
      <c r="AF191" s="1" t="str">
        <f t="shared" si="182"/>
        <v/>
      </c>
      <c r="AG191" s="1">
        <f t="shared" ca="1" si="183"/>
        <v>2026</v>
      </c>
      <c r="AH191" s="1">
        <f t="shared" si="184"/>
        <v>1</v>
      </c>
      <c r="AI191" s="1" t="str">
        <f t="shared" ca="1" si="185"/>
        <v>6</v>
      </c>
      <c r="AJ191" s="13" t="e">
        <f t="shared" ca="1" si="186"/>
        <v>#VALUE!</v>
      </c>
      <c r="AK191" s="1" t="e">
        <f>IF(ISBLANK(A191),"",IFERROR(MID(F191,SEARCH(", ",F191)+LEN(", "),SEARCH(" "&amp;'Exception Stores'!$A$2,F191)-SEARCH(", ",F191)-LEN(", ")),MID(F191,SEARCH(", ",F191)+LEN(", "),SEARCH(" "&amp;'Exception Stores'!$B$2,F191)-SEARCH(", ",F191)-LEN(", "))))</f>
        <v>#VALUE!</v>
      </c>
      <c r="AL191" s="1" t="e">
        <f t="shared" si="187"/>
        <v>#VALUE!</v>
      </c>
      <c r="AM191" s="15" t="e">
        <f t="shared" ca="1" si="188"/>
        <v>#VALUE!</v>
      </c>
      <c r="AN191" s="24" t="e">
        <f t="shared" ca="1" si="189"/>
        <v>#VALUE!</v>
      </c>
      <c r="AO191" s="1" t="e">
        <f t="shared" ca="1" si="190"/>
        <v>#VALUE!</v>
      </c>
      <c r="AP191" s="13" t="e">
        <f t="shared" ca="1" si="191"/>
        <v>#VALUE!</v>
      </c>
      <c r="AQ191" s="17" t="e">
        <f t="shared" ca="1" si="192"/>
        <v>#VALUE!</v>
      </c>
      <c r="AS191" s="15" t="e">
        <f t="shared" ca="1" si="193"/>
        <v>#VALUE!</v>
      </c>
      <c r="AT191" s="5">
        <f>'Exception Stores'!$D$2</f>
        <v>0.125</v>
      </c>
      <c r="AU191" s="15" t="e">
        <f t="shared" ca="1" si="194"/>
        <v>#VALUE!</v>
      </c>
      <c r="AV191" s="15" t="e">
        <f t="shared" ca="1" si="195"/>
        <v>#VALUE!</v>
      </c>
      <c r="AW191" s="15" t="e">
        <f t="shared" ca="1" si="196"/>
        <v>#VALUE!</v>
      </c>
      <c r="AX191" s="15" t="e">
        <f t="shared" ca="1" si="197"/>
        <v>#VALUE!</v>
      </c>
      <c r="AY191" s="15" t="e">
        <f t="shared" ca="1" si="198"/>
        <v>#VALUE!</v>
      </c>
      <c r="AZ191" s="1" t="e">
        <f t="shared" ca="1" si="199"/>
        <v>#VALUE!</v>
      </c>
      <c r="BA191" s="15" t="e">
        <f t="shared" ca="1" si="200"/>
        <v>#VALUE!</v>
      </c>
      <c r="BB191" s="15" t="e">
        <f t="shared" ca="1" si="201"/>
        <v>#VALUE!</v>
      </c>
      <c r="BC191" s="1" t="e">
        <f t="shared" ca="1" si="202"/>
        <v>#VALUE!</v>
      </c>
      <c r="BE191" s="15" t="str">
        <f>IF(ISBLANK('Exception Stores'!$A$6),"",'Exception Stores'!$A$6)</f>
        <v/>
      </c>
      <c r="BF191" s="15" t="str">
        <f>IF(ISBLANK('Exception Stores'!$B$6),"",'Exception Stores'!$B$6)</f>
        <v/>
      </c>
      <c r="BG191" s="1">
        <f>IF(ISBLANK('Exception Stores'!$A$6),0,IF($AN$2&gt;$BF$2,($AN$2-$BF$2)*24,0))</f>
        <v>0</v>
      </c>
      <c r="BH191" s="11">
        <f>IF(ISBLANK('Exception Stores'!$A$6),0,($BF$2-$BE$2)*24)</f>
        <v>0</v>
      </c>
      <c r="BI191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91" s="1">
        <f>IF(ISBLANK('Exception Stores'!$A$6),0,IF($AN$2&gt;$BF$2,0,IF(AND($AN$2&lt;$BF$2,$BT$2="B"),(($BF$2-$AN$2)*24)-$BS$2,($BF$2-$AN$2)*24)))</f>
        <v>0</v>
      </c>
      <c r="BL191" s="5"/>
      <c r="BM191" s="5"/>
      <c r="BN191" s="5"/>
      <c r="BO191" s="5"/>
      <c r="BP191" s="5"/>
      <c r="BV191" s="1" t="e">
        <f t="shared" ca="1" si="203"/>
        <v>#VALUE!</v>
      </c>
      <c r="BW191" s="1" t="e">
        <f t="shared" ca="1" si="204"/>
        <v>#VALUE!</v>
      </c>
      <c r="BX191" s="1" t="e">
        <f t="shared" ca="1" si="205"/>
        <v>#VALUE!</v>
      </c>
      <c r="BY191" s="1" t="e">
        <f t="shared" ca="1" si="206"/>
        <v>#VALUE!</v>
      </c>
      <c r="BZ191" s="1" t="e">
        <f t="shared" ca="1" si="207"/>
        <v>#VALUE!</v>
      </c>
      <c r="CB191" s="1" t="str">
        <f>IF(ISBLANK('Exception Stores'!$A$6),"",WEEKDAY($BF$2))</f>
        <v/>
      </c>
      <c r="CC191" s="1" t="str">
        <f>IF(ISBLANK('Exception Stores'!$A$6),"NO",IF('Exception Stores'!$A$6&lt;$AU$2,"YES","NO"))</f>
        <v>NO</v>
      </c>
      <c r="CD191" s="1" t="str">
        <f>IF(ISBLANK('Exception Stores'!$A$6),"NO",IF('Exception Stores'!$A$6&lt;$AV$2,"YES","NO"))</f>
        <v>NO</v>
      </c>
      <c r="CE191" s="1" t="str">
        <f>IF(ISBLANK('Exception Stores'!$A$6),"NO",IF('Exception Stores'!$A$6&lt;$AW$2,"YES","NO"))</f>
        <v>NO</v>
      </c>
      <c r="CF191" s="1" t="str">
        <f>IF(ISBLANK('Exception Stores'!$A$6),"NO",IF('Exception Stores'!$A$6&lt;$AX$2,"YES","NO"))</f>
        <v>NO</v>
      </c>
      <c r="CG191" s="1" t="str">
        <f>IF(ISBLANK('Exception Stores'!$A$6),"NO",IF('Exception Stores'!$A$6&lt;$AY$2,"YES","NO"))</f>
        <v>NO</v>
      </c>
      <c r="CI191" s="42" t="str">
        <f>IF(ISBLANK('Exception Stores'!$B$6),"NO",IF('Exception Stores'!$B$6&lt;=$AU$2,"YES","NO"))</f>
        <v>NO</v>
      </c>
      <c r="CJ191" s="42" t="str">
        <f>IF(ISBLANK('Exception Stores'!$B$6),"NO",IF('Exception Stores'!$B$6&lt;=$AV$2,"YES","NO"))</f>
        <v>NO</v>
      </c>
      <c r="CK191" s="1" t="str">
        <f>IF(ISBLANK('Exception Stores'!$B$6),"NO",IF('Exception Stores'!$B$6&lt;=$AW$2,"YES","NO"))</f>
        <v>NO</v>
      </c>
      <c r="CL191" s="1" t="str">
        <f>IF(ISBLANK('Exception Stores'!$B$6),"NO",IF('Exception Stores'!$B$6&lt;=$AX$2,"YES","NO"))</f>
        <v>NO</v>
      </c>
      <c r="CM191" s="1" t="str">
        <f>IF(ISBLANK('Exception Stores'!$B$6),"NO",IF('Exception Stores'!$B$6&lt;=$AY$2,"YES","NO"))</f>
        <v>NO</v>
      </c>
      <c r="CO191" s="1" t="e">
        <f ca="1">IF(AM191&lt;'Exception Stores'!$A$6,"YES","NO")</f>
        <v>#VALUE!</v>
      </c>
      <c r="CP191" s="1">
        <f t="shared" si="208"/>
        <v>0</v>
      </c>
      <c r="CQ191" s="1">
        <f t="shared" si="209"/>
        <v>0</v>
      </c>
      <c r="CR191" s="1">
        <f t="shared" si="210"/>
        <v>0</v>
      </c>
      <c r="CS191" s="1">
        <f t="shared" si="211"/>
        <v>0</v>
      </c>
      <c r="CT191" s="1">
        <f t="shared" si="212"/>
        <v>0</v>
      </c>
      <c r="CU191" s="1">
        <f t="shared" si="213"/>
        <v>0</v>
      </c>
      <c r="CW191" s="1" t="e">
        <f t="shared" ca="1" si="218"/>
        <v>#VALUE!</v>
      </c>
      <c r="CX191" s="1" t="e">
        <f t="shared" ca="1" si="219"/>
        <v>#VALUE!</v>
      </c>
      <c r="CY191" s="1" t="e">
        <f t="shared" ca="1" si="220"/>
        <v>#VALUE!</v>
      </c>
      <c r="CZ191" s="1" t="e">
        <f t="shared" ca="1" si="221"/>
        <v>#VALUE!</v>
      </c>
      <c r="DA191" s="1" t="e">
        <f t="shared" ca="1" si="222"/>
        <v>#VALUE!</v>
      </c>
      <c r="DB191" s="26" t="e">
        <f t="shared" ca="1" si="214"/>
        <v>#VALUE!</v>
      </c>
      <c r="DC191" s="1">
        <f t="shared" si="223"/>
        <v>0</v>
      </c>
      <c r="DD191" s="1">
        <f t="shared" si="224"/>
        <v>0</v>
      </c>
      <c r="DE191" s="1">
        <f t="shared" si="225"/>
        <v>0</v>
      </c>
      <c r="DF191" s="1">
        <f t="shared" si="226"/>
        <v>0</v>
      </c>
      <c r="DG191" s="1">
        <f t="shared" si="227"/>
        <v>0</v>
      </c>
      <c r="DH191" s="26">
        <f t="shared" si="215"/>
        <v>0</v>
      </c>
      <c r="DI191" s="1" t="e">
        <f t="shared" ca="1" si="216"/>
        <v>#VALUE!</v>
      </c>
      <c r="DK191" s="11" t="str">
        <f t="shared" si="228"/>
        <v/>
      </c>
      <c r="DL191" s="11" t="e">
        <f ca="1">IF(AND(NOT(ISBLANK('Exception Stores'!$A$6)),CO191="YES"),S191-$BH$2-(DI191*$BS$2)-(CU191*$BS$2),S191-(DB191*$BS$2))</f>
        <v>#VALUE!</v>
      </c>
      <c r="DM191" s="11" t="str">
        <f>IF(ISBLANK(A191),"",IF(COUNTIF(Remaps!$A$2:$A$200,B191)&gt;0,"YES",""))</f>
        <v>YES</v>
      </c>
      <c r="DN191" s="29">
        <f>IFERROR(INDEX(Remaps!$B$2:$B$200,MATCH(B191,Remaps!$A$2:$A$200,0),1),0)</f>
        <v>0</v>
      </c>
      <c r="DO191" s="11" t="e">
        <f t="shared" ca="1" si="229"/>
        <v>#VALUE!</v>
      </c>
      <c r="DP191" s="29" t="e">
        <f t="shared" si="230"/>
        <v>#VALUE!</v>
      </c>
      <c r="DQ191" s="11" t="e">
        <f ca="1">('Apollo Dock Status'!$Z$1-DP191)/DO191</f>
        <v>#VALUE!</v>
      </c>
      <c r="DR191" s="15" t="e">
        <f t="shared" ca="1" si="217"/>
        <v>#VALUE!</v>
      </c>
    </row>
    <row r="192" spans="1:122">
      <c r="A192" s="1" t="str">
        <f>IF(ISBLANK('Apollo Dock Status'!A192),"",'Apollo Dock Status'!A192)</f>
        <v/>
      </c>
      <c r="B192" s="1" t="str">
        <f>IF(ISBLANK('Apollo Dock Status'!B192),"",'Apollo Dock Status'!B192)</f>
        <v/>
      </c>
      <c r="C192" s="1" t="str">
        <f>IF(ISBLANK('Apollo Dock Status'!C192),"",'Apollo Dock Status'!C192)</f>
        <v/>
      </c>
      <c r="D192" s="1" t="str">
        <f>IF(ISBLANK('Apollo Dock Status'!D192),"",'Apollo Dock Status'!D192)</f>
        <v/>
      </c>
      <c r="E192" s="1" t="str">
        <f>IF(ISBLANK('Apollo Dock Status'!E192),"",'Apollo Dock Status'!E192)</f>
        <v/>
      </c>
      <c r="F192" s="1" t="str">
        <f>IF(ISBLANK('Apollo Dock Status'!F192),"",'Apollo Dock Status'!F192)</f>
        <v/>
      </c>
      <c r="G192" s="1" t="str">
        <f>IF(ISBLANK('Apollo Dock Status'!G192),"",'Apollo Dock Status'!G192)</f>
        <v/>
      </c>
      <c r="H192" s="1" t="str">
        <f>IF(ISBLANK('Apollo Dock Status'!H192),"",'Apollo Dock Status'!H192)</f>
        <v/>
      </c>
      <c r="I192" s="1" t="str">
        <f>IF(ISBLANK('Apollo Dock Status'!I192),"",'Apollo Dock Status'!I192)</f>
        <v/>
      </c>
      <c r="J192" s="1" t="str">
        <f>IF(ISBLANK('Apollo Dock Status'!J192),"",'Apollo Dock Status'!J192)</f>
        <v/>
      </c>
      <c r="K192" s="1" t="str">
        <f>IF(ISBLANK('Apollo Dock Status'!K192),"",'Apollo Dock Status'!K192)</f>
        <v/>
      </c>
      <c r="L192" s="1" t="str">
        <f>IF(ISBLANK('Apollo Dock Status'!L192),"",'Apollo Dock Status'!L192)</f>
        <v/>
      </c>
      <c r="M192" s="1" t="str">
        <f>IF(ISBLANK('Apollo Dock Status'!M192),"",'Apollo Dock Status'!M192)</f>
        <v/>
      </c>
      <c r="N192" s="1" t="str">
        <f>IF(ISBLANK('Apollo Dock Status'!N192),"",'Apollo Dock Status'!N192)</f>
        <v/>
      </c>
      <c r="O192" s="1" t="str">
        <f t="shared" si="167"/>
        <v/>
      </c>
      <c r="P192" s="1" t="str">
        <f t="shared" si="168"/>
        <v/>
      </c>
      <c r="Q192" s="1" t="str">
        <f t="shared" si="169"/>
        <v/>
      </c>
      <c r="R192" s="1" t="str">
        <f t="shared" si="170"/>
        <v/>
      </c>
      <c r="S192" s="11" t="str">
        <f t="shared" si="171"/>
        <v/>
      </c>
      <c r="T192" s="1" t="str">
        <f t="shared" si="172"/>
        <v/>
      </c>
      <c r="U192" s="11" t="str">
        <f t="shared" si="173"/>
        <v/>
      </c>
      <c r="V192" s="11" t="str">
        <f t="shared" si="174"/>
        <v/>
      </c>
      <c r="X192" s="1" t="str">
        <f t="shared" si="175"/>
        <v/>
      </c>
      <c r="Y192" s="1" t="str">
        <f t="shared" si="176"/>
        <v/>
      </c>
      <c r="Z192" s="1" t="str">
        <f t="shared" si="177"/>
        <v/>
      </c>
      <c r="AB192" s="13">
        <f t="shared" ca="1" si="178"/>
        <v>46176</v>
      </c>
      <c r="AC192" s="1">
        <f t="shared" ca="1" si="179"/>
        <v>2026</v>
      </c>
      <c r="AD192" s="1" t="str">
        <f t="shared" ca="1" si="180"/>
        <v>6</v>
      </c>
      <c r="AE192" s="1">
        <f t="shared" si="181"/>
        <v>1</v>
      </c>
      <c r="AF192" s="1" t="str">
        <f t="shared" si="182"/>
        <v/>
      </c>
      <c r="AG192" s="1">
        <f t="shared" ca="1" si="183"/>
        <v>2026</v>
      </c>
      <c r="AH192" s="1">
        <f t="shared" si="184"/>
        <v>1</v>
      </c>
      <c r="AI192" s="1" t="str">
        <f t="shared" ca="1" si="185"/>
        <v>6</v>
      </c>
      <c r="AJ192" s="13" t="e">
        <f t="shared" ca="1" si="186"/>
        <v>#VALUE!</v>
      </c>
      <c r="AK192" s="1" t="e">
        <f>IF(ISBLANK(A192),"",IFERROR(MID(F192,SEARCH(", ",F192)+LEN(", "),SEARCH(" "&amp;'Exception Stores'!$A$2,F192)-SEARCH(", ",F192)-LEN(", ")),MID(F192,SEARCH(", ",F192)+LEN(", "),SEARCH(" "&amp;'Exception Stores'!$B$2,F192)-SEARCH(", ",F192)-LEN(", "))))</f>
        <v>#VALUE!</v>
      </c>
      <c r="AL192" s="1" t="e">
        <f t="shared" si="187"/>
        <v>#VALUE!</v>
      </c>
      <c r="AM192" s="15" t="e">
        <f t="shared" ca="1" si="188"/>
        <v>#VALUE!</v>
      </c>
      <c r="AN192" s="24" t="e">
        <f t="shared" ca="1" si="189"/>
        <v>#VALUE!</v>
      </c>
      <c r="AO192" s="1" t="e">
        <f t="shared" ca="1" si="190"/>
        <v>#VALUE!</v>
      </c>
      <c r="AP192" s="13" t="e">
        <f t="shared" ca="1" si="191"/>
        <v>#VALUE!</v>
      </c>
      <c r="AQ192" s="17" t="e">
        <f t="shared" ca="1" si="192"/>
        <v>#VALUE!</v>
      </c>
      <c r="AS192" s="15" t="e">
        <f t="shared" ca="1" si="193"/>
        <v>#VALUE!</v>
      </c>
      <c r="AT192" s="5">
        <f>'Exception Stores'!$D$2</f>
        <v>0.125</v>
      </c>
      <c r="AU192" s="15" t="e">
        <f t="shared" ca="1" si="194"/>
        <v>#VALUE!</v>
      </c>
      <c r="AV192" s="15" t="e">
        <f t="shared" ca="1" si="195"/>
        <v>#VALUE!</v>
      </c>
      <c r="AW192" s="15" t="e">
        <f t="shared" ca="1" si="196"/>
        <v>#VALUE!</v>
      </c>
      <c r="AX192" s="15" t="e">
        <f t="shared" ca="1" si="197"/>
        <v>#VALUE!</v>
      </c>
      <c r="AY192" s="15" t="e">
        <f t="shared" ca="1" si="198"/>
        <v>#VALUE!</v>
      </c>
      <c r="AZ192" s="1" t="e">
        <f t="shared" ca="1" si="199"/>
        <v>#VALUE!</v>
      </c>
      <c r="BA192" s="15" t="e">
        <f t="shared" ca="1" si="200"/>
        <v>#VALUE!</v>
      </c>
      <c r="BB192" s="15" t="e">
        <f t="shared" ca="1" si="201"/>
        <v>#VALUE!</v>
      </c>
      <c r="BC192" s="1" t="e">
        <f t="shared" ca="1" si="202"/>
        <v>#VALUE!</v>
      </c>
      <c r="BE192" s="15" t="str">
        <f>IF(ISBLANK('Exception Stores'!$A$6),"",'Exception Stores'!$A$6)</f>
        <v/>
      </c>
      <c r="BF192" s="15" t="str">
        <f>IF(ISBLANK('Exception Stores'!$B$6),"",'Exception Stores'!$B$6)</f>
        <v/>
      </c>
      <c r="BG192" s="1">
        <f>IF(ISBLANK('Exception Stores'!$A$6),0,IF($AN$2&gt;$BF$2,($AN$2-$BF$2)*24,0))</f>
        <v>0</v>
      </c>
      <c r="BH192" s="11">
        <f>IF(ISBLANK('Exception Stores'!$A$6),0,($BF$2-$BE$2)*24)</f>
        <v>0</v>
      </c>
      <c r="BI192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92" s="1">
        <f>IF(ISBLANK('Exception Stores'!$A$6),0,IF($AN$2&gt;$BF$2,0,IF(AND($AN$2&lt;$BF$2,$BT$2="B"),(($BF$2-$AN$2)*24)-$BS$2,($BF$2-$AN$2)*24)))</f>
        <v>0</v>
      </c>
      <c r="BL192" s="5"/>
      <c r="BM192" s="5"/>
      <c r="BN192" s="5"/>
      <c r="BO192" s="5"/>
      <c r="BP192" s="5"/>
      <c r="BV192" s="1" t="e">
        <f t="shared" ca="1" si="203"/>
        <v>#VALUE!</v>
      </c>
      <c r="BW192" s="1" t="e">
        <f t="shared" ca="1" si="204"/>
        <v>#VALUE!</v>
      </c>
      <c r="BX192" s="1" t="e">
        <f t="shared" ca="1" si="205"/>
        <v>#VALUE!</v>
      </c>
      <c r="BY192" s="1" t="e">
        <f t="shared" ca="1" si="206"/>
        <v>#VALUE!</v>
      </c>
      <c r="BZ192" s="1" t="e">
        <f t="shared" ca="1" si="207"/>
        <v>#VALUE!</v>
      </c>
      <c r="CB192" s="1" t="str">
        <f>IF(ISBLANK('Exception Stores'!$A$6),"",WEEKDAY($BF$2))</f>
        <v/>
      </c>
      <c r="CC192" s="1" t="str">
        <f>IF(ISBLANK('Exception Stores'!$A$6),"NO",IF('Exception Stores'!$A$6&lt;$AU$2,"YES","NO"))</f>
        <v>NO</v>
      </c>
      <c r="CD192" s="1" t="str">
        <f>IF(ISBLANK('Exception Stores'!$A$6),"NO",IF('Exception Stores'!$A$6&lt;$AV$2,"YES","NO"))</f>
        <v>NO</v>
      </c>
      <c r="CE192" s="1" t="str">
        <f>IF(ISBLANK('Exception Stores'!$A$6),"NO",IF('Exception Stores'!$A$6&lt;$AW$2,"YES","NO"))</f>
        <v>NO</v>
      </c>
      <c r="CF192" s="1" t="str">
        <f>IF(ISBLANK('Exception Stores'!$A$6),"NO",IF('Exception Stores'!$A$6&lt;$AX$2,"YES","NO"))</f>
        <v>NO</v>
      </c>
      <c r="CG192" s="1" t="str">
        <f>IF(ISBLANK('Exception Stores'!$A$6),"NO",IF('Exception Stores'!$A$6&lt;$AY$2,"YES","NO"))</f>
        <v>NO</v>
      </c>
      <c r="CI192" s="42" t="str">
        <f>IF(ISBLANK('Exception Stores'!$B$6),"NO",IF('Exception Stores'!$B$6&lt;=$AU$2,"YES","NO"))</f>
        <v>NO</v>
      </c>
      <c r="CJ192" s="42" t="str">
        <f>IF(ISBLANK('Exception Stores'!$B$6),"NO",IF('Exception Stores'!$B$6&lt;=$AV$2,"YES","NO"))</f>
        <v>NO</v>
      </c>
      <c r="CK192" s="1" t="str">
        <f>IF(ISBLANK('Exception Stores'!$B$6),"NO",IF('Exception Stores'!$B$6&lt;=$AW$2,"YES","NO"))</f>
        <v>NO</v>
      </c>
      <c r="CL192" s="1" t="str">
        <f>IF(ISBLANK('Exception Stores'!$B$6),"NO",IF('Exception Stores'!$B$6&lt;=$AX$2,"YES","NO"))</f>
        <v>NO</v>
      </c>
      <c r="CM192" s="1" t="str">
        <f>IF(ISBLANK('Exception Stores'!$B$6),"NO",IF('Exception Stores'!$B$6&lt;=$AY$2,"YES","NO"))</f>
        <v>NO</v>
      </c>
      <c r="CO192" s="1" t="e">
        <f ca="1">IF(AM192&lt;'Exception Stores'!$A$6,"YES","NO")</f>
        <v>#VALUE!</v>
      </c>
      <c r="CP192" s="1">
        <f t="shared" si="208"/>
        <v>0</v>
      </c>
      <c r="CQ192" s="1">
        <f t="shared" si="209"/>
        <v>0</v>
      </c>
      <c r="CR192" s="1">
        <f t="shared" si="210"/>
        <v>0</v>
      </c>
      <c r="CS192" s="1">
        <f t="shared" si="211"/>
        <v>0</v>
      </c>
      <c r="CT192" s="1">
        <f t="shared" si="212"/>
        <v>0</v>
      </c>
      <c r="CU192" s="1">
        <f t="shared" si="213"/>
        <v>0</v>
      </c>
      <c r="CW192" s="1" t="e">
        <f t="shared" ca="1" si="218"/>
        <v>#VALUE!</v>
      </c>
      <c r="CX192" s="1" t="e">
        <f t="shared" ca="1" si="219"/>
        <v>#VALUE!</v>
      </c>
      <c r="CY192" s="1" t="e">
        <f t="shared" ca="1" si="220"/>
        <v>#VALUE!</v>
      </c>
      <c r="CZ192" s="1" t="e">
        <f t="shared" ca="1" si="221"/>
        <v>#VALUE!</v>
      </c>
      <c r="DA192" s="1" t="e">
        <f t="shared" ca="1" si="222"/>
        <v>#VALUE!</v>
      </c>
      <c r="DB192" s="26" t="e">
        <f t="shared" ca="1" si="214"/>
        <v>#VALUE!</v>
      </c>
      <c r="DC192" s="1">
        <f t="shared" si="223"/>
        <v>0</v>
      </c>
      <c r="DD192" s="1">
        <f t="shared" si="224"/>
        <v>0</v>
      </c>
      <c r="DE192" s="1">
        <f t="shared" si="225"/>
        <v>0</v>
      </c>
      <c r="DF192" s="1">
        <f t="shared" si="226"/>
        <v>0</v>
      </c>
      <c r="DG192" s="1">
        <f t="shared" si="227"/>
        <v>0</v>
      </c>
      <c r="DH192" s="26">
        <f t="shared" si="215"/>
        <v>0</v>
      </c>
      <c r="DI192" s="1" t="e">
        <f t="shared" ca="1" si="216"/>
        <v>#VALUE!</v>
      </c>
      <c r="DK192" s="11" t="str">
        <f t="shared" si="228"/>
        <v/>
      </c>
      <c r="DL192" s="11" t="e">
        <f ca="1">IF(AND(NOT(ISBLANK('Exception Stores'!$A$6)),CO192="YES"),S192-$BH$2-(DI192*$BS$2)-(CU192*$BS$2),S192-(DB192*$BS$2))</f>
        <v>#VALUE!</v>
      </c>
      <c r="DM192" s="11" t="str">
        <f>IF(ISBLANK(A192),"",IF(COUNTIF(Remaps!$A$2:$A$200,B192)&gt;0,"YES",""))</f>
        <v>YES</v>
      </c>
      <c r="DN192" s="29">
        <f>IFERROR(INDEX(Remaps!$B$2:$B$200,MATCH(B192,Remaps!$A$2:$A$200,0),1),0)</f>
        <v>0</v>
      </c>
      <c r="DO192" s="11" t="e">
        <f t="shared" ca="1" si="229"/>
        <v>#VALUE!</v>
      </c>
      <c r="DP192" s="29" t="e">
        <f t="shared" si="230"/>
        <v>#VALUE!</v>
      </c>
      <c r="DQ192" s="11" t="e">
        <f ca="1">('Apollo Dock Status'!$Z$1-DP192)/DO192</f>
        <v>#VALUE!</v>
      </c>
      <c r="DR192" s="15" t="e">
        <f t="shared" ca="1" si="217"/>
        <v>#VALUE!</v>
      </c>
    </row>
    <row r="193" spans="1:122">
      <c r="A193" s="1" t="str">
        <f>IF(ISBLANK('Apollo Dock Status'!A193),"",'Apollo Dock Status'!A193)</f>
        <v/>
      </c>
      <c r="B193" s="1" t="str">
        <f>IF(ISBLANK('Apollo Dock Status'!B193),"",'Apollo Dock Status'!B193)</f>
        <v/>
      </c>
      <c r="C193" s="1" t="str">
        <f>IF(ISBLANK('Apollo Dock Status'!C193),"",'Apollo Dock Status'!C193)</f>
        <v/>
      </c>
      <c r="D193" s="1" t="str">
        <f>IF(ISBLANK('Apollo Dock Status'!D193),"",'Apollo Dock Status'!D193)</f>
        <v/>
      </c>
      <c r="E193" s="1" t="str">
        <f>IF(ISBLANK('Apollo Dock Status'!E193),"",'Apollo Dock Status'!E193)</f>
        <v/>
      </c>
      <c r="F193" s="1" t="str">
        <f>IF(ISBLANK('Apollo Dock Status'!F193),"",'Apollo Dock Status'!F193)</f>
        <v/>
      </c>
      <c r="G193" s="1" t="str">
        <f>IF(ISBLANK('Apollo Dock Status'!G193),"",'Apollo Dock Status'!G193)</f>
        <v/>
      </c>
      <c r="H193" s="1" t="str">
        <f>IF(ISBLANK('Apollo Dock Status'!H193),"",'Apollo Dock Status'!H193)</f>
        <v/>
      </c>
      <c r="I193" s="1" t="str">
        <f>IF(ISBLANK('Apollo Dock Status'!I193),"",'Apollo Dock Status'!I193)</f>
        <v/>
      </c>
      <c r="J193" s="1" t="str">
        <f>IF(ISBLANK('Apollo Dock Status'!J193),"",'Apollo Dock Status'!J193)</f>
        <v/>
      </c>
      <c r="K193" s="1" t="str">
        <f>IF(ISBLANK('Apollo Dock Status'!K193),"",'Apollo Dock Status'!K193)</f>
        <v/>
      </c>
      <c r="L193" s="1" t="str">
        <f>IF(ISBLANK('Apollo Dock Status'!L193),"",'Apollo Dock Status'!L193)</f>
        <v/>
      </c>
      <c r="M193" s="1" t="str">
        <f>IF(ISBLANK('Apollo Dock Status'!M193),"",'Apollo Dock Status'!M193)</f>
        <v/>
      </c>
      <c r="N193" s="1" t="str">
        <f>IF(ISBLANK('Apollo Dock Status'!N193),"",'Apollo Dock Status'!N193)</f>
        <v/>
      </c>
      <c r="O193" s="1" t="str">
        <f t="shared" si="167"/>
        <v/>
      </c>
      <c r="P193" s="1" t="str">
        <f t="shared" si="168"/>
        <v/>
      </c>
      <c r="Q193" s="1" t="str">
        <f t="shared" si="169"/>
        <v/>
      </c>
      <c r="R193" s="1" t="str">
        <f t="shared" si="170"/>
        <v/>
      </c>
      <c r="S193" s="11" t="str">
        <f t="shared" si="171"/>
        <v/>
      </c>
      <c r="T193" s="1" t="str">
        <f t="shared" si="172"/>
        <v/>
      </c>
      <c r="U193" s="11" t="str">
        <f t="shared" si="173"/>
        <v/>
      </c>
      <c r="V193" s="11" t="str">
        <f t="shared" si="174"/>
        <v/>
      </c>
      <c r="X193" s="1" t="str">
        <f t="shared" si="175"/>
        <v/>
      </c>
      <c r="Y193" s="1" t="str">
        <f t="shared" si="176"/>
        <v/>
      </c>
      <c r="Z193" s="1" t="str">
        <f t="shared" si="177"/>
        <v/>
      </c>
      <c r="AB193" s="13">
        <f t="shared" ca="1" si="178"/>
        <v>46176</v>
      </c>
      <c r="AC193" s="1">
        <f t="shared" ca="1" si="179"/>
        <v>2026</v>
      </c>
      <c r="AD193" s="1" t="str">
        <f t="shared" ca="1" si="180"/>
        <v>6</v>
      </c>
      <c r="AE193" s="1">
        <f t="shared" si="181"/>
        <v>1</v>
      </c>
      <c r="AF193" s="1" t="str">
        <f t="shared" si="182"/>
        <v/>
      </c>
      <c r="AG193" s="1">
        <f t="shared" ca="1" si="183"/>
        <v>2026</v>
      </c>
      <c r="AH193" s="1">
        <f t="shared" si="184"/>
        <v>1</v>
      </c>
      <c r="AI193" s="1" t="str">
        <f t="shared" ca="1" si="185"/>
        <v>6</v>
      </c>
      <c r="AJ193" s="13" t="e">
        <f t="shared" ca="1" si="186"/>
        <v>#VALUE!</v>
      </c>
      <c r="AK193" s="1" t="e">
        <f>IF(ISBLANK(A193),"",IFERROR(MID(F193,SEARCH(", ",F193)+LEN(", "),SEARCH(" "&amp;'Exception Stores'!$A$2,F193)-SEARCH(", ",F193)-LEN(", ")),MID(F193,SEARCH(", ",F193)+LEN(", "),SEARCH(" "&amp;'Exception Stores'!$B$2,F193)-SEARCH(", ",F193)-LEN(", "))))</f>
        <v>#VALUE!</v>
      </c>
      <c r="AL193" s="1" t="e">
        <f t="shared" si="187"/>
        <v>#VALUE!</v>
      </c>
      <c r="AM193" s="15" t="e">
        <f t="shared" ca="1" si="188"/>
        <v>#VALUE!</v>
      </c>
      <c r="AN193" s="24" t="e">
        <f t="shared" ca="1" si="189"/>
        <v>#VALUE!</v>
      </c>
      <c r="AO193" s="1" t="e">
        <f t="shared" ca="1" si="190"/>
        <v>#VALUE!</v>
      </c>
      <c r="AP193" s="13" t="e">
        <f t="shared" ca="1" si="191"/>
        <v>#VALUE!</v>
      </c>
      <c r="AQ193" s="17" t="e">
        <f t="shared" ca="1" si="192"/>
        <v>#VALUE!</v>
      </c>
      <c r="AS193" s="15" t="e">
        <f t="shared" ca="1" si="193"/>
        <v>#VALUE!</v>
      </c>
      <c r="AT193" s="5">
        <f>'Exception Stores'!$D$2</f>
        <v>0.125</v>
      </c>
      <c r="AU193" s="15" t="e">
        <f t="shared" ca="1" si="194"/>
        <v>#VALUE!</v>
      </c>
      <c r="AV193" s="15" t="e">
        <f t="shared" ca="1" si="195"/>
        <v>#VALUE!</v>
      </c>
      <c r="AW193" s="15" t="e">
        <f t="shared" ca="1" si="196"/>
        <v>#VALUE!</v>
      </c>
      <c r="AX193" s="15" t="e">
        <f t="shared" ca="1" si="197"/>
        <v>#VALUE!</v>
      </c>
      <c r="AY193" s="15" t="e">
        <f t="shared" ca="1" si="198"/>
        <v>#VALUE!</v>
      </c>
      <c r="AZ193" s="1" t="e">
        <f t="shared" ca="1" si="199"/>
        <v>#VALUE!</v>
      </c>
      <c r="BA193" s="15" t="e">
        <f t="shared" ca="1" si="200"/>
        <v>#VALUE!</v>
      </c>
      <c r="BB193" s="15" t="e">
        <f t="shared" ca="1" si="201"/>
        <v>#VALUE!</v>
      </c>
      <c r="BC193" s="1" t="e">
        <f t="shared" ca="1" si="202"/>
        <v>#VALUE!</v>
      </c>
      <c r="BE193" s="15" t="str">
        <f>IF(ISBLANK('Exception Stores'!$A$6),"",'Exception Stores'!$A$6)</f>
        <v/>
      </c>
      <c r="BF193" s="15" t="str">
        <f>IF(ISBLANK('Exception Stores'!$B$6),"",'Exception Stores'!$B$6)</f>
        <v/>
      </c>
      <c r="BG193" s="1">
        <f>IF(ISBLANK('Exception Stores'!$A$6),0,IF($AN$2&gt;$BF$2,($AN$2-$BF$2)*24,0))</f>
        <v>0</v>
      </c>
      <c r="BH193" s="11">
        <f>IF(ISBLANK('Exception Stores'!$A$6),0,($BF$2-$BE$2)*24)</f>
        <v>0</v>
      </c>
      <c r="BI193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93" s="1">
        <f>IF(ISBLANK('Exception Stores'!$A$6),0,IF($AN$2&gt;$BF$2,0,IF(AND($AN$2&lt;$BF$2,$BT$2="B"),(($BF$2-$AN$2)*24)-$BS$2,($BF$2-$AN$2)*24)))</f>
        <v>0</v>
      </c>
      <c r="BL193" s="5"/>
      <c r="BM193" s="5"/>
      <c r="BN193" s="5"/>
      <c r="BO193" s="5"/>
      <c r="BP193" s="5"/>
      <c r="BV193" s="1" t="e">
        <f t="shared" ca="1" si="203"/>
        <v>#VALUE!</v>
      </c>
      <c r="BW193" s="1" t="e">
        <f t="shared" ca="1" si="204"/>
        <v>#VALUE!</v>
      </c>
      <c r="BX193" s="1" t="e">
        <f t="shared" ca="1" si="205"/>
        <v>#VALUE!</v>
      </c>
      <c r="BY193" s="1" t="e">
        <f t="shared" ca="1" si="206"/>
        <v>#VALUE!</v>
      </c>
      <c r="BZ193" s="1" t="e">
        <f t="shared" ca="1" si="207"/>
        <v>#VALUE!</v>
      </c>
      <c r="CB193" s="1" t="str">
        <f>IF(ISBLANK('Exception Stores'!$A$6),"",WEEKDAY($BF$2))</f>
        <v/>
      </c>
      <c r="CC193" s="1" t="str">
        <f>IF(ISBLANK('Exception Stores'!$A$6),"NO",IF('Exception Stores'!$A$6&lt;$AU$2,"YES","NO"))</f>
        <v>NO</v>
      </c>
      <c r="CD193" s="1" t="str">
        <f>IF(ISBLANK('Exception Stores'!$A$6),"NO",IF('Exception Stores'!$A$6&lt;$AV$2,"YES","NO"))</f>
        <v>NO</v>
      </c>
      <c r="CE193" s="1" t="str">
        <f>IF(ISBLANK('Exception Stores'!$A$6),"NO",IF('Exception Stores'!$A$6&lt;$AW$2,"YES","NO"))</f>
        <v>NO</v>
      </c>
      <c r="CF193" s="1" t="str">
        <f>IF(ISBLANK('Exception Stores'!$A$6),"NO",IF('Exception Stores'!$A$6&lt;$AX$2,"YES","NO"))</f>
        <v>NO</v>
      </c>
      <c r="CG193" s="1" t="str">
        <f>IF(ISBLANK('Exception Stores'!$A$6),"NO",IF('Exception Stores'!$A$6&lt;$AY$2,"YES","NO"))</f>
        <v>NO</v>
      </c>
      <c r="CI193" s="42" t="str">
        <f>IF(ISBLANK('Exception Stores'!$B$6),"NO",IF('Exception Stores'!$B$6&lt;=$AU$2,"YES","NO"))</f>
        <v>NO</v>
      </c>
      <c r="CJ193" s="42" t="str">
        <f>IF(ISBLANK('Exception Stores'!$B$6),"NO",IF('Exception Stores'!$B$6&lt;=$AV$2,"YES","NO"))</f>
        <v>NO</v>
      </c>
      <c r="CK193" s="1" t="str">
        <f>IF(ISBLANK('Exception Stores'!$B$6),"NO",IF('Exception Stores'!$B$6&lt;=$AW$2,"YES","NO"))</f>
        <v>NO</v>
      </c>
      <c r="CL193" s="1" t="str">
        <f>IF(ISBLANK('Exception Stores'!$B$6),"NO",IF('Exception Stores'!$B$6&lt;=$AX$2,"YES","NO"))</f>
        <v>NO</v>
      </c>
      <c r="CM193" s="1" t="str">
        <f>IF(ISBLANK('Exception Stores'!$B$6),"NO",IF('Exception Stores'!$B$6&lt;=$AY$2,"YES","NO"))</f>
        <v>NO</v>
      </c>
      <c r="CO193" s="1" t="e">
        <f ca="1">IF(AM193&lt;'Exception Stores'!$A$6,"YES","NO")</f>
        <v>#VALUE!</v>
      </c>
      <c r="CP193" s="1">
        <f t="shared" si="208"/>
        <v>0</v>
      </c>
      <c r="CQ193" s="1">
        <f t="shared" si="209"/>
        <v>0</v>
      </c>
      <c r="CR193" s="1">
        <f t="shared" si="210"/>
        <v>0</v>
      </c>
      <c r="CS193" s="1">
        <f t="shared" si="211"/>
        <v>0</v>
      </c>
      <c r="CT193" s="1">
        <f t="shared" si="212"/>
        <v>0</v>
      </c>
      <c r="CU193" s="1">
        <f t="shared" si="213"/>
        <v>0</v>
      </c>
      <c r="CW193" s="1" t="e">
        <f t="shared" ca="1" si="218"/>
        <v>#VALUE!</v>
      </c>
      <c r="CX193" s="1" t="e">
        <f t="shared" ca="1" si="219"/>
        <v>#VALUE!</v>
      </c>
      <c r="CY193" s="1" t="e">
        <f t="shared" ca="1" si="220"/>
        <v>#VALUE!</v>
      </c>
      <c r="CZ193" s="1" t="e">
        <f t="shared" ca="1" si="221"/>
        <v>#VALUE!</v>
      </c>
      <c r="DA193" s="1" t="e">
        <f t="shared" ca="1" si="222"/>
        <v>#VALUE!</v>
      </c>
      <c r="DB193" s="26" t="e">
        <f t="shared" ca="1" si="214"/>
        <v>#VALUE!</v>
      </c>
      <c r="DC193" s="1">
        <f t="shared" si="223"/>
        <v>0</v>
      </c>
      <c r="DD193" s="1">
        <f t="shared" si="224"/>
        <v>0</v>
      </c>
      <c r="DE193" s="1">
        <f t="shared" si="225"/>
        <v>0</v>
      </c>
      <c r="DF193" s="1">
        <f t="shared" si="226"/>
        <v>0</v>
      </c>
      <c r="DG193" s="1">
        <f t="shared" si="227"/>
        <v>0</v>
      </c>
      <c r="DH193" s="26">
        <f t="shared" si="215"/>
        <v>0</v>
      </c>
      <c r="DI193" s="1" t="e">
        <f t="shared" ca="1" si="216"/>
        <v>#VALUE!</v>
      </c>
      <c r="DK193" s="11" t="str">
        <f t="shared" si="228"/>
        <v/>
      </c>
      <c r="DL193" s="11" t="e">
        <f ca="1">IF(AND(NOT(ISBLANK('Exception Stores'!$A$6)),CO193="YES"),S193-$BH$2-(DI193*$BS$2)-(CU193*$BS$2),S193-(DB193*$BS$2))</f>
        <v>#VALUE!</v>
      </c>
      <c r="DM193" s="11" t="str">
        <f>IF(ISBLANK(A193),"",IF(COUNTIF(Remaps!$A$2:$A$200,B193)&gt;0,"YES",""))</f>
        <v>YES</v>
      </c>
      <c r="DN193" s="29">
        <f>IFERROR(INDEX(Remaps!$B$2:$B$200,MATCH(B193,Remaps!$A$2:$A$200,0),1),0)</f>
        <v>0</v>
      </c>
      <c r="DO193" s="11" t="e">
        <f t="shared" ca="1" si="229"/>
        <v>#VALUE!</v>
      </c>
      <c r="DP193" s="29" t="e">
        <f t="shared" si="230"/>
        <v>#VALUE!</v>
      </c>
      <c r="DQ193" s="11" t="e">
        <f ca="1">('Apollo Dock Status'!$Z$1-DP193)/DO193</f>
        <v>#VALUE!</v>
      </c>
      <c r="DR193" s="15" t="e">
        <f t="shared" ca="1" si="217"/>
        <v>#VALUE!</v>
      </c>
    </row>
    <row r="194" spans="1:122">
      <c r="A194" s="1" t="str">
        <f>IF(ISBLANK('Apollo Dock Status'!A194),"",'Apollo Dock Status'!A194)</f>
        <v/>
      </c>
      <c r="B194" s="1" t="str">
        <f>IF(ISBLANK('Apollo Dock Status'!B194),"",'Apollo Dock Status'!B194)</f>
        <v/>
      </c>
      <c r="C194" s="1" t="str">
        <f>IF(ISBLANK('Apollo Dock Status'!C194),"",'Apollo Dock Status'!C194)</f>
        <v/>
      </c>
      <c r="D194" s="1" t="str">
        <f>IF(ISBLANK('Apollo Dock Status'!D194),"",'Apollo Dock Status'!D194)</f>
        <v/>
      </c>
      <c r="E194" s="1" t="str">
        <f>IF(ISBLANK('Apollo Dock Status'!E194),"",'Apollo Dock Status'!E194)</f>
        <v/>
      </c>
      <c r="F194" s="1" t="str">
        <f>IF(ISBLANK('Apollo Dock Status'!F194),"",'Apollo Dock Status'!F194)</f>
        <v/>
      </c>
      <c r="G194" s="1" t="str">
        <f>IF(ISBLANK('Apollo Dock Status'!G194),"",'Apollo Dock Status'!G194)</f>
        <v/>
      </c>
      <c r="H194" s="1" t="str">
        <f>IF(ISBLANK('Apollo Dock Status'!H194),"",'Apollo Dock Status'!H194)</f>
        <v/>
      </c>
      <c r="I194" s="1" t="str">
        <f>IF(ISBLANK('Apollo Dock Status'!I194),"",'Apollo Dock Status'!I194)</f>
        <v/>
      </c>
      <c r="J194" s="1" t="str">
        <f>IF(ISBLANK('Apollo Dock Status'!J194),"",'Apollo Dock Status'!J194)</f>
        <v/>
      </c>
      <c r="K194" s="1" t="str">
        <f>IF(ISBLANK('Apollo Dock Status'!K194),"",'Apollo Dock Status'!K194)</f>
        <v/>
      </c>
      <c r="L194" s="1" t="str">
        <f>IF(ISBLANK('Apollo Dock Status'!L194),"",'Apollo Dock Status'!L194)</f>
        <v/>
      </c>
      <c r="M194" s="1" t="str">
        <f>IF(ISBLANK('Apollo Dock Status'!M194),"",'Apollo Dock Status'!M194)</f>
        <v/>
      </c>
      <c r="N194" s="1" t="str">
        <f>IF(ISBLANK('Apollo Dock Status'!N194),"",'Apollo Dock Status'!N194)</f>
        <v/>
      </c>
      <c r="O194" s="1" t="str">
        <f t="shared" si="167"/>
        <v/>
      </c>
      <c r="P194" s="1" t="str">
        <f t="shared" si="168"/>
        <v/>
      </c>
      <c r="Q194" s="1" t="str">
        <f t="shared" si="169"/>
        <v/>
      </c>
      <c r="R194" s="1" t="str">
        <f t="shared" si="170"/>
        <v/>
      </c>
      <c r="S194" s="11" t="str">
        <f t="shared" si="171"/>
        <v/>
      </c>
      <c r="T194" s="1" t="str">
        <f t="shared" si="172"/>
        <v/>
      </c>
      <c r="U194" s="11" t="str">
        <f t="shared" si="173"/>
        <v/>
      </c>
      <c r="V194" s="11" t="str">
        <f t="shared" si="174"/>
        <v/>
      </c>
      <c r="X194" s="1" t="str">
        <f t="shared" si="175"/>
        <v/>
      </c>
      <c r="Y194" s="1" t="str">
        <f t="shared" si="176"/>
        <v/>
      </c>
      <c r="Z194" s="1" t="str">
        <f t="shared" si="177"/>
        <v/>
      </c>
      <c r="AB194" s="13">
        <f t="shared" ca="1" si="178"/>
        <v>46176</v>
      </c>
      <c r="AC194" s="1">
        <f t="shared" ca="1" si="179"/>
        <v>2026</v>
      </c>
      <c r="AD194" s="1" t="str">
        <f t="shared" ca="1" si="180"/>
        <v>6</v>
      </c>
      <c r="AE194" s="1">
        <f t="shared" si="181"/>
        <v>1</v>
      </c>
      <c r="AF194" s="1" t="str">
        <f t="shared" si="182"/>
        <v/>
      </c>
      <c r="AG194" s="1">
        <f t="shared" ca="1" si="183"/>
        <v>2026</v>
      </c>
      <c r="AH194" s="1">
        <f t="shared" si="184"/>
        <v>1</v>
      </c>
      <c r="AI194" s="1" t="str">
        <f t="shared" ca="1" si="185"/>
        <v>6</v>
      </c>
      <c r="AJ194" s="13" t="e">
        <f t="shared" ca="1" si="186"/>
        <v>#VALUE!</v>
      </c>
      <c r="AK194" s="1" t="e">
        <f>IF(ISBLANK(A194),"",IFERROR(MID(F194,SEARCH(", ",F194)+LEN(", "),SEARCH(" "&amp;'Exception Stores'!$A$2,F194)-SEARCH(", ",F194)-LEN(", ")),MID(F194,SEARCH(", ",F194)+LEN(", "),SEARCH(" "&amp;'Exception Stores'!$B$2,F194)-SEARCH(", ",F194)-LEN(", "))))</f>
        <v>#VALUE!</v>
      </c>
      <c r="AL194" s="1" t="e">
        <f t="shared" si="187"/>
        <v>#VALUE!</v>
      </c>
      <c r="AM194" s="15" t="e">
        <f t="shared" ca="1" si="188"/>
        <v>#VALUE!</v>
      </c>
      <c r="AN194" s="24" t="e">
        <f t="shared" ca="1" si="189"/>
        <v>#VALUE!</v>
      </c>
      <c r="AO194" s="1" t="e">
        <f t="shared" ca="1" si="190"/>
        <v>#VALUE!</v>
      </c>
      <c r="AP194" s="13" t="e">
        <f t="shared" ca="1" si="191"/>
        <v>#VALUE!</v>
      </c>
      <c r="AQ194" s="17" t="e">
        <f t="shared" ca="1" si="192"/>
        <v>#VALUE!</v>
      </c>
      <c r="AS194" s="15" t="e">
        <f t="shared" ca="1" si="193"/>
        <v>#VALUE!</v>
      </c>
      <c r="AT194" s="5">
        <f>'Exception Stores'!$D$2</f>
        <v>0.125</v>
      </c>
      <c r="AU194" s="15" t="e">
        <f t="shared" ca="1" si="194"/>
        <v>#VALUE!</v>
      </c>
      <c r="AV194" s="15" t="e">
        <f t="shared" ca="1" si="195"/>
        <v>#VALUE!</v>
      </c>
      <c r="AW194" s="15" t="e">
        <f t="shared" ca="1" si="196"/>
        <v>#VALUE!</v>
      </c>
      <c r="AX194" s="15" t="e">
        <f t="shared" ca="1" si="197"/>
        <v>#VALUE!</v>
      </c>
      <c r="AY194" s="15" t="e">
        <f t="shared" ca="1" si="198"/>
        <v>#VALUE!</v>
      </c>
      <c r="AZ194" s="1" t="e">
        <f t="shared" ca="1" si="199"/>
        <v>#VALUE!</v>
      </c>
      <c r="BA194" s="15" t="e">
        <f t="shared" ca="1" si="200"/>
        <v>#VALUE!</v>
      </c>
      <c r="BB194" s="15" t="e">
        <f t="shared" ca="1" si="201"/>
        <v>#VALUE!</v>
      </c>
      <c r="BC194" s="1" t="e">
        <f t="shared" ca="1" si="202"/>
        <v>#VALUE!</v>
      </c>
      <c r="BE194" s="15" t="str">
        <f>IF(ISBLANK('Exception Stores'!$A$6),"",'Exception Stores'!$A$6)</f>
        <v/>
      </c>
      <c r="BF194" s="15" t="str">
        <f>IF(ISBLANK('Exception Stores'!$B$6),"",'Exception Stores'!$B$6)</f>
        <v/>
      </c>
      <c r="BG194" s="1">
        <f>IF(ISBLANK('Exception Stores'!$A$6),0,IF($AN$2&gt;$BF$2,($AN$2-$BF$2)*24,0))</f>
        <v>0</v>
      </c>
      <c r="BH194" s="11">
        <f>IF(ISBLANK('Exception Stores'!$A$6),0,($BF$2-$BE$2)*24)</f>
        <v>0</v>
      </c>
      <c r="BI194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94" s="1">
        <f>IF(ISBLANK('Exception Stores'!$A$6),0,IF($AN$2&gt;$BF$2,0,IF(AND($AN$2&lt;$BF$2,$BT$2="B"),(($BF$2-$AN$2)*24)-$BS$2,($BF$2-$AN$2)*24)))</f>
        <v>0</v>
      </c>
      <c r="BL194" s="5"/>
      <c r="BM194" s="5"/>
      <c r="BN194" s="5"/>
      <c r="BO194" s="5"/>
      <c r="BP194" s="5"/>
      <c r="BV194" s="1" t="e">
        <f t="shared" ca="1" si="203"/>
        <v>#VALUE!</v>
      </c>
      <c r="BW194" s="1" t="e">
        <f t="shared" ca="1" si="204"/>
        <v>#VALUE!</v>
      </c>
      <c r="BX194" s="1" t="e">
        <f t="shared" ca="1" si="205"/>
        <v>#VALUE!</v>
      </c>
      <c r="BY194" s="1" t="e">
        <f t="shared" ca="1" si="206"/>
        <v>#VALUE!</v>
      </c>
      <c r="BZ194" s="1" t="e">
        <f t="shared" ca="1" si="207"/>
        <v>#VALUE!</v>
      </c>
      <c r="CB194" s="1" t="str">
        <f>IF(ISBLANK('Exception Stores'!$A$6),"",WEEKDAY($BF$2))</f>
        <v/>
      </c>
      <c r="CC194" s="1" t="str">
        <f>IF(ISBLANK('Exception Stores'!$A$6),"NO",IF('Exception Stores'!$A$6&lt;$AU$2,"YES","NO"))</f>
        <v>NO</v>
      </c>
      <c r="CD194" s="1" t="str">
        <f>IF(ISBLANK('Exception Stores'!$A$6),"NO",IF('Exception Stores'!$A$6&lt;$AV$2,"YES","NO"))</f>
        <v>NO</v>
      </c>
      <c r="CE194" s="1" t="str">
        <f>IF(ISBLANK('Exception Stores'!$A$6),"NO",IF('Exception Stores'!$A$6&lt;$AW$2,"YES","NO"))</f>
        <v>NO</v>
      </c>
      <c r="CF194" s="1" t="str">
        <f>IF(ISBLANK('Exception Stores'!$A$6),"NO",IF('Exception Stores'!$A$6&lt;$AX$2,"YES","NO"))</f>
        <v>NO</v>
      </c>
      <c r="CG194" s="1" t="str">
        <f>IF(ISBLANK('Exception Stores'!$A$6),"NO",IF('Exception Stores'!$A$6&lt;$AY$2,"YES","NO"))</f>
        <v>NO</v>
      </c>
      <c r="CI194" s="42" t="str">
        <f>IF(ISBLANK('Exception Stores'!$B$6),"NO",IF('Exception Stores'!$B$6&lt;=$AU$2,"YES","NO"))</f>
        <v>NO</v>
      </c>
      <c r="CJ194" s="42" t="str">
        <f>IF(ISBLANK('Exception Stores'!$B$6),"NO",IF('Exception Stores'!$B$6&lt;=$AV$2,"YES","NO"))</f>
        <v>NO</v>
      </c>
      <c r="CK194" s="1" t="str">
        <f>IF(ISBLANK('Exception Stores'!$B$6),"NO",IF('Exception Stores'!$B$6&lt;=$AW$2,"YES","NO"))</f>
        <v>NO</v>
      </c>
      <c r="CL194" s="1" t="str">
        <f>IF(ISBLANK('Exception Stores'!$B$6),"NO",IF('Exception Stores'!$B$6&lt;=$AX$2,"YES","NO"))</f>
        <v>NO</v>
      </c>
      <c r="CM194" s="1" t="str">
        <f>IF(ISBLANK('Exception Stores'!$B$6),"NO",IF('Exception Stores'!$B$6&lt;=$AY$2,"YES","NO"))</f>
        <v>NO</v>
      </c>
      <c r="CO194" s="1" t="e">
        <f ca="1">IF(AM194&lt;'Exception Stores'!$A$6,"YES","NO")</f>
        <v>#VALUE!</v>
      </c>
      <c r="CP194" s="1">
        <f t="shared" si="208"/>
        <v>0</v>
      </c>
      <c r="CQ194" s="1">
        <f t="shared" si="209"/>
        <v>0</v>
      </c>
      <c r="CR194" s="1">
        <f t="shared" si="210"/>
        <v>0</v>
      </c>
      <c r="CS194" s="1">
        <f t="shared" si="211"/>
        <v>0</v>
      </c>
      <c r="CT194" s="1">
        <f t="shared" si="212"/>
        <v>0</v>
      </c>
      <c r="CU194" s="1">
        <f t="shared" si="213"/>
        <v>0</v>
      </c>
      <c r="CW194" s="1" t="e">
        <f t="shared" ref="CW194:CW200" ca="1" si="231">IF(BV194="NO",0,1)</f>
        <v>#VALUE!</v>
      </c>
      <c r="CX194" s="1" t="e">
        <f t="shared" ref="CX194:CX200" ca="1" si="232">IF(BW194="NO",0,1)</f>
        <v>#VALUE!</v>
      </c>
      <c r="CY194" s="1" t="e">
        <f t="shared" ref="CY194:CY200" ca="1" si="233">IF(BX194="NO",0,1)</f>
        <v>#VALUE!</v>
      </c>
      <c r="CZ194" s="1" t="e">
        <f t="shared" ref="CZ194:CZ200" ca="1" si="234">IF(BY194="NO",0,1)</f>
        <v>#VALUE!</v>
      </c>
      <c r="DA194" s="1" t="e">
        <f t="shared" ref="DA194:DA200" ca="1" si="235">IF(BZ194="NO",0,1)</f>
        <v>#VALUE!</v>
      </c>
      <c r="DB194" s="26" t="e">
        <f t="shared" ca="1" si="214"/>
        <v>#VALUE!</v>
      </c>
      <c r="DC194" s="1">
        <f t="shared" ref="DC194:DC200" si="236">IF(CC194="NO",0,1)</f>
        <v>0</v>
      </c>
      <c r="DD194" s="1">
        <f t="shared" ref="DD194:DD200" si="237">IF(CD194="NO",0,1)</f>
        <v>0</v>
      </c>
      <c r="DE194" s="1">
        <f t="shared" ref="DE194:DE200" si="238">IF(CE194="NO",0,1)</f>
        <v>0</v>
      </c>
      <c r="DF194" s="1">
        <f t="shared" ref="DF194:DF200" si="239">IF(CF194="NO",0,1)</f>
        <v>0</v>
      </c>
      <c r="DG194" s="1">
        <f t="shared" ref="DG194:DG200" si="240">IF(CG194="NO",0,1)</f>
        <v>0</v>
      </c>
      <c r="DH194" s="26">
        <f t="shared" si="215"/>
        <v>0</v>
      </c>
      <c r="DI194" s="1" t="e">
        <f t="shared" ca="1" si="216"/>
        <v>#VALUE!</v>
      </c>
      <c r="DK194" s="11" t="str">
        <f t="shared" ref="DK194:DK200" si="241">S194</f>
        <v/>
      </c>
      <c r="DL194" s="11" t="e">
        <f ca="1">IF(AND(NOT(ISBLANK('Exception Stores'!$A$6)),CO194="YES"),S194-$BH$2-(DI194*$BS$2)-(CU194*$BS$2),S194-(DB194*$BS$2))</f>
        <v>#VALUE!</v>
      </c>
      <c r="DM194" s="11" t="str">
        <f>IF(ISBLANK(A194),"",IF(COUNTIF(Remaps!$A$2:$A$200,B194)&gt;0,"YES",""))</f>
        <v>YES</v>
      </c>
      <c r="DN194" s="29">
        <f>IFERROR(INDEX(Remaps!$B$2:$B$200,MATCH(B194,Remaps!$A$2:$A$200,0),1),0)</f>
        <v>0</v>
      </c>
      <c r="DO194" s="11" t="e">
        <f t="shared" ref="DO194:DO200" ca="1" si="242">K194/DL194</f>
        <v>#VALUE!</v>
      </c>
      <c r="DP194" s="29" t="e">
        <f t="shared" ref="DP194:DP200" si="243">DN194+K194</f>
        <v>#VALUE!</v>
      </c>
      <c r="DQ194" s="11" t="e">
        <f ca="1">('Apollo Dock Status'!$Z$1-DP194)/DO194</f>
        <v>#VALUE!</v>
      </c>
      <c r="DR194" s="15" t="e">
        <f t="shared" ca="1" si="217"/>
        <v>#VALUE!</v>
      </c>
    </row>
    <row r="195" spans="1:122">
      <c r="A195" s="1" t="str">
        <f>IF(ISBLANK('Apollo Dock Status'!A195),"",'Apollo Dock Status'!A195)</f>
        <v/>
      </c>
      <c r="B195" s="1" t="str">
        <f>IF(ISBLANK('Apollo Dock Status'!B195),"",'Apollo Dock Status'!B195)</f>
        <v/>
      </c>
      <c r="C195" s="1" t="str">
        <f>IF(ISBLANK('Apollo Dock Status'!C195),"",'Apollo Dock Status'!C195)</f>
        <v/>
      </c>
      <c r="D195" s="1" t="str">
        <f>IF(ISBLANK('Apollo Dock Status'!D195),"",'Apollo Dock Status'!D195)</f>
        <v/>
      </c>
      <c r="E195" s="1" t="str">
        <f>IF(ISBLANK('Apollo Dock Status'!E195),"",'Apollo Dock Status'!E195)</f>
        <v/>
      </c>
      <c r="F195" s="1" t="str">
        <f>IF(ISBLANK('Apollo Dock Status'!F195),"",'Apollo Dock Status'!F195)</f>
        <v/>
      </c>
      <c r="G195" s="1" t="str">
        <f>IF(ISBLANK('Apollo Dock Status'!G195),"",'Apollo Dock Status'!G195)</f>
        <v/>
      </c>
      <c r="H195" s="1" t="str">
        <f>IF(ISBLANK('Apollo Dock Status'!H195),"",'Apollo Dock Status'!H195)</f>
        <v/>
      </c>
      <c r="I195" s="1" t="str">
        <f>IF(ISBLANK('Apollo Dock Status'!I195),"",'Apollo Dock Status'!I195)</f>
        <v/>
      </c>
      <c r="J195" s="1" t="str">
        <f>IF(ISBLANK('Apollo Dock Status'!J195),"",'Apollo Dock Status'!J195)</f>
        <v/>
      </c>
      <c r="K195" s="1" t="str">
        <f>IF(ISBLANK('Apollo Dock Status'!K195),"",'Apollo Dock Status'!K195)</f>
        <v/>
      </c>
      <c r="L195" s="1" t="str">
        <f>IF(ISBLANK('Apollo Dock Status'!L195),"",'Apollo Dock Status'!L195)</f>
        <v/>
      </c>
      <c r="M195" s="1" t="str">
        <f>IF(ISBLANK('Apollo Dock Status'!M195),"",'Apollo Dock Status'!M195)</f>
        <v/>
      </c>
      <c r="N195" s="1" t="str">
        <f>IF(ISBLANK('Apollo Dock Status'!N195),"",'Apollo Dock Status'!N195)</f>
        <v/>
      </c>
      <c r="O195" s="1" t="str">
        <f t="shared" ref="O195:O200" si="244">IF(ISBLANK(A195),"",G195)</f>
        <v/>
      </c>
      <c r="P195" s="1" t="str">
        <f t="shared" ref="P195:P200" si="245">IFERROR(LEFT(O195,(FIND(" hr",O195, 1)-1)),"")</f>
        <v/>
      </c>
      <c r="Q195" s="1" t="str">
        <f t="shared" ref="Q195:Q200" si="246">RIGHT(O195, 6)</f>
        <v/>
      </c>
      <c r="R195" s="1" t="str">
        <f t="shared" ref="R195:R200" si="247">LEFT(Q195, 2)</f>
        <v/>
      </c>
      <c r="S195" s="11" t="str">
        <f t="shared" ref="S195:S200" si="248">IFERROR(P195+R195/60,"")</f>
        <v/>
      </c>
      <c r="T195" s="1" t="str">
        <f t="shared" ref="T195:T200" si="249">IF(ISBLANK(A195),"",K195)</f>
        <v/>
      </c>
      <c r="U195" s="11" t="str">
        <f t="shared" ref="U195:U200" si="250">IFERROR(T195/S195,"")</f>
        <v/>
      </c>
      <c r="V195" s="11" t="str">
        <f t="shared" ref="V195:V200" si="251">IFERROR(I195/S195,"")</f>
        <v/>
      </c>
      <c r="X195" s="1" t="str">
        <f t="shared" ref="X195:X200" si="252">IF(ISBLANK(A195),"",B195)</f>
        <v/>
      </c>
      <c r="Y195" s="1" t="str">
        <f t="shared" ref="Y195:Y200" si="253">IF(ISBLANK(A195),"",C195)</f>
        <v/>
      </c>
      <c r="Z195" s="1" t="str">
        <f t="shared" ref="Z195:Z200" si="254">IF(ISBLANK(A195),"",RIGHT(A195,3))</f>
        <v/>
      </c>
      <c r="AB195" s="13">
        <f t="shared" ref="AB195:AB200" ca="1" si="255">IF(ISBLANK(A195),"",TODAY())</f>
        <v>46176</v>
      </c>
      <c r="AC195" s="1">
        <f t="shared" ref="AC195:AC200" ca="1" si="256">IF(ISBLANK(A195),"",YEAR($AB$2))</f>
        <v>2026</v>
      </c>
      <c r="AD195" s="1" t="str">
        <f t="shared" ref="AD195:AD200" ca="1" si="257">TEXT(AB195,"m")</f>
        <v>6</v>
      </c>
      <c r="AE195" s="1">
        <f t="shared" ref="AE195:AE200" si="258">IF(ISBLANK(A195),"",MONTH(1&amp;LEFT(F195,3)))</f>
        <v>1</v>
      </c>
      <c r="AF195" s="1" t="str">
        <f t="shared" ref="AF195:AF200" si="259">IF(ISBLANK(A195),"",MID(F195,5,2))</f>
        <v/>
      </c>
      <c r="AG195" s="1">
        <f t="shared" ref="AG195:AG200" ca="1" si="260">IF(ISBLANK(A195),"",IF(AND(VALUE($AI195)=1,VALUE($AH195)=12),$AC195-1,$AC195))</f>
        <v>2026</v>
      </c>
      <c r="AH195" s="1">
        <f t="shared" ref="AH195:AH200" si="261">AE195</f>
        <v>1</v>
      </c>
      <c r="AI195" s="1" t="str">
        <f t="shared" ref="AI195:AI200" ca="1" si="262">AD195</f>
        <v>6</v>
      </c>
      <c r="AJ195" s="13" t="e">
        <f t="shared" ref="AJ195:AJ200" ca="1" si="263">IF(ISBLANK(A195),"",DATE(AG195,AE195,AF195))</f>
        <v>#VALUE!</v>
      </c>
      <c r="AK195" s="1" t="e">
        <f>IF(ISBLANK(A195),"",IFERROR(MID(F195,SEARCH(", ",F195)+LEN(", "),SEARCH(" "&amp;'Exception Stores'!$A$2,F195)-SEARCH(", ",F195)-LEN(", ")),MID(F195,SEARCH(", ",F195)+LEN(", "),SEARCH(" "&amp;'Exception Stores'!$B$2,F195)-SEARCH(", ",F195)-LEN(", "))))</f>
        <v>#VALUE!</v>
      </c>
      <c r="AL195" s="1" t="e">
        <f t="shared" ref="AL195:AL200" si="264">IF(ISBLANK(A195),"",TEXT(AK195,"[hh]:mm"))</f>
        <v>#VALUE!</v>
      </c>
      <c r="AM195" s="15" t="e">
        <f t="shared" ref="AM195:AM200" ca="1" si="265">IF(ISBLANK(A195),"",AJ195+AL195)</f>
        <v>#VALUE!</v>
      </c>
      <c r="AN195" s="24" t="e">
        <f t="shared" ref="AN195:AN200" ca="1" si="266">IF(ISBLANK(A195),"",AM195+S195/24)</f>
        <v>#VALUE!</v>
      </c>
      <c r="AO195" s="1" t="e">
        <f t="shared" ref="AO195:AO200" ca="1" si="267">IF(ISBLANK(A195),"",WEEKDAY($AN$2))</f>
        <v>#VALUE!</v>
      </c>
      <c r="AP195" s="13" t="e">
        <f t="shared" ref="AP195:AP200" ca="1" si="268">IF(ISBLANK(A195),"",INT($AN$2))</f>
        <v>#VALUE!</v>
      </c>
      <c r="AQ195" s="17" t="e">
        <f t="shared" ref="AQ195:AQ200" ca="1" si="269">IF(ISBLANK(A195),"",$AN$2-INT($AN$2))</f>
        <v>#VALUE!</v>
      </c>
      <c r="AS195" s="15" t="e">
        <f t="shared" ref="AS195:AS200" ca="1" si="270">IF(ISBLANK(A195),"",AM195)</f>
        <v>#VALUE!</v>
      </c>
      <c r="AT195" s="5">
        <f>'Exception Stores'!$D$2</f>
        <v>0.125</v>
      </c>
      <c r="AU195" s="15" t="e">
        <f t="shared" ref="AU195:AU200" ca="1" si="271">IF($AZ$2=1,$BA$2-4,IF($AZ$2=2,$BA$2-5,IF($AZ$2=3,$BA$2-6,$BA$2-7)))</f>
        <v>#VALUE!</v>
      </c>
      <c r="AV195" s="15" t="e">
        <f t="shared" ref="AV195:AV200" ca="1" si="272">IF(OR($AZ$2=1,$AZ$2=7),$BA$2-3,IF($AZ$2=2,$BA$2-4,IF($AZ$2=3,$BA$2-5,$BA$2-6)))</f>
        <v>#VALUE!</v>
      </c>
      <c r="AW195" s="15" t="e">
        <f t="shared" ref="AW195:AW200" ca="1" si="273">IF(OR($AZ$2=4,$AZ$2=5),$BA$2-5,IF($AZ$2=3,$BA$2-4,IF($AZ$2=2,$BA$2-3,$BA$2-2)))</f>
        <v>#VALUE!</v>
      </c>
      <c r="AX195" s="15" t="e">
        <f t="shared" ref="AX195:AX200" ca="1" si="274">IF($AZ$2=4,$BA$2-4,IF($AZ$2=3,$BA$2-3,IF($AZ$2=2,$BA$2-2,$BA$2-1)))</f>
        <v>#VALUE!</v>
      </c>
      <c r="AY195" s="15" t="e">
        <f t="shared" ref="AY195:AY200" ca="1" si="275">IF($AO$2=1,$AP$2-1+$AT$2,IF($AO$2=2,$AP$2-2+$AT$2,IF($AO$2=3,$AP$2-3+$AT$2,IF(AND($AQ$2&lt;$AT$2,$AO$2=4),$AP$2-4+$AT$2,IF(AND($AQ$2&lt;$AT$2,OR($AO$2=5,$AO$2=6,$AO$2=7)),$AP$2-1+$AT$2,$AP$2+$AT$2)))))</f>
        <v>#VALUE!</v>
      </c>
      <c r="AZ195" s="1" t="e">
        <f t="shared" ref="AZ195:AZ200" ca="1" si="276">WEEKDAY($BA$2)</f>
        <v>#VALUE!</v>
      </c>
      <c r="BA195" s="15" t="e">
        <f t="shared" ref="BA195:BA200" ca="1" si="277">IF($AO$2=1,$AP$2-1+$AT$2,IF($AO$2=2,$AP$2-2+$AT$2,IF($AO$2=3,$AP$2-3+$AT$2,IF(AND($AQ$2&lt;$AT$2,$AO$2=4),$AP$2-4+$AT$2,IF(AND($AQ$2&lt;$AT$2,OR($AO$2=5,$AO$2=6,$AO$2=7)),$AP$2-1+$AT$2,$AP$2+$AT$2)))))</f>
        <v>#VALUE!</v>
      </c>
      <c r="BB195" s="15" t="e">
        <f t="shared" ref="BB195:BB200" ca="1" si="278">IF(AND($AQ$2&lt;$AT$2,OR($AO$2=4,$AO$2=5,$AO$2=6,$AO$2=7)),$AP$2+$AT$2,IF(AND($AQ$2&gt;=$AT$2,OR($AO$2=3,$AO$2=4,$AO$2=5,$AO$2=6)),$AP$2+1+$AT$2,IF(AND($AO$2=7,$AQ$2&gt;=$AT$2),$AP$2+4+$AT$2,IF($AO$2=1,$AP$2+3+$AT$2,IF($AO$2=2,$AP$2+2+$AT$2,$AP$2+1+$AT$2)))))</f>
        <v>#VALUE!</v>
      </c>
      <c r="BC195" s="1" t="e">
        <f t="shared" ref="BC195:BC200" ca="1" si="279">IF(ISBLANK(A195),"",WEEKDAY(AM195))</f>
        <v>#VALUE!</v>
      </c>
      <c r="BE195" s="15" t="str">
        <f>IF(ISBLANK('Exception Stores'!$A$6),"",'Exception Stores'!$A$6)</f>
        <v/>
      </c>
      <c r="BF195" s="15" t="str">
        <f>IF(ISBLANK('Exception Stores'!$B$6),"",'Exception Stores'!$B$6)</f>
        <v/>
      </c>
      <c r="BG195" s="1">
        <f>IF(ISBLANK('Exception Stores'!$A$6),0,IF($AN$2&gt;$BF$2,($AN$2-$BF$2)*24,0))</f>
        <v>0</v>
      </c>
      <c r="BH195" s="11">
        <f>IF(ISBLANK('Exception Stores'!$A$6),0,($BF$2-$BE$2)*24)</f>
        <v>0</v>
      </c>
      <c r="BI195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95" s="1">
        <f>IF(ISBLANK('Exception Stores'!$A$6),0,IF($AN$2&gt;$BF$2,0,IF(AND($AN$2&lt;$BF$2,$BT$2="B"),(($BF$2-$AN$2)*24)-$BS$2,($BF$2-$AN$2)*24)))</f>
        <v>0</v>
      </c>
      <c r="BL195" s="5"/>
      <c r="BM195" s="5"/>
      <c r="BN195" s="5"/>
      <c r="BO195" s="5"/>
      <c r="BP195" s="5"/>
      <c r="BV195" s="1" t="e">
        <f t="shared" ref="BV195:BV200" ca="1" si="280">IF(ISBLANK(A195),"",IF(AM195&lt;$AU$2,"YES","NO"))</f>
        <v>#VALUE!</v>
      </c>
      <c r="BW195" s="1" t="e">
        <f t="shared" ref="BW195:BW200" ca="1" si="281">IF(ISBLANK(A195),"",IF(AM195&lt;$AV$2,"YES","NO"))</f>
        <v>#VALUE!</v>
      </c>
      <c r="BX195" s="1" t="e">
        <f t="shared" ref="BX195:BX200" ca="1" si="282">IF(ISBLANK(A195),"",IF(AM195&lt;$AW$2,"YES","NO"))</f>
        <v>#VALUE!</v>
      </c>
      <c r="BY195" s="1" t="e">
        <f t="shared" ref="BY195:BY200" ca="1" si="283">IF(ISBLANK(A195),"",IF(AM195&lt;$AX$2,"YES","NO"))</f>
        <v>#VALUE!</v>
      </c>
      <c r="BZ195" s="1" t="e">
        <f t="shared" ref="BZ195:BZ200" ca="1" si="284">IF(ISBLANK(A195),"",IF(AM195&lt;$BA$2,"YES","NO"))</f>
        <v>#VALUE!</v>
      </c>
      <c r="CB195" s="1" t="str">
        <f>IF(ISBLANK('Exception Stores'!$A$6),"",WEEKDAY($BF$2))</f>
        <v/>
      </c>
      <c r="CC195" s="1" t="str">
        <f>IF(ISBLANK('Exception Stores'!$A$6),"NO",IF('Exception Stores'!$A$6&lt;$AU$2,"YES","NO"))</f>
        <v>NO</v>
      </c>
      <c r="CD195" s="1" t="str">
        <f>IF(ISBLANK('Exception Stores'!$A$6),"NO",IF('Exception Stores'!$A$6&lt;$AV$2,"YES","NO"))</f>
        <v>NO</v>
      </c>
      <c r="CE195" s="1" t="str">
        <f>IF(ISBLANK('Exception Stores'!$A$6),"NO",IF('Exception Stores'!$A$6&lt;$AW$2,"YES","NO"))</f>
        <v>NO</v>
      </c>
      <c r="CF195" s="1" t="str">
        <f>IF(ISBLANK('Exception Stores'!$A$6),"NO",IF('Exception Stores'!$A$6&lt;$AX$2,"YES","NO"))</f>
        <v>NO</v>
      </c>
      <c r="CG195" s="1" t="str">
        <f>IF(ISBLANK('Exception Stores'!$A$6),"NO",IF('Exception Stores'!$A$6&lt;$AY$2,"YES","NO"))</f>
        <v>NO</v>
      </c>
      <c r="CI195" s="42" t="str">
        <f>IF(ISBLANK('Exception Stores'!$B$6),"NO",IF('Exception Stores'!$B$6&lt;=$AU$2,"YES","NO"))</f>
        <v>NO</v>
      </c>
      <c r="CJ195" s="42" t="str">
        <f>IF(ISBLANK('Exception Stores'!$B$6),"NO",IF('Exception Stores'!$B$6&lt;=$AV$2,"YES","NO"))</f>
        <v>NO</v>
      </c>
      <c r="CK195" s="1" t="str">
        <f>IF(ISBLANK('Exception Stores'!$B$6),"NO",IF('Exception Stores'!$B$6&lt;=$AW$2,"YES","NO"))</f>
        <v>NO</v>
      </c>
      <c r="CL195" s="1" t="str">
        <f>IF(ISBLANK('Exception Stores'!$B$6),"NO",IF('Exception Stores'!$B$6&lt;=$AX$2,"YES","NO"))</f>
        <v>NO</v>
      </c>
      <c r="CM195" s="1" t="str">
        <f>IF(ISBLANK('Exception Stores'!$B$6),"NO",IF('Exception Stores'!$B$6&lt;=$AY$2,"YES","NO"))</f>
        <v>NO</v>
      </c>
      <c r="CO195" s="1" t="e">
        <f ca="1">IF(AM195&lt;'Exception Stores'!$A$6,"YES","NO")</f>
        <v>#VALUE!</v>
      </c>
      <c r="CP195" s="1">
        <f t="shared" ref="CP195:CP200" si="285">IF(CI195="NO",0,1)</f>
        <v>0</v>
      </c>
      <c r="CQ195" s="1">
        <f t="shared" ref="CQ195:CQ200" si="286">IF(CJ195="NO",0,1)</f>
        <v>0</v>
      </c>
      <c r="CR195" s="1">
        <f t="shared" ref="CR195:CR200" si="287">IF(CK195="NO",0,1)</f>
        <v>0</v>
      </c>
      <c r="CS195" s="1">
        <f t="shared" ref="CS195:CS200" si="288">IF(CL195="NO",0,1)</f>
        <v>0</v>
      </c>
      <c r="CT195" s="1">
        <f t="shared" ref="CT195:CT200" si="289">IF(CM195="NO",0,1)</f>
        <v>0</v>
      </c>
      <c r="CU195" s="1">
        <f t="shared" ref="CU195:CU200" si="290">SUM(CP195:CT195)</f>
        <v>0</v>
      </c>
      <c r="CW195" s="1" t="e">
        <f t="shared" ca="1" si="231"/>
        <v>#VALUE!</v>
      </c>
      <c r="CX195" s="1" t="e">
        <f t="shared" ca="1" si="232"/>
        <v>#VALUE!</v>
      </c>
      <c r="CY195" s="1" t="e">
        <f t="shared" ca="1" si="233"/>
        <v>#VALUE!</v>
      </c>
      <c r="CZ195" s="1" t="e">
        <f t="shared" ca="1" si="234"/>
        <v>#VALUE!</v>
      </c>
      <c r="DA195" s="1" t="e">
        <f t="shared" ca="1" si="235"/>
        <v>#VALUE!</v>
      </c>
      <c r="DB195" s="26" t="e">
        <f t="shared" ref="DB195:DB200" ca="1" si="291">SUM(CW195:DA195)</f>
        <v>#VALUE!</v>
      </c>
      <c r="DC195" s="1">
        <f t="shared" si="236"/>
        <v>0</v>
      </c>
      <c r="DD195" s="1">
        <f t="shared" si="237"/>
        <v>0</v>
      </c>
      <c r="DE195" s="1">
        <f t="shared" si="238"/>
        <v>0</v>
      </c>
      <c r="DF195" s="1">
        <f t="shared" si="239"/>
        <v>0</v>
      </c>
      <c r="DG195" s="1">
        <f t="shared" si="240"/>
        <v>0</v>
      </c>
      <c r="DH195" s="26">
        <f t="shared" ref="DH195:DH200" si="292">SUM(DC195:DG195)</f>
        <v>0</v>
      </c>
      <c r="DI195" s="1" t="e">
        <f t="shared" ref="DI195:DI200" ca="1" si="293">IF(DB195&gt;DH195,DB195-DH195,0)</f>
        <v>#VALUE!</v>
      </c>
      <c r="DK195" s="11" t="str">
        <f t="shared" si="241"/>
        <v/>
      </c>
      <c r="DL195" s="11" t="e">
        <f ca="1">IF(AND(NOT(ISBLANK('Exception Stores'!$A$6)),CO195="YES"),S195-$BH$2-(DI195*$BS$2)-(CU195*$BS$2),S195-(DB195*$BS$2))</f>
        <v>#VALUE!</v>
      </c>
      <c r="DM195" s="11" t="str">
        <f>IF(ISBLANK(A195),"",IF(COUNTIF(Remaps!$A$2:$A$200,B195)&gt;0,"YES",""))</f>
        <v>YES</v>
      </c>
      <c r="DN195" s="29">
        <f>IFERROR(INDEX(Remaps!$B$2:$B$200,MATCH(B195,Remaps!$A$2:$A$200,0),1),0)</f>
        <v>0</v>
      </c>
      <c r="DO195" s="11" t="e">
        <f t="shared" ca="1" si="242"/>
        <v>#VALUE!</v>
      </c>
      <c r="DP195" s="29" t="e">
        <f t="shared" si="243"/>
        <v>#VALUE!</v>
      </c>
      <c r="DQ195" s="11" t="e">
        <f ca="1">('Apollo Dock Status'!$Z$1-DP195)/DO195</f>
        <v>#VALUE!</v>
      </c>
      <c r="DR195" s="15" t="e">
        <f t="shared" ref="DR195:DR200" ca="1" si="294">$AN$2+(DQ195/24)</f>
        <v>#VALUE!</v>
      </c>
    </row>
    <row r="196" spans="1:122">
      <c r="A196" s="1" t="str">
        <f>IF(ISBLANK('Apollo Dock Status'!A196),"",'Apollo Dock Status'!A196)</f>
        <v/>
      </c>
      <c r="B196" s="1" t="str">
        <f>IF(ISBLANK('Apollo Dock Status'!B196),"",'Apollo Dock Status'!B196)</f>
        <v/>
      </c>
      <c r="C196" s="1" t="str">
        <f>IF(ISBLANK('Apollo Dock Status'!C196),"",'Apollo Dock Status'!C196)</f>
        <v/>
      </c>
      <c r="D196" s="1" t="str">
        <f>IF(ISBLANK('Apollo Dock Status'!D196),"",'Apollo Dock Status'!D196)</f>
        <v/>
      </c>
      <c r="E196" s="1" t="str">
        <f>IF(ISBLANK('Apollo Dock Status'!E196),"",'Apollo Dock Status'!E196)</f>
        <v/>
      </c>
      <c r="F196" s="1" t="str">
        <f>IF(ISBLANK('Apollo Dock Status'!F196),"",'Apollo Dock Status'!F196)</f>
        <v/>
      </c>
      <c r="G196" s="1" t="str">
        <f>IF(ISBLANK('Apollo Dock Status'!G196),"",'Apollo Dock Status'!G196)</f>
        <v/>
      </c>
      <c r="H196" s="1" t="str">
        <f>IF(ISBLANK('Apollo Dock Status'!H196),"",'Apollo Dock Status'!H196)</f>
        <v/>
      </c>
      <c r="I196" s="1" t="str">
        <f>IF(ISBLANK('Apollo Dock Status'!I196),"",'Apollo Dock Status'!I196)</f>
        <v/>
      </c>
      <c r="J196" s="1" t="str">
        <f>IF(ISBLANK('Apollo Dock Status'!J196),"",'Apollo Dock Status'!J196)</f>
        <v/>
      </c>
      <c r="K196" s="1" t="str">
        <f>IF(ISBLANK('Apollo Dock Status'!K196),"",'Apollo Dock Status'!K196)</f>
        <v/>
      </c>
      <c r="L196" s="1" t="str">
        <f>IF(ISBLANK('Apollo Dock Status'!L196),"",'Apollo Dock Status'!L196)</f>
        <v/>
      </c>
      <c r="M196" s="1" t="str">
        <f>IF(ISBLANK('Apollo Dock Status'!M196),"",'Apollo Dock Status'!M196)</f>
        <v/>
      </c>
      <c r="N196" s="1" t="str">
        <f>IF(ISBLANK('Apollo Dock Status'!N196),"",'Apollo Dock Status'!N196)</f>
        <v/>
      </c>
      <c r="O196" s="1" t="str">
        <f t="shared" si="244"/>
        <v/>
      </c>
      <c r="P196" s="1" t="str">
        <f t="shared" si="245"/>
        <v/>
      </c>
      <c r="Q196" s="1" t="str">
        <f t="shared" si="246"/>
        <v/>
      </c>
      <c r="R196" s="1" t="str">
        <f t="shared" si="247"/>
        <v/>
      </c>
      <c r="S196" s="11" t="str">
        <f t="shared" si="248"/>
        <v/>
      </c>
      <c r="T196" s="1" t="str">
        <f t="shared" si="249"/>
        <v/>
      </c>
      <c r="U196" s="11" t="str">
        <f t="shared" si="250"/>
        <v/>
      </c>
      <c r="V196" s="11" t="str">
        <f t="shared" si="251"/>
        <v/>
      </c>
      <c r="X196" s="1" t="str">
        <f t="shared" si="252"/>
        <v/>
      </c>
      <c r="Y196" s="1" t="str">
        <f t="shared" si="253"/>
        <v/>
      </c>
      <c r="Z196" s="1" t="str">
        <f t="shared" si="254"/>
        <v/>
      </c>
      <c r="AB196" s="13">
        <f t="shared" ca="1" si="255"/>
        <v>46176</v>
      </c>
      <c r="AC196" s="1">
        <f t="shared" ca="1" si="256"/>
        <v>2026</v>
      </c>
      <c r="AD196" s="1" t="str">
        <f t="shared" ca="1" si="257"/>
        <v>6</v>
      </c>
      <c r="AE196" s="1">
        <f t="shared" si="258"/>
        <v>1</v>
      </c>
      <c r="AF196" s="1" t="str">
        <f t="shared" si="259"/>
        <v/>
      </c>
      <c r="AG196" s="1">
        <f t="shared" ca="1" si="260"/>
        <v>2026</v>
      </c>
      <c r="AH196" s="1">
        <f t="shared" si="261"/>
        <v>1</v>
      </c>
      <c r="AI196" s="1" t="str">
        <f t="shared" ca="1" si="262"/>
        <v>6</v>
      </c>
      <c r="AJ196" s="13" t="e">
        <f t="shared" ca="1" si="263"/>
        <v>#VALUE!</v>
      </c>
      <c r="AK196" s="1" t="e">
        <f>IF(ISBLANK(A196),"",IFERROR(MID(F196,SEARCH(", ",F196)+LEN(", "),SEARCH(" "&amp;'Exception Stores'!$A$2,F196)-SEARCH(", ",F196)-LEN(", ")),MID(F196,SEARCH(", ",F196)+LEN(", "),SEARCH(" "&amp;'Exception Stores'!$B$2,F196)-SEARCH(", ",F196)-LEN(", "))))</f>
        <v>#VALUE!</v>
      </c>
      <c r="AL196" s="1" t="e">
        <f t="shared" si="264"/>
        <v>#VALUE!</v>
      </c>
      <c r="AM196" s="15" t="e">
        <f t="shared" ca="1" si="265"/>
        <v>#VALUE!</v>
      </c>
      <c r="AN196" s="24" t="e">
        <f t="shared" ca="1" si="266"/>
        <v>#VALUE!</v>
      </c>
      <c r="AO196" s="1" t="e">
        <f t="shared" ca="1" si="267"/>
        <v>#VALUE!</v>
      </c>
      <c r="AP196" s="13" t="e">
        <f t="shared" ca="1" si="268"/>
        <v>#VALUE!</v>
      </c>
      <c r="AQ196" s="17" t="e">
        <f t="shared" ca="1" si="269"/>
        <v>#VALUE!</v>
      </c>
      <c r="AS196" s="15" t="e">
        <f t="shared" ca="1" si="270"/>
        <v>#VALUE!</v>
      </c>
      <c r="AT196" s="5">
        <f>'Exception Stores'!$D$2</f>
        <v>0.125</v>
      </c>
      <c r="AU196" s="15" t="e">
        <f t="shared" ca="1" si="271"/>
        <v>#VALUE!</v>
      </c>
      <c r="AV196" s="15" t="e">
        <f t="shared" ca="1" si="272"/>
        <v>#VALUE!</v>
      </c>
      <c r="AW196" s="15" t="e">
        <f t="shared" ca="1" si="273"/>
        <v>#VALUE!</v>
      </c>
      <c r="AX196" s="15" t="e">
        <f t="shared" ca="1" si="274"/>
        <v>#VALUE!</v>
      </c>
      <c r="AY196" s="15" t="e">
        <f t="shared" ca="1" si="275"/>
        <v>#VALUE!</v>
      </c>
      <c r="AZ196" s="1" t="e">
        <f t="shared" ca="1" si="276"/>
        <v>#VALUE!</v>
      </c>
      <c r="BA196" s="15" t="e">
        <f t="shared" ca="1" si="277"/>
        <v>#VALUE!</v>
      </c>
      <c r="BB196" s="15" t="e">
        <f t="shared" ca="1" si="278"/>
        <v>#VALUE!</v>
      </c>
      <c r="BC196" s="1" t="e">
        <f t="shared" ca="1" si="279"/>
        <v>#VALUE!</v>
      </c>
      <c r="BE196" s="15" t="str">
        <f>IF(ISBLANK('Exception Stores'!$A$6),"",'Exception Stores'!$A$6)</f>
        <v/>
      </c>
      <c r="BF196" s="15" t="str">
        <f>IF(ISBLANK('Exception Stores'!$B$6),"",'Exception Stores'!$B$6)</f>
        <v/>
      </c>
      <c r="BG196" s="1">
        <f>IF(ISBLANK('Exception Stores'!$A$6),0,IF($AN$2&gt;$BF$2,($AN$2-$BF$2)*24,0))</f>
        <v>0</v>
      </c>
      <c r="BH196" s="11">
        <f>IF(ISBLANK('Exception Stores'!$A$6),0,($BF$2-$BE$2)*24)</f>
        <v>0</v>
      </c>
      <c r="BI196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96" s="1">
        <f>IF(ISBLANK('Exception Stores'!$A$6),0,IF($AN$2&gt;$BF$2,0,IF(AND($AN$2&lt;$BF$2,$BT$2="B"),(($BF$2-$AN$2)*24)-$BS$2,($BF$2-$AN$2)*24)))</f>
        <v>0</v>
      </c>
      <c r="BL196" s="5"/>
      <c r="BM196" s="5"/>
      <c r="BN196" s="5"/>
      <c r="BO196" s="5"/>
      <c r="BP196" s="5"/>
      <c r="BV196" s="1" t="e">
        <f t="shared" ca="1" si="280"/>
        <v>#VALUE!</v>
      </c>
      <c r="BW196" s="1" t="e">
        <f t="shared" ca="1" si="281"/>
        <v>#VALUE!</v>
      </c>
      <c r="BX196" s="1" t="e">
        <f t="shared" ca="1" si="282"/>
        <v>#VALUE!</v>
      </c>
      <c r="BY196" s="1" t="e">
        <f t="shared" ca="1" si="283"/>
        <v>#VALUE!</v>
      </c>
      <c r="BZ196" s="1" t="e">
        <f t="shared" ca="1" si="284"/>
        <v>#VALUE!</v>
      </c>
      <c r="CB196" s="1" t="str">
        <f>IF(ISBLANK('Exception Stores'!$A$6),"",WEEKDAY($BF$2))</f>
        <v/>
      </c>
      <c r="CC196" s="1" t="str">
        <f>IF(ISBLANK('Exception Stores'!$A$6),"NO",IF('Exception Stores'!$A$6&lt;$AU$2,"YES","NO"))</f>
        <v>NO</v>
      </c>
      <c r="CD196" s="1" t="str">
        <f>IF(ISBLANK('Exception Stores'!$A$6),"NO",IF('Exception Stores'!$A$6&lt;$AV$2,"YES","NO"))</f>
        <v>NO</v>
      </c>
      <c r="CE196" s="1" t="str">
        <f>IF(ISBLANK('Exception Stores'!$A$6),"NO",IF('Exception Stores'!$A$6&lt;$AW$2,"YES","NO"))</f>
        <v>NO</v>
      </c>
      <c r="CF196" s="1" t="str">
        <f>IF(ISBLANK('Exception Stores'!$A$6),"NO",IF('Exception Stores'!$A$6&lt;$AX$2,"YES","NO"))</f>
        <v>NO</v>
      </c>
      <c r="CG196" s="1" t="str">
        <f>IF(ISBLANK('Exception Stores'!$A$6),"NO",IF('Exception Stores'!$A$6&lt;$AY$2,"YES","NO"))</f>
        <v>NO</v>
      </c>
      <c r="CI196" s="42" t="str">
        <f>IF(ISBLANK('Exception Stores'!$B$6),"NO",IF('Exception Stores'!$B$6&lt;=$AU$2,"YES","NO"))</f>
        <v>NO</v>
      </c>
      <c r="CJ196" s="42" t="str">
        <f>IF(ISBLANK('Exception Stores'!$B$6),"NO",IF('Exception Stores'!$B$6&lt;=$AV$2,"YES","NO"))</f>
        <v>NO</v>
      </c>
      <c r="CK196" s="1" t="str">
        <f>IF(ISBLANK('Exception Stores'!$B$6),"NO",IF('Exception Stores'!$B$6&lt;=$AW$2,"YES","NO"))</f>
        <v>NO</v>
      </c>
      <c r="CL196" s="1" t="str">
        <f>IF(ISBLANK('Exception Stores'!$B$6),"NO",IF('Exception Stores'!$B$6&lt;=$AX$2,"YES","NO"))</f>
        <v>NO</v>
      </c>
      <c r="CM196" s="1" t="str">
        <f>IF(ISBLANK('Exception Stores'!$B$6),"NO",IF('Exception Stores'!$B$6&lt;=$AY$2,"YES","NO"))</f>
        <v>NO</v>
      </c>
      <c r="CO196" s="1" t="e">
        <f ca="1">IF(AM196&lt;'Exception Stores'!$A$6,"YES","NO")</f>
        <v>#VALUE!</v>
      </c>
      <c r="CP196" s="1">
        <f t="shared" si="285"/>
        <v>0</v>
      </c>
      <c r="CQ196" s="1">
        <f t="shared" si="286"/>
        <v>0</v>
      </c>
      <c r="CR196" s="1">
        <f t="shared" si="287"/>
        <v>0</v>
      </c>
      <c r="CS196" s="1">
        <f t="shared" si="288"/>
        <v>0</v>
      </c>
      <c r="CT196" s="1">
        <f t="shared" si="289"/>
        <v>0</v>
      </c>
      <c r="CU196" s="1">
        <f t="shared" si="290"/>
        <v>0</v>
      </c>
      <c r="CW196" s="1" t="e">
        <f t="shared" ca="1" si="231"/>
        <v>#VALUE!</v>
      </c>
      <c r="CX196" s="1" t="e">
        <f t="shared" ca="1" si="232"/>
        <v>#VALUE!</v>
      </c>
      <c r="CY196" s="1" t="e">
        <f t="shared" ca="1" si="233"/>
        <v>#VALUE!</v>
      </c>
      <c r="CZ196" s="1" t="e">
        <f t="shared" ca="1" si="234"/>
        <v>#VALUE!</v>
      </c>
      <c r="DA196" s="1" t="e">
        <f t="shared" ca="1" si="235"/>
        <v>#VALUE!</v>
      </c>
      <c r="DB196" s="26" t="e">
        <f t="shared" ca="1" si="291"/>
        <v>#VALUE!</v>
      </c>
      <c r="DC196" s="1">
        <f t="shared" si="236"/>
        <v>0</v>
      </c>
      <c r="DD196" s="1">
        <f t="shared" si="237"/>
        <v>0</v>
      </c>
      <c r="DE196" s="1">
        <f t="shared" si="238"/>
        <v>0</v>
      </c>
      <c r="DF196" s="1">
        <f t="shared" si="239"/>
        <v>0</v>
      </c>
      <c r="DG196" s="1">
        <f t="shared" si="240"/>
        <v>0</v>
      </c>
      <c r="DH196" s="26">
        <f t="shared" si="292"/>
        <v>0</v>
      </c>
      <c r="DI196" s="1" t="e">
        <f t="shared" ca="1" si="293"/>
        <v>#VALUE!</v>
      </c>
      <c r="DK196" s="11" t="str">
        <f t="shared" si="241"/>
        <v/>
      </c>
      <c r="DL196" s="11" t="e">
        <f ca="1">IF(AND(NOT(ISBLANK('Exception Stores'!$A$6)),CO196="YES"),S196-$BH$2-(DI196*$BS$2)-(CU196*$BS$2),S196-(DB196*$BS$2))</f>
        <v>#VALUE!</v>
      </c>
      <c r="DM196" s="11" t="str">
        <f>IF(ISBLANK(A196),"",IF(COUNTIF(Remaps!$A$2:$A$200,B196)&gt;0,"YES",""))</f>
        <v>YES</v>
      </c>
      <c r="DN196" s="29">
        <f>IFERROR(INDEX(Remaps!$B$2:$B$200,MATCH(B196,Remaps!$A$2:$A$200,0),1),0)</f>
        <v>0</v>
      </c>
      <c r="DO196" s="11" t="e">
        <f t="shared" ca="1" si="242"/>
        <v>#VALUE!</v>
      </c>
      <c r="DP196" s="29" t="e">
        <f t="shared" si="243"/>
        <v>#VALUE!</v>
      </c>
      <c r="DQ196" s="11" t="e">
        <f ca="1">('Apollo Dock Status'!$Z$1-DP196)/DO196</f>
        <v>#VALUE!</v>
      </c>
      <c r="DR196" s="15" t="e">
        <f t="shared" ca="1" si="294"/>
        <v>#VALUE!</v>
      </c>
    </row>
    <row r="197" spans="1:122">
      <c r="A197" s="1" t="str">
        <f>IF(ISBLANK('Apollo Dock Status'!A197),"",'Apollo Dock Status'!A197)</f>
        <v/>
      </c>
      <c r="B197" s="1" t="str">
        <f>IF(ISBLANK('Apollo Dock Status'!B197),"",'Apollo Dock Status'!B197)</f>
        <v/>
      </c>
      <c r="C197" s="1" t="str">
        <f>IF(ISBLANK('Apollo Dock Status'!C197),"",'Apollo Dock Status'!C197)</f>
        <v/>
      </c>
      <c r="D197" s="1" t="str">
        <f>IF(ISBLANK('Apollo Dock Status'!D197),"",'Apollo Dock Status'!D197)</f>
        <v/>
      </c>
      <c r="E197" s="1" t="str">
        <f>IF(ISBLANK('Apollo Dock Status'!E197),"",'Apollo Dock Status'!E197)</f>
        <v/>
      </c>
      <c r="F197" s="1" t="str">
        <f>IF(ISBLANK('Apollo Dock Status'!F197),"",'Apollo Dock Status'!F197)</f>
        <v/>
      </c>
      <c r="G197" s="1" t="str">
        <f>IF(ISBLANK('Apollo Dock Status'!G197),"",'Apollo Dock Status'!G197)</f>
        <v/>
      </c>
      <c r="H197" s="1" t="str">
        <f>IF(ISBLANK('Apollo Dock Status'!H197),"",'Apollo Dock Status'!H197)</f>
        <v/>
      </c>
      <c r="I197" s="1" t="str">
        <f>IF(ISBLANK('Apollo Dock Status'!I197),"",'Apollo Dock Status'!I197)</f>
        <v/>
      </c>
      <c r="J197" s="1" t="str">
        <f>IF(ISBLANK('Apollo Dock Status'!J197),"",'Apollo Dock Status'!J197)</f>
        <v/>
      </c>
      <c r="K197" s="1" t="str">
        <f>IF(ISBLANK('Apollo Dock Status'!K197),"",'Apollo Dock Status'!K197)</f>
        <v/>
      </c>
      <c r="L197" s="1" t="str">
        <f>IF(ISBLANK('Apollo Dock Status'!L197),"",'Apollo Dock Status'!L197)</f>
        <v/>
      </c>
      <c r="M197" s="1" t="str">
        <f>IF(ISBLANK('Apollo Dock Status'!M197),"",'Apollo Dock Status'!M197)</f>
        <v/>
      </c>
      <c r="N197" s="1" t="str">
        <f>IF(ISBLANK('Apollo Dock Status'!N197),"",'Apollo Dock Status'!N197)</f>
        <v/>
      </c>
      <c r="O197" s="1" t="str">
        <f t="shared" si="244"/>
        <v/>
      </c>
      <c r="P197" s="1" t="str">
        <f t="shared" si="245"/>
        <v/>
      </c>
      <c r="Q197" s="1" t="str">
        <f t="shared" si="246"/>
        <v/>
      </c>
      <c r="R197" s="1" t="str">
        <f t="shared" si="247"/>
        <v/>
      </c>
      <c r="S197" s="11" t="str">
        <f t="shared" si="248"/>
        <v/>
      </c>
      <c r="T197" s="1" t="str">
        <f t="shared" si="249"/>
        <v/>
      </c>
      <c r="U197" s="11" t="str">
        <f t="shared" si="250"/>
        <v/>
      </c>
      <c r="V197" s="11" t="str">
        <f t="shared" si="251"/>
        <v/>
      </c>
      <c r="X197" s="1" t="str">
        <f t="shared" si="252"/>
        <v/>
      </c>
      <c r="Y197" s="1" t="str">
        <f t="shared" si="253"/>
        <v/>
      </c>
      <c r="Z197" s="1" t="str">
        <f t="shared" si="254"/>
        <v/>
      </c>
      <c r="AB197" s="13">
        <f t="shared" ca="1" si="255"/>
        <v>46176</v>
      </c>
      <c r="AC197" s="1">
        <f t="shared" ca="1" si="256"/>
        <v>2026</v>
      </c>
      <c r="AD197" s="1" t="str">
        <f t="shared" ca="1" si="257"/>
        <v>6</v>
      </c>
      <c r="AE197" s="1">
        <f t="shared" si="258"/>
        <v>1</v>
      </c>
      <c r="AF197" s="1" t="str">
        <f t="shared" si="259"/>
        <v/>
      </c>
      <c r="AG197" s="1">
        <f t="shared" ca="1" si="260"/>
        <v>2026</v>
      </c>
      <c r="AH197" s="1">
        <f t="shared" si="261"/>
        <v>1</v>
      </c>
      <c r="AI197" s="1" t="str">
        <f t="shared" ca="1" si="262"/>
        <v>6</v>
      </c>
      <c r="AJ197" s="13" t="e">
        <f t="shared" ca="1" si="263"/>
        <v>#VALUE!</v>
      </c>
      <c r="AK197" s="1" t="e">
        <f>IF(ISBLANK(A197),"",IFERROR(MID(F197,SEARCH(", ",F197)+LEN(", "),SEARCH(" "&amp;'Exception Stores'!$A$2,F197)-SEARCH(", ",F197)-LEN(", ")),MID(F197,SEARCH(", ",F197)+LEN(", "),SEARCH(" "&amp;'Exception Stores'!$B$2,F197)-SEARCH(", ",F197)-LEN(", "))))</f>
        <v>#VALUE!</v>
      </c>
      <c r="AL197" s="1" t="e">
        <f t="shared" si="264"/>
        <v>#VALUE!</v>
      </c>
      <c r="AM197" s="15" t="e">
        <f t="shared" ca="1" si="265"/>
        <v>#VALUE!</v>
      </c>
      <c r="AN197" s="24" t="e">
        <f t="shared" ca="1" si="266"/>
        <v>#VALUE!</v>
      </c>
      <c r="AO197" s="1" t="e">
        <f t="shared" ca="1" si="267"/>
        <v>#VALUE!</v>
      </c>
      <c r="AP197" s="13" t="e">
        <f t="shared" ca="1" si="268"/>
        <v>#VALUE!</v>
      </c>
      <c r="AQ197" s="17" t="e">
        <f t="shared" ca="1" si="269"/>
        <v>#VALUE!</v>
      </c>
      <c r="AS197" s="15" t="e">
        <f t="shared" ca="1" si="270"/>
        <v>#VALUE!</v>
      </c>
      <c r="AT197" s="5">
        <f>'Exception Stores'!$D$2</f>
        <v>0.125</v>
      </c>
      <c r="AU197" s="15" t="e">
        <f t="shared" ca="1" si="271"/>
        <v>#VALUE!</v>
      </c>
      <c r="AV197" s="15" t="e">
        <f t="shared" ca="1" si="272"/>
        <v>#VALUE!</v>
      </c>
      <c r="AW197" s="15" t="e">
        <f t="shared" ca="1" si="273"/>
        <v>#VALUE!</v>
      </c>
      <c r="AX197" s="15" t="e">
        <f t="shared" ca="1" si="274"/>
        <v>#VALUE!</v>
      </c>
      <c r="AY197" s="15" t="e">
        <f t="shared" ca="1" si="275"/>
        <v>#VALUE!</v>
      </c>
      <c r="AZ197" s="1" t="e">
        <f t="shared" ca="1" si="276"/>
        <v>#VALUE!</v>
      </c>
      <c r="BA197" s="15" t="e">
        <f t="shared" ca="1" si="277"/>
        <v>#VALUE!</v>
      </c>
      <c r="BB197" s="15" t="e">
        <f t="shared" ca="1" si="278"/>
        <v>#VALUE!</v>
      </c>
      <c r="BC197" s="1" t="e">
        <f t="shared" ca="1" si="279"/>
        <v>#VALUE!</v>
      </c>
      <c r="BE197" s="15" t="str">
        <f>IF(ISBLANK('Exception Stores'!$A$6),"",'Exception Stores'!$A$6)</f>
        <v/>
      </c>
      <c r="BF197" s="15" t="str">
        <f>IF(ISBLANK('Exception Stores'!$B$6),"",'Exception Stores'!$B$6)</f>
        <v/>
      </c>
      <c r="BG197" s="1">
        <f>IF(ISBLANK('Exception Stores'!$A$6),0,IF($AN$2&gt;$BF$2,($AN$2-$BF$2)*24,0))</f>
        <v>0</v>
      </c>
      <c r="BH197" s="11">
        <f>IF(ISBLANK('Exception Stores'!$A$6),0,($BF$2-$BE$2)*24)</f>
        <v>0</v>
      </c>
      <c r="BI197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97" s="1">
        <f>IF(ISBLANK('Exception Stores'!$A$6),0,IF($AN$2&gt;$BF$2,0,IF(AND($AN$2&lt;$BF$2,$BT$2="B"),(($BF$2-$AN$2)*24)-$BS$2,($BF$2-$AN$2)*24)))</f>
        <v>0</v>
      </c>
      <c r="BL197" s="5"/>
      <c r="BM197" s="5"/>
      <c r="BN197" s="5"/>
      <c r="BO197" s="5"/>
      <c r="BP197" s="5"/>
      <c r="BV197" s="1" t="e">
        <f t="shared" ca="1" si="280"/>
        <v>#VALUE!</v>
      </c>
      <c r="BW197" s="1" t="e">
        <f t="shared" ca="1" si="281"/>
        <v>#VALUE!</v>
      </c>
      <c r="BX197" s="1" t="e">
        <f t="shared" ca="1" si="282"/>
        <v>#VALUE!</v>
      </c>
      <c r="BY197" s="1" t="e">
        <f t="shared" ca="1" si="283"/>
        <v>#VALUE!</v>
      </c>
      <c r="BZ197" s="1" t="e">
        <f t="shared" ca="1" si="284"/>
        <v>#VALUE!</v>
      </c>
      <c r="CB197" s="1" t="str">
        <f>IF(ISBLANK('Exception Stores'!$A$6),"",WEEKDAY($BF$2))</f>
        <v/>
      </c>
      <c r="CC197" s="1" t="str">
        <f>IF(ISBLANK('Exception Stores'!$A$6),"NO",IF('Exception Stores'!$A$6&lt;$AU$2,"YES","NO"))</f>
        <v>NO</v>
      </c>
      <c r="CD197" s="1" t="str">
        <f>IF(ISBLANK('Exception Stores'!$A$6),"NO",IF('Exception Stores'!$A$6&lt;$AV$2,"YES","NO"))</f>
        <v>NO</v>
      </c>
      <c r="CE197" s="1" t="str">
        <f>IF(ISBLANK('Exception Stores'!$A$6),"NO",IF('Exception Stores'!$A$6&lt;$AW$2,"YES","NO"))</f>
        <v>NO</v>
      </c>
      <c r="CF197" s="1" t="str">
        <f>IF(ISBLANK('Exception Stores'!$A$6),"NO",IF('Exception Stores'!$A$6&lt;$AX$2,"YES","NO"))</f>
        <v>NO</v>
      </c>
      <c r="CG197" s="1" t="str">
        <f>IF(ISBLANK('Exception Stores'!$A$6),"NO",IF('Exception Stores'!$A$6&lt;$AY$2,"YES","NO"))</f>
        <v>NO</v>
      </c>
      <c r="CI197" s="42" t="str">
        <f>IF(ISBLANK('Exception Stores'!$B$6),"NO",IF('Exception Stores'!$B$6&lt;=$AU$2,"YES","NO"))</f>
        <v>NO</v>
      </c>
      <c r="CJ197" s="42" t="str">
        <f>IF(ISBLANK('Exception Stores'!$B$6),"NO",IF('Exception Stores'!$B$6&lt;=$AV$2,"YES","NO"))</f>
        <v>NO</v>
      </c>
      <c r="CK197" s="1" t="str">
        <f>IF(ISBLANK('Exception Stores'!$B$6),"NO",IF('Exception Stores'!$B$6&lt;=$AW$2,"YES","NO"))</f>
        <v>NO</v>
      </c>
      <c r="CL197" s="1" t="str">
        <f>IF(ISBLANK('Exception Stores'!$B$6),"NO",IF('Exception Stores'!$B$6&lt;=$AX$2,"YES","NO"))</f>
        <v>NO</v>
      </c>
      <c r="CM197" s="1" t="str">
        <f>IF(ISBLANK('Exception Stores'!$B$6),"NO",IF('Exception Stores'!$B$6&lt;=$AY$2,"YES","NO"))</f>
        <v>NO</v>
      </c>
      <c r="CO197" s="1" t="e">
        <f ca="1">IF(AM197&lt;'Exception Stores'!$A$6,"YES","NO")</f>
        <v>#VALUE!</v>
      </c>
      <c r="CP197" s="1">
        <f t="shared" si="285"/>
        <v>0</v>
      </c>
      <c r="CQ197" s="1">
        <f t="shared" si="286"/>
        <v>0</v>
      </c>
      <c r="CR197" s="1">
        <f t="shared" si="287"/>
        <v>0</v>
      </c>
      <c r="CS197" s="1">
        <f t="shared" si="288"/>
        <v>0</v>
      </c>
      <c r="CT197" s="1">
        <f t="shared" si="289"/>
        <v>0</v>
      </c>
      <c r="CU197" s="1">
        <f t="shared" si="290"/>
        <v>0</v>
      </c>
      <c r="CW197" s="1" t="e">
        <f t="shared" ca="1" si="231"/>
        <v>#VALUE!</v>
      </c>
      <c r="CX197" s="1" t="e">
        <f t="shared" ca="1" si="232"/>
        <v>#VALUE!</v>
      </c>
      <c r="CY197" s="1" t="e">
        <f t="shared" ca="1" si="233"/>
        <v>#VALUE!</v>
      </c>
      <c r="CZ197" s="1" t="e">
        <f t="shared" ca="1" si="234"/>
        <v>#VALUE!</v>
      </c>
      <c r="DA197" s="1" t="e">
        <f t="shared" ca="1" si="235"/>
        <v>#VALUE!</v>
      </c>
      <c r="DB197" s="26" t="e">
        <f t="shared" ca="1" si="291"/>
        <v>#VALUE!</v>
      </c>
      <c r="DC197" s="1">
        <f t="shared" si="236"/>
        <v>0</v>
      </c>
      <c r="DD197" s="1">
        <f t="shared" si="237"/>
        <v>0</v>
      </c>
      <c r="DE197" s="1">
        <f t="shared" si="238"/>
        <v>0</v>
      </c>
      <c r="DF197" s="1">
        <f t="shared" si="239"/>
        <v>0</v>
      </c>
      <c r="DG197" s="1">
        <f t="shared" si="240"/>
        <v>0</v>
      </c>
      <c r="DH197" s="26">
        <f t="shared" si="292"/>
        <v>0</v>
      </c>
      <c r="DI197" s="1" t="e">
        <f t="shared" ca="1" si="293"/>
        <v>#VALUE!</v>
      </c>
      <c r="DK197" s="11" t="str">
        <f t="shared" si="241"/>
        <v/>
      </c>
      <c r="DL197" s="11" t="e">
        <f ca="1">IF(AND(NOT(ISBLANK('Exception Stores'!$A$6)),CO197="YES"),S197-$BH$2-(DI197*$BS$2)-(CU197*$BS$2),S197-(DB197*$BS$2))</f>
        <v>#VALUE!</v>
      </c>
      <c r="DM197" s="11" t="str">
        <f>IF(ISBLANK(A197),"",IF(COUNTIF(Remaps!$A$2:$A$200,B197)&gt;0,"YES",""))</f>
        <v>YES</v>
      </c>
      <c r="DN197" s="29">
        <f>IFERROR(INDEX(Remaps!$B$2:$B$200,MATCH(B197,Remaps!$A$2:$A$200,0),1),0)</f>
        <v>0</v>
      </c>
      <c r="DO197" s="11" t="e">
        <f t="shared" ca="1" si="242"/>
        <v>#VALUE!</v>
      </c>
      <c r="DP197" s="29" t="e">
        <f t="shared" si="243"/>
        <v>#VALUE!</v>
      </c>
      <c r="DQ197" s="11" t="e">
        <f ca="1">('Apollo Dock Status'!$Z$1-DP197)/DO197</f>
        <v>#VALUE!</v>
      </c>
      <c r="DR197" s="15" t="e">
        <f t="shared" ca="1" si="294"/>
        <v>#VALUE!</v>
      </c>
    </row>
    <row r="198" spans="1:122">
      <c r="A198" s="1" t="str">
        <f>IF(ISBLANK('Apollo Dock Status'!A198),"",'Apollo Dock Status'!A198)</f>
        <v/>
      </c>
      <c r="B198" s="1" t="str">
        <f>IF(ISBLANK('Apollo Dock Status'!B198),"",'Apollo Dock Status'!B198)</f>
        <v/>
      </c>
      <c r="C198" s="1" t="str">
        <f>IF(ISBLANK('Apollo Dock Status'!C198),"",'Apollo Dock Status'!C198)</f>
        <v/>
      </c>
      <c r="D198" s="1" t="str">
        <f>IF(ISBLANK('Apollo Dock Status'!D198),"",'Apollo Dock Status'!D198)</f>
        <v/>
      </c>
      <c r="E198" s="1" t="str">
        <f>IF(ISBLANK('Apollo Dock Status'!E198),"",'Apollo Dock Status'!E198)</f>
        <v/>
      </c>
      <c r="F198" s="1" t="str">
        <f>IF(ISBLANK('Apollo Dock Status'!F198),"",'Apollo Dock Status'!F198)</f>
        <v/>
      </c>
      <c r="G198" s="1" t="str">
        <f>IF(ISBLANK('Apollo Dock Status'!G198),"",'Apollo Dock Status'!G198)</f>
        <v/>
      </c>
      <c r="H198" s="1" t="str">
        <f>IF(ISBLANK('Apollo Dock Status'!H198),"",'Apollo Dock Status'!H198)</f>
        <v/>
      </c>
      <c r="I198" s="1" t="str">
        <f>IF(ISBLANK('Apollo Dock Status'!I198),"",'Apollo Dock Status'!I198)</f>
        <v/>
      </c>
      <c r="J198" s="1" t="str">
        <f>IF(ISBLANK('Apollo Dock Status'!J198),"",'Apollo Dock Status'!J198)</f>
        <v/>
      </c>
      <c r="K198" s="1" t="str">
        <f>IF(ISBLANK('Apollo Dock Status'!K198),"",'Apollo Dock Status'!K198)</f>
        <v/>
      </c>
      <c r="L198" s="1" t="str">
        <f>IF(ISBLANK('Apollo Dock Status'!L198),"",'Apollo Dock Status'!L198)</f>
        <v/>
      </c>
      <c r="M198" s="1" t="str">
        <f>IF(ISBLANK('Apollo Dock Status'!M198),"",'Apollo Dock Status'!M198)</f>
        <v/>
      </c>
      <c r="N198" s="1" t="str">
        <f>IF(ISBLANK('Apollo Dock Status'!N198),"",'Apollo Dock Status'!N198)</f>
        <v/>
      </c>
      <c r="O198" s="1" t="str">
        <f t="shared" si="244"/>
        <v/>
      </c>
      <c r="P198" s="1" t="str">
        <f t="shared" si="245"/>
        <v/>
      </c>
      <c r="Q198" s="1" t="str">
        <f t="shared" si="246"/>
        <v/>
      </c>
      <c r="R198" s="1" t="str">
        <f t="shared" si="247"/>
        <v/>
      </c>
      <c r="S198" s="11" t="str">
        <f t="shared" si="248"/>
        <v/>
      </c>
      <c r="T198" s="1" t="str">
        <f t="shared" si="249"/>
        <v/>
      </c>
      <c r="U198" s="11" t="str">
        <f t="shared" si="250"/>
        <v/>
      </c>
      <c r="V198" s="11" t="str">
        <f t="shared" si="251"/>
        <v/>
      </c>
      <c r="X198" s="1" t="str">
        <f t="shared" si="252"/>
        <v/>
      </c>
      <c r="Y198" s="1" t="str">
        <f t="shared" si="253"/>
        <v/>
      </c>
      <c r="Z198" s="1" t="str">
        <f t="shared" si="254"/>
        <v/>
      </c>
      <c r="AB198" s="13">
        <f t="shared" ca="1" si="255"/>
        <v>46176</v>
      </c>
      <c r="AC198" s="1">
        <f t="shared" ca="1" si="256"/>
        <v>2026</v>
      </c>
      <c r="AD198" s="1" t="str">
        <f t="shared" ca="1" si="257"/>
        <v>6</v>
      </c>
      <c r="AE198" s="1">
        <f t="shared" si="258"/>
        <v>1</v>
      </c>
      <c r="AF198" s="1" t="str">
        <f t="shared" si="259"/>
        <v/>
      </c>
      <c r="AG198" s="1">
        <f t="shared" ca="1" si="260"/>
        <v>2026</v>
      </c>
      <c r="AH198" s="1">
        <f t="shared" si="261"/>
        <v>1</v>
      </c>
      <c r="AI198" s="1" t="str">
        <f t="shared" ca="1" si="262"/>
        <v>6</v>
      </c>
      <c r="AJ198" s="13" t="e">
        <f t="shared" ca="1" si="263"/>
        <v>#VALUE!</v>
      </c>
      <c r="AK198" s="1" t="e">
        <f>IF(ISBLANK(A198),"",IFERROR(MID(F198,SEARCH(", ",F198)+LEN(", "),SEARCH(" "&amp;'Exception Stores'!$A$2,F198)-SEARCH(", ",F198)-LEN(", ")),MID(F198,SEARCH(", ",F198)+LEN(", "),SEARCH(" "&amp;'Exception Stores'!$B$2,F198)-SEARCH(", ",F198)-LEN(", "))))</f>
        <v>#VALUE!</v>
      </c>
      <c r="AL198" s="1" t="e">
        <f t="shared" si="264"/>
        <v>#VALUE!</v>
      </c>
      <c r="AM198" s="15" t="e">
        <f t="shared" ca="1" si="265"/>
        <v>#VALUE!</v>
      </c>
      <c r="AN198" s="24" t="e">
        <f t="shared" ca="1" si="266"/>
        <v>#VALUE!</v>
      </c>
      <c r="AO198" s="1" t="e">
        <f t="shared" ca="1" si="267"/>
        <v>#VALUE!</v>
      </c>
      <c r="AP198" s="13" t="e">
        <f t="shared" ca="1" si="268"/>
        <v>#VALUE!</v>
      </c>
      <c r="AQ198" s="17" t="e">
        <f t="shared" ca="1" si="269"/>
        <v>#VALUE!</v>
      </c>
      <c r="AS198" s="15" t="e">
        <f t="shared" ca="1" si="270"/>
        <v>#VALUE!</v>
      </c>
      <c r="AT198" s="5">
        <f>'Exception Stores'!$D$2</f>
        <v>0.125</v>
      </c>
      <c r="AU198" s="15" t="e">
        <f t="shared" ca="1" si="271"/>
        <v>#VALUE!</v>
      </c>
      <c r="AV198" s="15" t="e">
        <f t="shared" ca="1" si="272"/>
        <v>#VALUE!</v>
      </c>
      <c r="AW198" s="15" t="e">
        <f t="shared" ca="1" si="273"/>
        <v>#VALUE!</v>
      </c>
      <c r="AX198" s="15" t="e">
        <f t="shared" ca="1" si="274"/>
        <v>#VALUE!</v>
      </c>
      <c r="AY198" s="15" t="e">
        <f t="shared" ca="1" si="275"/>
        <v>#VALUE!</v>
      </c>
      <c r="AZ198" s="1" t="e">
        <f t="shared" ca="1" si="276"/>
        <v>#VALUE!</v>
      </c>
      <c r="BA198" s="15" t="e">
        <f t="shared" ca="1" si="277"/>
        <v>#VALUE!</v>
      </c>
      <c r="BB198" s="15" t="e">
        <f t="shared" ca="1" si="278"/>
        <v>#VALUE!</v>
      </c>
      <c r="BC198" s="1" t="e">
        <f t="shared" ca="1" si="279"/>
        <v>#VALUE!</v>
      </c>
      <c r="BE198" s="15" t="str">
        <f>IF(ISBLANK('Exception Stores'!$A$6),"",'Exception Stores'!$A$6)</f>
        <v/>
      </c>
      <c r="BF198" s="15" t="str">
        <f>IF(ISBLANK('Exception Stores'!$B$6),"",'Exception Stores'!$B$6)</f>
        <v/>
      </c>
      <c r="BG198" s="1">
        <f>IF(ISBLANK('Exception Stores'!$A$6),0,IF($AN$2&gt;$BF$2,($AN$2-$BF$2)*24,0))</f>
        <v>0</v>
      </c>
      <c r="BH198" s="11">
        <f>IF(ISBLANK('Exception Stores'!$A$6),0,($BF$2-$BE$2)*24)</f>
        <v>0</v>
      </c>
      <c r="BI198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98" s="1">
        <f>IF(ISBLANK('Exception Stores'!$A$6),0,IF($AN$2&gt;$BF$2,0,IF(AND($AN$2&lt;$BF$2,$BT$2="B"),(($BF$2-$AN$2)*24)-$BS$2,($BF$2-$AN$2)*24)))</f>
        <v>0</v>
      </c>
      <c r="BL198" s="5"/>
      <c r="BM198" s="5"/>
      <c r="BN198" s="5"/>
      <c r="BO198" s="5"/>
      <c r="BP198" s="5"/>
      <c r="BV198" s="1" t="e">
        <f t="shared" ca="1" si="280"/>
        <v>#VALUE!</v>
      </c>
      <c r="BW198" s="1" t="e">
        <f t="shared" ca="1" si="281"/>
        <v>#VALUE!</v>
      </c>
      <c r="BX198" s="1" t="e">
        <f t="shared" ca="1" si="282"/>
        <v>#VALUE!</v>
      </c>
      <c r="BY198" s="1" t="e">
        <f t="shared" ca="1" si="283"/>
        <v>#VALUE!</v>
      </c>
      <c r="BZ198" s="1" t="e">
        <f t="shared" ca="1" si="284"/>
        <v>#VALUE!</v>
      </c>
      <c r="CB198" s="1" t="str">
        <f>IF(ISBLANK('Exception Stores'!$A$6),"",WEEKDAY($BF$2))</f>
        <v/>
      </c>
      <c r="CC198" s="1" t="str">
        <f>IF(ISBLANK('Exception Stores'!$A$6),"NO",IF('Exception Stores'!$A$6&lt;$AU$2,"YES","NO"))</f>
        <v>NO</v>
      </c>
      <c r="CD198" s="1" t="str">
        <f>IF(ISBLANK('Exception Stores'!$A$6),"NO",IF('Exception Stores'!$A$6&lt;$AV$2,"YES","NO"))</f>
        <v>NO</v>
      </c>
      <c r="CE198" s="1" t="str">
        <f>IF(ISBLANK('Exception Stores'!$A$6),"NO",IF('Exception Stores'!$A$6&lt;$AW$2,"YES","NO"))</f>
        <v>NO</v>
      </c>
      <c r="CF198" s="1" t="str">
        <f>IF(ISBLANK('Exception Stores'!$A$6),"NO",IF('Exception Stores'!$A$6&lt;$AX$2,"YES","NO"))</f>
        <v>NO</v>
      </c>
      <c r="CG198" s="1" t="str">
        <f>IF(ISBLANK('Exception Stores'!$A$6),"NO",IF('Exception Stores'!$A$6&lt;$AY$2,"YES","NO"))</f>
        <v>NO</v>
      </c>
      <c r="CI198" s="42" t="str">
        <f>IF(ISBLANK('Exception Stores'!$B$6),"NO",IF('Exception Stores'!$B$6&lt;=$AU$2,"YES","NO"))</f>
        <v>NO</v>
      </c>
      <c r="CJ198" s="42" t="str">
        <f>IF(ISBLANK('Exception Stores'!$B$6),"NO",IF('Exception Stores'!$B$6&lt;=$AV$2,"YES","NO"))</f>
        <v>NO</v>
      </c>
      <c r="CK198" s="1" t="str">
        <f>IF(ISBLANK('Exception Stores'!$B$6),"NO",IF('Exception Stores'!$B$6&lt;=$AW$2,"YES","NO"))</f>
        <v>NO</v>
      </c>
      <c r="CL198" s="1" t="str">
        <f>IF(ISBLANK('Exception Stores'!$B$6),"NO",IF('Exception Stores'!$B$6&lt;=$AX$2,"YES","NO"))</f>
        <v>NO</v>
      </c>
      <c r="CM198" s="1" t="str">
        <f>IF(ISBLANK('Exception Stores'!$B$6),"NO",IF('Exception Stores'!$B$6&lt;=$AY$2,"YES","NO"))</f>
        <v>NO</v>
      </c>
      <c r="CO198" s="1" t="e">
        <f ca="1">IF(AM198&lt;'Exception Stores'!$A$6,"YES","NO")</f>
        <v>#VALUE!</v>
      </c>
      <c r="CP198" s="1">
        <f t="shared" si="285"/>
        <v>0</v>
      </c>
      <c r="CQ198" s="1">
        <f t="shared" si="286"/>
        <v>0</v>
      </c>
      <c r="CR198" s="1">
        <f t="shared" si="287"/>
        <v>0</v>
      </c>
      <c r="CS198" s="1">
        <f t="shared" si="288"/>
        <v>0</v>
      </c>
      <c r="CT198" s="1">
        <f t="shared" si="289"/>
        <v>0</v>
      </c>
      <c r="CU198" s="1">
        <f t="shared" si="290"/>
        <v>0</v>
      </c>
      <c r="CW198" s="1" t="e">
        <f t="shared" ca="1" si="231"/>
        <v>#VALUE!</v>
      </c>
      <c r="CX198" s="1" t="e">
        <f t="shared" ca="1" si="232"/>
        <v>#VALUE!</v>
      </c>
      <c r="CY198" s="1" t="e">
        <f t="shared" ca="1" si="233"/>
        <v>#VALUE!</v>
      </c>
      <c r="CZ198" s="1" t="e">
        <f t="shared" ca="1" si="234"/>
        <v>#VALUE!</v>
      </c>
      <c r="DA198" s="1" t="e">
        <f t="shared" ca="1" si="235"/>
        <v>#VALUE!</v>
      </c>
      <c r="DB198" s="26" t="e">
        <f t="shared" ca="1" si="291"/>
        <v>#VALUE!</v>
      </c>
      <c r="DC198" s="1">
        <f t="shared" si="236"/>
        <v>0</v>
      </c>
      <c r="DD198" s="1">
        <f t="shared" si="237"/>
        <v>0</v>
      </c>
      <c r="DE198" s="1">
        <f t="shared" si="238"/>
        <v>0</v>
      </c>
      <c r="DF198" s="1">
        <f t="shared" si="239"/>
        <v>0</v>
      </c>
      <c r="DG198" s="1">
        <f t="shared" si="240"/>
        <v>0</v>
      </c>
      <c r="DH198" s="26">
        <f t="shared" si="292"/>
        <v>0</v>
      </c>
      <c r="DI198" s="1" t="e">
        <f t="shared" ca="1" si="293"/>
        <v>#VALUE!</v>
      </c>
      <c r="DK198" s="11" t="str">
        <f t="shared" si="241"/>
        <v/>
      </c>
      <c r="DL198" s="11" t="e">
        <f ca="1">IF(AND(NOT(ISBLANK('Exception Stores'!$A$6)),CO198="YES"),S198-$BH$2-(DI198*$BS$2)-(CU198*$BS$2),S198-(DB198*$BS$2))</f>
        <v>#VALUE!</v>
      </c>
      <c r="DM198" s="11" t="str">
        <f>IF(ISBLANK(A198),"",IF(COUNTIF(Remaps!$A$2:$A$200,B198)&gt;0,"YES",""))</f>
        <v>YES</v>
      </c>
      <c r="DN198" s="29">
        <f>IFERROR(INDEX(Remaps!$B$2:$B$200,MATCH(B198,Remaps!$A$2:$A$200,0),1),0)</f>
        <v>0</v>
      </c>
      <c r="DO198" s="11" t="e">
        <f t="shared" ca="1" si="242"/>
        <v>#VALUE!</v>
      </c>
      <c r="DP198" s="29" t="e">
        <f t="shared" si="243"/>
        <v>#VALUE!</v>
      </c>
      <c r="DQ198" s="11" t="e">
        <f ca="1">('Apollo Dock Status'!$Z$1-DP198)/DO198</f>
        <v>#VALUE!</v>
      </c>
      <c r="DR198" s="15" t="e">
        <f t="shared" ca="1" si="294"/>
        <v>#VALUE!</v>
      </c>
    </row>
    <row r="199" spans="1:122">
      <c r="A199" s="1" t="str">
        <f>IF(ISBLANK('Apollo Dock Status'!A199),"",'Apollo Dock Status'!A199)</f>
        <v/>
      </c>
      <c r="B199" s="1" t="str">
        <f>IF(ISBLANK('Apollo Dock Status'!B199),"",'Apollo Dock Status'!B199)</f>
        <v/>
      </c>
      <c r="C199" s="1" t="str">
        <f>IF(ISBLANK('Apollo Dock Status'!C199),"",'Apollo Dock Status'!C199)</f>
        <v/>
      </c>
      <c r="D199" s="1" t="str">
        <f>IF(ISBLANK('Apollo Dock Status'!D199),"",'Apollo Dock Status'!D199)</f>
        <v/>
      </c>
      <c r="E199" s="1" t="str">
        <f>IF(ISBLANK('Apollo Dock Status'!E199),"",'Apollo Dock Status'!E199)</f>
        <v/>
      </c>
      <c r="F199" s="1" t="str">
        <f>IF(ISBLANK('Apollo Dock Status'!F199),"",'Apollo Dock Status'!F199)</f>
        <v/>
      </c>
      <c r="G199" s="1" t="str">
        <f>IF(ISBLANK('Apollo Dock Status'!G199),"",'Apollo Dock Status'!G199)</f>
        <v/>
      </c>
      <c r="H199" s="1" t="str">
        <f>IF(ISBLANK('Apollo Dock Status'!H199),"",'Apollo Dock Status'!H199)</f>
        <v/>
      </c>
      <c r="I199" s="1" t="str">
        <f>IF(ISBLANK('Apollo Dock Status'!I199),"",'Apollo Dock Status'!I199)</f>
        <v/>
      </c>
      <c r="J199" s="1" t="str">
        <f>IF(ISBLANK('Apollo Dock Status'!J199),"",'Apollo Dock Status'!J199)</f>
        <v/>
      </c>
      <c r="K199" s="1" t="str">
        <f>IF(ISBLANK('Apollo Dock Status'!K199),"",'Apollo Dock Status'!K199)</f>
        <v/>
      </c>
      <c r="L199" s="1" t="str">
        <f>IF(ISBLANK('Apollo Dock Status'!L199),"",'Apollo Dock Status'!L199)</f>
        <v/>
      </c>
      <c r="M199" s="1" t="str">
        <f>IF(ISBLANK('Apollo Dock Status'!M199),"",'Apollo Dock Status'!M199)</f>
        <v/>
      </c>
      <c r="N199" s="1" t="str">
        <f>IF(ISBLANK('Apollo Dock Status'!N199),"",'Apollo Dock Status'!N199)</f>
        <v/>
      </c>
      <c r="O199" s="1" t="str">
        <f t="shared" si="244"/>
        <v/>
      </c>
      <c r="P199" s="1" t="str">
        <f t="shared" si="245"/>
        <v/>
      </c>
      <c r="Q199" s="1" t="str">
        <f t="shared" si="246"/>
        <v/>
      </c>
      <c r="R199" s="1" t="str">
        <f t="shared" si="247"/>
        <v/>
      </c>
      <c r="S199" s="11" t="str">
        <f t="shared" si="248"/>
        <v/>
      </c>
      <c r="T199" s="1" t="str">
        <f t="shared" si="249"/>
        <v/>
      </c>
      <c r="U199" s="11" t="str">
        <f t="shared" si="250"/>
        <v/>
      </c>
      <c r="V199" s="11" t="str">
        <f t="shared" si="251"/>
        <v/>
      </c>
      <c r="X199" s="1" t="str">
        <f t="shared" si="252"/>
        <v/>
      </c>
      <c r="Y199" s="1" t="str">
        <f t="shared" si="253"/>
        <v/>
      </c>
      <c r="Z199" s="1" t="str">
        <f t="shared" si="254"/>
        <v/>
      </c>
      <c r="AB199" s="13">
        <f t="shared" ca="1" si="255"/>
        <v>46176</v>
      </c>
      <c r="AC199" s="1">
        <f t="shared" ca="1" si="256"/>
        <v>2026</v>
      </c>
      <c r="AD199" s="1" t="str">
        <f t="shared" ca="1" si="257"/>
        <v>6</v>
      </c>
      <c r="AE199" s="1">
        <f t="shared" si="258"/>
        <v>1</v>
      </c>
      <c r="AF199" s="1" t="str">
        <f t="shared" si="259"/>
        <v/>
      </c>
      <c r="AG199" s="1">
        <f t="shared" ca="1" si="260"/>
        <v>2026</v>
      </c>
      <c r="AH199" s="1">
        <f t="shared" si="261"/>
        <v>1</v>
      </c>
      <c r="AI199" s="1" t="str">
        <f t="shared" ca="1" si="262"/>
        <v>6</v>
      </c>
      <c r="AJ199" s="13" t="e">
        <f t="shared" ca="1" si="263"/>
        <v>#VALUE!</v>
      </c>
      <c r="AK199" s="1" t="e">
        <f>IF(ISBLANK(A199),"",IFERROR(MID(F199,SEARCH(", ",F199)+LEN(", "),SEARCH(" "&amp;'Exception Stores'!$A$2,F199)-SEARCH(", ",F199)-LEN(", ")),MID(F199,SEARCH(", ",F199)+LEN(", "),SEARCH(" "&amp;'Exception Stores'!$B$2,F199)-SEARCH(", ",F199)-LEN(", "))))</f>
        <v>#VALUE!</v>
      </c>
      <c r="AL199" s="1" t="e">
        <f t="shared" si="264"/>
        <v>#VALUE!</v>
      </c>
      <c r="AM199" s="15" t="e">
        <f t="shared" ca="1" si="265"/>
        <v>#VALUE!</v>
      </c>
      <c r="AN199" s="24" t="e">
        <f t="shared" ca="1" si="266"/>
        <v>#VALUE!</v>
      </c>
      <c r="AO199" s="1" t="e">
        <f t="shared" ca="1" si="267"/>
        <v>#VALUE!</v>
      </c>
      <c r="AP199" s="13" t="e">
        <f t="shared" ca="1" si="268"/>
        <v>#VALUE!</v>
      </c>
      <c r="AQ199" s="17" t="e">
        <f t="shared" ca="1" si="269"/>
        <v>#VALUE!</v>
      </c>
      <c r="AS199" s="15" t="e">
        <f t="shared" ca="1" si="270"/>
        <v>#VALUE!</v>
      </c>
      <c r="AT199" s="5">
        <f>'Exception Stores'!$D$2</f>
        <v>0.125</v>
      </c>
      <c r="AU199" s="15" t="e">
        <f t="shared" ca="1" si="271"/>
        <v>#VALUE!</v>
      </c>
      <c r="AV199" s="15" t="e">
        <f t="shared" ca="1" si="272"/>
        <v>#VALUE!</v>
      </c>
      <c r="AW199" s="15" t="e">
        <f t="shared" ca="1" si="273"/>
        <v>#VALUE!</v>
      </c>
      <c r="AX199" s="15" t="e">
        <f t="shared" ca="1" si="274"/>
        <v>#VALUE!</v>
      </c>
      <c r="AY199" s="15" t="e">
        <f t="shared" ca="1" si="275"/>
        <v>#VALUE!</v>
      </c>
      <c r="AZ199" s="1" t="e">
        <f t="shared" ca="1" si="276"/>
        <v>#VALUE!</v>
      </c>
      <c r="BA199" s="15" t="e">
        <f t="shared" ca="1" si="277"/>
        <v>#VALUE!</v>
      </c>
      <c r="BB199" s="15" t="e">
        <f t="shared" ca="1" si="278"/>
        <v>#VALUE!</v>
      </c>
      <c r="BC199" s="1" t="e">
        <f t="shared" ca="1" si="279"/>
        <v>#VALUE!</v>
      </c>
      <c r="BE199" s="15" t="str">
        <f>IF(ISBLANK('Exception Stores'!$A$6),"",'Exception Stores'!$A$6)</f>
        <v/>
      </c>
      <c r="BF199" s="15" t="str">
        <f>IF(ISBLANK('Exception Stores'!$B$6),"",'Exception Stores'!$B$6)</f>
        <v/>
      </c>
      <c r="BG199" s="1">
        <f>IF(ISBLANK('Exception Stores'!$A$6),0,IF($AN$2&gt;$BF$2,($AN$2-$BF$2)*24,0))</f>
        <v>0</v>
      </c>
      <c r="BH199" s="11">
        <f>IF(ISBLANK('Exception Stores'!$A$6),0,($BF$2-$BE$2)*24)</f>
        <v>0</v>
      </c>
      <c r="BI199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199" s="1">
        <f>IF(ISBLANK('Exception Stores'!$A$6),0,IF($AN$2&gt;$BF$2,0,IF(AND($AN$2&lt;$BF$2,$BT$2="B"),(($BF$2-$AN$2)*24)-$BS$2,($BF$2-$AN$2)*24)))</f>
        <v>0</v>
      </c>
      <c r="BL199" s="5"/>
      <c r="BM199" s="5"/>
      <c r="BN199" s="5"/>
      <c r="BO199" s="5"/>
      <c r="BP199" s="5"/>
      <c r="BV199" s="1" t="e">
        <f t="shared" ca="1" si="280"/>
        <v>#VALUE!</v>
      </c>
      <c r="BW199" s="1" t="e">
        <f t="shared" ca="1" si="281"/>
        <v>#VALUE!</v>
      </c>
      <c r="BX199" s="1" t="e">
        <f t="shared" ca="1" si="282"/>
        <v>#VALUE!</v>
      </c>
      <c r="BY199" s="1" t="e">
        <f t="shared" ca="1" si="283"/>
        <v>#VALUE!</v>
      </c>
      <c r="BZ199" s="1" t="e">
        <f t="shared" ca="1" si="284"/>
        <v>#VALUE!</v>
      </c>
      <c r="CB199" s="1" t="str">
        <f>IF(ISBLANK('Exception Stores'!$A$6),"",WEEKDAY($BF$2))</f>
        <v/>
      </c>
      <c r="CC199" s="1" t="str">
        <f>IF(ISBLANK('Exception Stores'!$A$6),"NO",IF('Exception Stores'!$A$6&lt;$AU$2,"YES","NO"))</f>
        <v>NO</v>
      </c>
      <c r="CD199" s="1" t="str">
        <f>IF(ISBLANK('Exception Stores'!$A$6),"NO",IF('Exception Stores'!$A$6&lt;$AV$2,"YES","NO"))</f>
        <v>NO</v>
      </c>
      <c r="CE199" s="1" t="str">
        <f>IF(ISBLANK('Exception Stores'!$A$6),"NO",IF('Exception Stores'!$A$6&lt;$AW$2,"YES","NO"))</f>
        <v>NO</v>
      </c>
      <c r="CF199" s="1" t="str">
        <f>IF(ISBLANK('Exception Stores'!$A$6),"NO",IF('Exception Stores'!$A$6&lt;$AX$2,"YES","NO"))</f>
        <v>NO</v>
      </c>
      <c r="CG199" s="1" t="str">
        <f>IF(ISBLANK('Exception Stores'!$A$6),"NO",IF('Exception Stores'!$A$6&lt;$AY$2,"YES","NO"))</f>
        <v>NO</v>
      </c>
      <c r="CI199" s="42" t="str">
        <f>IF(ISBLANK('Exception Stores'!$B$6),"NO",IF('Exception Stores'!$B$6&lt;=$AU$2,"YES","NO"))</f>
        <v>NO</v>
      </c>
      <c r="CJ199" s="42" t="str">
        <f>IF(ISBLANK('Exception Stores'!$B$6),"NO",IF('Exception Stores'!$B$6&lt;=$AV$2,"YES","NO"))</f>
        <v>NO</v>
      </c>
      <c r="CK199" s="1" t="str">
        <f>IF(ISBLANK('Exception Stores'!$B$6),"NO",IF('Exception Stores'!$B$6&lt;=$AW$2,"YES","NO"))</f>
        <v>NO</v>
      </c>
      <c r="CL199" s="1" t="str">
        <f>IF(ISBLANK('Exception Stores'!$B$6),"NO",IF('Exception Stores'!$B$6&lt;=$AX$2,"YES","NO"))</f>
        <v>NO</v>
      </c>
      <c r="CM199" s="1" t="str">
        <f>IF(ISBLANK('Exception Stores'!$B$6),"NO",IF('Exception Stores'!$B$6&lt;=$AY$2,"YES","NO"))</f>
        <v>NO</v>
      </c>
      <c r="CO199" s="1" t="e">
        <f ca="1">IF(AM199&lt;'Exception Stores'!$A$6,"YES","NO")</f>
        <v>#VALUE!</v>
      </c>
      <c r="CP199" s="1">
        <f t="shared" si="285"/>
        <v>0</v>
      </c>
      <c r="CQ199" s="1">
        <f t="shared" si="286"/>
        <v>0</v>
      </c>
      <c r="CR199" s="1">
        <f t="shared" si="287"/>
        <v>0</v>
      </c>
      <c r="CS199" s="1">
        <f t="shared" si="288"/>
        <v>0</v>
      </c>
      <c r="CT199" s="1">
        <f t="shared" si="289"/>
        <v>0</v>
      </c>
      <c r="CU199" s="1">
        <f t="shared" si="290"/>
        <v>0</v>
      </c>
      <c r="CW199" s="1" t="e">
        <f t="shared" ca="1" si="231"/>
        <v>#VALUE!</v>
      </c>
      <c r="CX199" s="1" t="e">
        <f t="shared" ca="1" si="232"/>
        <v>#VALUE!</v>
      </c>
      <c r="CY199" s="1" t="e">
        <f t="shared" ca="1" si="233"/>
        <v>#VALUE!</v>
      </c>
      <c r="CZ199" s="1" t="e">
        <f t="shared" ca="1" si="234"/>
        <v>#VALUE!</v>
      </c>
      <c r="DA199" s="1" t="e">
        <f t="shared" ca="1" si="235"/>
        <v>#VALUE!</v>
      </c>
      <c r="DB199" s="26" t="e">
        <f t="shared" ca="1" si="291"/>
        <v>#VALUE!</v>
      </c>
      <c r="DC199" s="1">
        <f t="shared" si="236"/>
        <v>0</v>
      </c>
      <c r="DD199" s="1">
        <f t="shared" si="237"/>
        <v>0</v>
      </c>
      <c r="DE199" s="1">
        <f t="shared" si="238"/>
        <v>0</v>
      </c>
      <c r="DF199" s="1">
        <f t="shared" si="239"/>
        <v>0</v>
      </c>
      <c r="DG199" s="1">
        <f t="shared" si="240"/>
        <v>0</v>
      </c>
      <c r="DH199" s="26">
        <f t="shared" si="292"/>
        <v>0</v>
      </c>
      <c r="DI199" s="1" t="e">
        <f t="shared" ca="1" si="293"/>
        <v>#VALUE!</v>
      </c>
      <c r="DK199" s="11" t="str">
        <f t="shared" si="241"/>
        <v/>
      </c>
      <c r="DL199" s="11" t="e">
        <f ca="1">IF(AND(NOT(ISBLANK('Exception Stores'!$A$6)),CO199="YES"),S199-$BH$2-(DI199*$BS$2)-(CU199*$BS$2),S199-(DB199*$BS$2))</f>
        <v>#VALUE!</v>
      </c>
      <c r="DM199" s="11" t="str">
        <f>IF(ISBLANK(A199),"",IF(COUNTIF(Remaps!$A$2:$A$200,B199)&gt;0,"YES",""))</f>
        <v>YES</v>
      </c>
      <c r="DN199" s="29">
        <f>IFERROR(INDEX(Remaps!$B$2:$B$200,MATCH(B199,Remaps!$A$2:$A$200,0),1),0)</f>
        <v>0</v>
      </c>
      <c r="DO199" s="11" t="e">
        <f t="shared" ca="1" si="242"/>
        <v>#VALUE!</v>
      </c>
      <c r="DP199" s="29" t="e">
        <f t="shared" si="243"/>
        <v>#VALUE!</v>
      </c>
      <c r="DQ199" s="11" t="e">
        <f ca="1">('Apollo Dock Status'!$Z$1-DP199)/DO199</f>
        <v>#VALUE!</v>
      </c>
      <c r="DR199" s="15" t="e">
        <f t="shared" ca="1" si="294"/>
        <v>#VALUE!</v>
      </c>
    </row>
    <row r="200" spans="1:122">
      <c r="A200" s="1" t="str">
        <f>IF(ISBLANK('Apollo Dock Status'!A200),"",'Apollo Dock Status'!A200)</f>
        <v/>
      </c>
      <c r="B200" s="1" t="str">
        <f>IF(ISBLANK('Apollo Dock Status'!B200),"",'Apollo Dock Status'!B200)</f>
        <v/>
      </c>
      <c r="C200" s="1" t="str">
        <f>IF(ISBLANK('Apollo Dock Status'!C200),"",'Apollo Dock Status'!C200)</f>
        <v/>
      </c>
      <c r="D200" s="1" t="str">
        <f>IF(ISBLANK('Apollo Dock Status'!D200),"",'Apollo Dock Status'!D200)</f>
        <v/>
      </c>
      <c r="E200" s="1" t="str">
        <f>IF(ISBLANK('Apollo Dock Status'!E200),"",'Apollo Dock Status'!E200)</f>
        <v/>
      </c>
      <c r="F200" s="1" t="str">
        <f>IF(ISBLANK('Apollo Dock Status'!F200),"",'Apollo Dock Status'!F200)</f>
        <v/>
      </c>
      <c r="G200" s="1" t="str">
        <f>IF(ISBLANK('Apollo Dock Status'!G200),"",'Apollo Dock Status'!G200)</f>
        <v/>
      </c>
      <c r="H200" s="1" t="str">
        <f>IF(ISBLANK('Apollo Dock Status'!H200),"",'Apollo Dock Status'!H200)</f>
        <v/>
      </c>
      <c r="I200" s="1" t="str">
        <f>IF(ISBLANK('Apollo Dock Status'!I200),"",'Apollo Dock Status'!I200)</f>
        <v/>
      </c>
      <c r="J200" s="1" t="str">
        <f>IF(ISBLANK('Apollo Dock Status'!J200),"",'Apollo Dock Status'!J200)</f>
        <v/>
      </c>
      <c r="K200" s="1" t="str">
        <f>IF(ISBLANK('Apollo Dock Status'!K200),"",'Apollo Dock Status'!K200)</f>
        <v/>
      </c>
      <c r="L200" s="1" t="str">
        <f>IF(ISBLANK('Apollo Dock Status'!L200),"",'Apollo Dock Status'!L200)</f>
        <v/>
      </c>
      <c r="M200" s="1" t="str">
        <f>IF(ISBLANK('Apollo Dock Status'!M200),"",'Apollo Dock Status'!M200)</f>
        <v/>
      </c>
      <c r="N200" s="1" t="str">
        <f>IF(ISBLANK('Apollo Dock Status'!N200),"",'Apollo Dock Status'!N200)</f>
        <v/>
      </c>
      <c r="O200" s="1" t="str">
        <f t="shared" si="244"/>
        <v/>
      </c>
      <c r="P200" s="1" t="str">
        <f t="shared" si="245"/>
        <v/>
      </c>
      <c r="Q200" s="1" t="str">
        <f t="shared" si="246"/>
        <v/>
      </c>
      <c r="R200" s="1" t="str">
        <f t="shared" si="247"/>
        <v/>
      </c>
      <c r="S200" s="11" t="str">
        <f t="shared" si="248"/>
        <v/>
      </c>
      <c r="T200" s="1" t="str">
        <f t="shared" si="249"/>
        <v/>
      </c>
      <c r="U200" s="11" t="str">
        <f t="shared" si="250"/>
        <v/>
      </c>
      <c r="V200" s="11" t="str">
        <f t="shared" si="251"/>
        <v/>
      </c>
      <c r="X200" s="1" t="str">
        <f t="shared" si="252"/>
        <v/>
      </c>
      <c r="Y200" s="1" t="str">
        <f t="shared" si="253"/>
        <v/>
      </c>
      <c r="Z200" s="1" t="str">
        <f t="shared" si="254"/>
        <v/>
      </c>
      <c r="AB200" s="13">
        <f t="shared" ca="1" si="255"/>
        <v>46176</v>
      </c>
      <c r="AC200" s="1">
        <f t="shared" ca="1" si="256"/>
        <v>2026</v>
      </c>
      <c r="AD200" s="1" t="str">
        <f t="shared" ca="1" si="257"/>
        <v>6</v>
      </c>
      <c r="AE200" s="1">
        <f t="shared" si="258"/>
        <v>1</v>
      </c>
      <c r="AF200" s="1" t="str">
        <f t="shared" si="259"/>
        <v/>
      </c>
      <c r="AG200" s="1">
        <f t="shared" ca="1" si="260"/>
        <v>2026</v>
      </c>
      <c r="AH200" s="1">
        <f t="shared" si="261"/>
        <v>1</v>
      </c>
      <c r="AI200" s="1" t="str">
        <f t="shared" ca="1" si="262"/>
        <v>6</v>
      </c>
      <c r="AJ200" s="13" t="e">
        <f t="shared" ca="1" si="263"/>
        <v>#VALUE!</v>
      </c>
      <c r="AK200" s="1" t="e">
        <f>IF(ISBLANK(A200),"",IFERROR(MID(F200,SEARCH(", ",F200)+LEN(", "),SEARCH(" "&amp;'Exception Stores'!$A$2,F200)-SEARCH(", ",F200)-LEN(", ")),MID(F200,SEARCH(", ",F200)+LEN(", "),SEARCH(" "&amp;'Exception Stores'!$B$2,F200)-SEARCH(", ",F200)-LEN(", "))))</f>
        <v>#VALUE!</v>
      </c>
      <c r="AL200" s="1" t="e">
        <f t="shared" si="264"/>
        <v>#VALUE!</v>
      </c>
      <c r="AM200" s="15" t="e">
        <f t="shared" ca="1" si="265"/>
        <v>#VALUE!</v>
      </c>
      <c r="AN200" s="24" t="e">
        <f t="shared" ca="1" si="266"/>
        <v>#VALUE!</v>
      </c>
      <c r="AO200" s="1" t="e">
        <f t="shared" ca="1" si="267"/>
        <v>#VALUE!</v>
      </c>
      <c r="AP200" s="13" t="e">
        <f t="shared" ca="1" si="268"/>
        <v>#VALUE!</v>
      </c>
      <c r="AQ200" s="17" t="e">
        <f t="shared" ca="1" si="269"/>
        <v>#VALUE!</v>
      </c>
      <c r="AS200" s="15" t="e">
        <f t="shared" ca="1" si="270"/>
        <v>#VALUE!</v>
      </c>
      <c r="AT200" s="5">
        <f>'Exception Stores'!$D$2</f>
        <v>0.125</v>
      </c>
      <c r="AU200" s="15" t="e">
        <f t="shared" ca="1" si="271"/>
        <v>#VALUE!</v>
      </c>
      <c r="AV200" s="15" t="e">
        <f t="shared" ca="1" si="272"/>
        <v>#VALUE!</v>
      </c>
      <c r="AW200" s="15" t="e">
        <f t="shared" ca="1" si="273"/>
        <v>#VALUE!</v>
      </c>
      <c r="AX200" s="15" t="e">
        <f t="shared" ca="1" si="274"/>
        <v>#VALUE!</v>
      </c>
      <c r="AY200" s="15" t="e">
        <f t="shared" ca="1" si="275"/>
        <v>#VALUE!</v>
      </c>
      <c r="AZ200" s="1" t="e">
        <f t="shared" ca="1" si="276"/>
        <v>#VALUE!</v>
      </c>
      <c r="BA200" s="15" t="e">
        <f t="shared" ca="1" si="277"/>
        <v>#VALUE!</v>
      </c>
      <c r="BB200" s="15" t="e">
        <f t="shared" ca="1" si="278"/>
        <v>#VALUE!</v>
      </c>
      <c r="BC200" s="1" t="e">
        <f t="shared" ca="1" si="279"/>
        <v>#VALUE!</v>
      </c>
      <c r="BE200" s="15" t="str">
        <f>IF(ISBLANK('Exception Stores'!$A$6),"",'Exception Stores'!$A$6)</f>
        <v/>
      </c>
      <c r="BF200" s="15" t="str">
        <f>IF(ISBLANK('Exception Stores'!$B$6),"",'Exception Stores'!$B$6)</f>
        <v/>
      </c>
      <c r="BG200" s="1">
        <f>IF(ISBLANK('Exception Stores'!$A$6),0,IF($AN$2&gt;$BF$2,($AN$2-$BF$2)*24,0))</f>
        <v>0</v>
      </c>
      <c r="BH200" s="11">
        <f>IF(ISBLANK('Exception Stores'!$A$6),0,($BF$2-$BE$2)*24)</f>
        <v>0</v>
      </c>
      <c r="BI200" s="11">
        <f>IF(ISBLANK('Exception Stores'!$A$6),0,IF(AND($AN$2&gt;$BE$2,$AN$2&lt;$BF$2),($AN$2-$BE$2)*24,IF(AND($AN$2&gt;$BF$2,$BT$2="B"),(($BF$2-$BE$2)*24)-$BS$2,IF(AND($AN$2&gt;$BF$2,$BT$2&lt;&gt;"B",OR($CB$2=4,$CB$2=5,$CB$2=6,$CB$2=7)),(($BF$2-$BE$2)*24)-$BS$2,IF(AND($AN$2&gt;$BF$2,$BT$2&lt;&gt;"B"),($BF$2-$BE$2)*24,0)))))</f>
        <v>0</v>
      </c>
      <c r="BJ200" s="1">
        <f>IF(ISBLANK('Exception Stores'!$A$6),0,IF($AN$2&gt;$BF$2,0,IF(AND($AN$2&lt;$BF$2,$BT$2="B"),(($BF$2-$AN$2)*24)-$BS$2,($BF$2-$AN$2)*24)))</f>
        <v>0</v>
      </c>
      <c r="BL200" s="5"/>
      <c r="BM200" s="5"/>
      <c r="BN200" s="5"/>
      <c r="BO200" s="5"/>
      <c r="BP200" s="5"/>
      <c r="BV200" s="1" t="e">
        <f t="shared" ca="1" si="280"/>
        <v>#VALUE!</v>
      </c>
      <c r="BW200" s="1" t="e">
        <f t="shared" ca="1" si="281"/>
        <v>#VALUE!</v>
      </c>
      <c r="BX200" s="1" t="e">
        <f t="shared" ca="1" si="282"/>
        <v>#VALUE!</v>
      </c>
      <c r="BY200" s="1" t="e">
        <f t="shared" ca="1" si="283"/>
        <v>#VALUE!</v>
      </c>
      <c r="BZ200" s="1" t="e">
        <f t="shared" ca="1" si="284"/>
        <v>#VALUE!</v>
      </c>
      <c r="CB200" s="1" t="str">
        <f>IF(ISBLANK('Exception Stores'!$A$6),"",WEEKDAY($BF$2))</f>
        <v/>
      </c>
      <c r="CC200" s="1" t="str">
        <f>IF(ISBLANK('Exception Stores'!$A$6),"NO",IF('Exception Stores'!$A$6&lt;$AU$2,"YES","NO"))</f>
        <v>NO</v>
      </c>
      <c r="CD200" s="1" t="str">
        <f>IF(ISBLANK('Exception Stores'!$A$6),"NO",IF('Exception Stores'!$A$6&lt;$AV$2,"YES","NO"))</f>
        <v>NO</v>
      </c>
      <c r="CE200" s="1" t="str">
        <f>IF(ISBLANK('Exception Stores'!$A$6),"NO",IF('Exception Stores'!$A$6&lt;$AW$2,"YES","NO"))</f>
        <v>NO</v>
      </c>
      <c r="CF200" s="1" t="str">
        <f>IF(ISBLANK('Exception Stores'!$A$6),"NO",IF('Exception Stores'!$A$6&lt;$AX$2,"YES","NO"))</f>
        <v>NO</v>
      </c>
      <c r="CG200" s="1" t="str">
        <f>IF(ISBLANK('Exception Stores'!$A$6),"NO",IF('Exception Stores'!$A$6&lt;$AY$2,"YES","NO"))</f>
        <v>NO</v>
      </c>
      <c r="CI200" s="42" t="str">
        <f>IF(ISBLANK('Exception Stores'!$B$6),"NO",IF('Exception Stores'!$B$6&lt;=$AU$2,"YES","NO"))</f>
        <v>NO</v>
      </c>
      <c r="CJ200" s="42" t="str">
        <f>IF(ISBLANK('Exception Stores'!$B$6),"NO",IF('Exception Stores'!$B$6&lt;=$AV$2,"YES","NO"))</f>
        <v>NO</v>
      </c>
      <c r="CK200" s="1" t="str">
        <f>IF(ISBLANK('Exception Stores'!$B$6),"NO",IF('Exception Stores'!$B$6&lt;=$AW$2,"YES","NO"))</f>
        <v>NO</v>
      </c>
      <c r="CL200" s="1" t="str">
        <f>IF(ISBLANK('Exception Stores'!$B$6),"NO",IF('Exception Stores'!$B$6&lt;=$AX$2,"YES","NO"))</f>
        <v>NO</v>
      </c>
      <c r="CM200" s="1" t="str">
        <f>IF(ISBLANK('Exception Stores'!$B$6),"NO",IF('Exception Stores'!$B$6&lt;=$AY$2,"YES","NO"))</f>
        <v>NO</v>
      </c>
      <c r="CO200" s="1" t="e">
        <f ca="1">IF(AM200&lt;'Exception Stores'!$A$6,"YES","NO")</f>
        <v>#VALUE!</v>
      </c>
      <c r="CP200" s="1">
        <f t="shared" si="285"/>
        <v>0</v>
      </c>
      <c r="CQ200" s="1">
        <f t="shared" si="286"/>
        <v>0</v>
      </c>
      <c r="CR200" s="1">
        <f t="shared" si="287"/>
        <v>0</v>
      </c>
      <c r="CS200" s="1">
        <f t="shared" si="288"/>
        <v>0</v>
      </c>
      <c r="CT200" s="1">
        <f t="shared" si="289"/>
        <v>0</v>
      </c>
      <c r="CU200" s="1">
        <f t="shared" si="290"/>
        <v>0</v>
      </c>
      <c r="CW200" s="1" t="e">
        <f t="shared" ca="1" si="231"/>
        <v>#VALUE!</v>
      </c>
      <c r="CX200" s="1" t="e">
        <f t="shared" ca="1" si="232"/>
        <v>#VALUE!</v>
      </c>
      <c r="CY200" s="1" t="e">
        <f t="shared" ca="1" si="233"/>
        <v>#VALUE!</v>
      </c>
      <c r="CZ200" s="1" t="e">
        <f t="shared" ca="1" si="234"/>
        <v>#VALUE!</v>
      </c>
      <c r="DA200" s="1" t="e">
        <f t="shared" ca="1" si="235"/>
        <v>#VALUE!</v>
      </c>
      <c r="DB200" s="26" t="e">
        <f t="shared" ca="1" si="291"/>
        <v>#VALUE!</v>
      </c>
      <c r="DC200" s="1">
        <f t="shared" si="236"/>
        <v>0</v>
      </c>
      <c r="DD200" s="1">
        <f t="shared" si="237"/>
        <v>0</v>
      </c>
      <c r="DE200" s="1">
        <f t="shared" si="238"/>
        <v>0</v>
      </c>
      <c r="DF200" s="1">
        <f t="shared" si="239"/>
        <v>0</v>
      </c>
      <c r="DG200" s="1">
        <f t="shared" si="240"/>
        <v>0</v>
      </c>
      <c r="DH200" s="26">
        <f t="shared" si="292"/>
        <v>0</v>
      </c>
      <c r="DI200" s="1" t="e">
        <f t="shared" ca="1" si="293"/>
        <v>#VALUE!</v>
      </c>
      <c r="DK200" s="11" t="str">
        <f t="shared" si="241"/>
        <v/>
      </c>
      <c r="DL200" s="11" t="e">
        <f ca="1">IF(AND(NOT(ISBLANK('Exception Stores'!$A$6)),CO200="YES"),S200-$BH$2-(DI200*$BS$2)-(CU200*$BS$2),S200-(DB200*$BS$2))</f>
        <v>#VALUE!</v>
      </c>
      <c r="DM200" s="11" t="str">
        <f>IF(ISBLANK(A200),"",IF(COUNTIF(Remaps!$A$2:$A$200,B200)&gt;0,"YES",""))</f>
        <v>YES</v>
      </c>
      <c r="DN200" s="29">
        <f>IFERROR(INDEX(Remaps!$B$2:$B$200,MATCH(B200,Remaps!$A$2:$A$200,0),1),0)</f>
        <v>0</v>
      </c>
      <c r="DO200" s="11" t="e">
        <f t="shared" ca="1" si="242"/>
        <v>#VALUE!</v>
      </c>
      <c r="DP200" s="29" t="e">
        <f t="shared" si="243"/>
        <v>#VALUE!</v>
      </c>
      <c r="DQ200" s="11" t="e">
        <f ca="1">('Apollo Dock Status'!$Z$1-DP200)/DO200</f>
        <v>#VALUE!</v>
      </c>
      <c r="DR200" s="15" t="e">
        <f t="shared" ca="1" si="294"/>
        <v>#VALUE!</v>
      </c>
    </row>
  </sheetData>
  <conditionalFormatting sqref="DC1:DG1">
    <cfRule type="duplicateValues" dxfId="1" priority="2"/>
  </conditionalFormatting>
  <conditionalFormatting sqref="DH1">
    <cfRule type="duplicateValues" dxfId="0" priority="1"/>
  </conditionalFormatting>
  <pageMargins left="0.7" right="0.7" top="0.75" bottom="0.75" header="0.3" footer="0.3"/>
  <pageSetup orientation="portrait" verticalDpi="59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Apollo Dock Status</vt:lpstr>
      <vt:lpstr>Remaps</vt:lpstr>
      <vt:lpstr>Exception Stores</vt:lpstr>
      <vt:lpstr>Version History</vt:lpstr>
      <vt:lpstr>Calculations</vt:lpstr>
    </vt:vector>
  </TitlesOfParts>
  <Company>Target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Michael.McGee2</dc:creator>
  <cp:lastModifiedBy>Michael.McGee2</cp:lastModifiedBy>
  <dcterms:created xsi:type="dcterms:W3CDTF">2026-05-19T20:14:55Z</dcterms:created>
  <dcterms:modified xsi:type="dcterms:W3CDTF">2026-06-03T20:37:28Z</dcterms:modified>
</cp:coreProperties>
</file>